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jungh\OneDrive\문서\GitHub\BattleSimulator\"/>
    </mc:Choice>
  </mc:AlternateContent>
  <xr:revisionPtr revIDLastSave="0" documentId="13_ncr:1_{04D5FA73-930A-46DF-9A45-B0F55B56D4E6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개요" sheetId="1" r:id="rId1"/>
    <sheet name="Factor" sheetId="3" r:id="rId2"/>
    <sheet name="MonsterData" sheetId="2" r:id="rId3"/>
    <sheet name="BattleArea" sheetId="5" r:id="rId4"/>
    <sheet name="SpawnData" sheetId="4" r:id="rId5"/>
  </sheets>
  <definedNames>
    <definedName name="_xlnm._FilterDatabase" localSheetId="2" hidden="1">MonsterData!$A$4:$AC$13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3" i="2" l="1"/>
  <c r="D74" i="2"/>
  <c r="D75" i="2"/>
  <c r="D76" i="2"/>
  <c r="D77" i="2"/>
  <c r="D78" i="2"/>
  <c r="D79" i="2"/>
  <c r="D80" i="2"/>
  <c r="D81" i="2"/>
  <c r="D82" i="2"/>
  <c r="D83" i="2"/>
  <c r="D84" i="2"/>
  <c r="D85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44" i="2"/>
  <c r="E245" i="2"/>
  <c r="E246" i="2"/>
  <c r="E247" i="2"/>
  <c r="E248" i="2"/>
  <c r="E249" i="2"/>
  <c r="E250" i="2"/>
  <c r="E251" i="2"/>
  <c r="E252" i="2"/>
  <c r="E253" i="2"/>
  <c r="E254" i="2"/>
  <c r="E255" i="2"/>
  <c r="E256" i="2"/>
  <c r="E257" i="2"/>
  <c r="E258" i="2"/>
  <c r="E259" i="2"/>
  <c r="E260" i="2"/>
  <c r="E261" i="2"/>
  <c r="E262" i="2"/>
  <c r="E263" i="2"/>
  <c r="E264" i="2"/>
  <c r="E265" i="2"/>
  <c r="E266" i="2"/>
  <c r="E267" i="2"/>
  <c r="E268" i="2"/>
  <c r="E269" i="2"/>
  <c r="E270" i="2"/>
  <c r="E271" i="2"/>
  <c r="E272" i="2"/>
  <c r="E273" i="2"/>
  <c r="E274" i="2"/>
  <c r="E275" i="2"/>
  <c r="E276" i="2"/>
  <c r="E277" i="2"/>
  <c r="E278" i="2"/>
  <c r="E279" i="2"/>
  <c r="E280" i="2"/>
  <c r="E281" i="2"/>
  <c r="E282" i="2"/>
  <c r="E283" i="2"/>
  <c r="E284" i="2"/>
  <c r="E285" i="2"/>
  <c r="E286" i="2"/>
  <c r="E287" i="2"/>
  <c r="E288" i="2"/>
  <c r="E289" i="2"/>
  <c r="E290" i="2"/>
  <c r="E291" i="2"/>
  <c r="E292" i="2"/>
  <c r="E293" i="2"/>
  <c r="E294" i="2"/>
  <c r="E295" i="2"/>
  <c r="E296" i="2"/>
  <c r="E297" i="2"/>
  <c r="E298" i="2"/>
  <c r="E299" i="2"/>
  <c r="E300" i="2"/>
  <c r="E301" i="2"/>
  <c r="E302" i="2"/>
  <c r="E303" i="2"/>
  <c r="E304" i="2"/>
  <c r="E305" i="2"/>
  <c r="E306" i="2"/>
  <c r="E307" i="2"/>
  <c r="E308" i="2"/>
  <c r="E309" i="2"/>
  <c r="E310" i="2"/>
  <c r="E311" i="2"/>
  <c r="E312" i="2"/>
  <c r="E313" i="2"/>
  <c r="E314" i="2"/>
  <c r="E315" i="2"/>
  <c r="E316" i="2"/>
  <c r="E317" i="2"/>
  <c r="E318" i="2"/>
  <c r="E319" i="2"/>
  <c r="E320" i="2"/>
  <c r="E321" i="2"/>
  <c r="E322" i="2"/>
  <c r="E323" i="2"/>
  <c r="E324" i="2"/>
  <c r="E325" i="2"/>
  <c r="E326" i="2"/>
  <c r="E327" i="2"/>
  <c r="E328" i="2"/>
  <c r="E329" i="2"/>
  <c r="E330" i="2"/>
  <c r="E331" i="2"/>
  <c r="E332" i="2"/>
  <c r="E333" i="2"/>
  <c r="E334" i="2"/>
  <c r="E335" i="2"/>
  <c r="E336" i="2"/>
  <c r="E337" i="2"/>
  <c r="E338" i="2"/>
  <c r="E339" i="2"/>
  <c r="E340" i="2"/>
  <c r="E341" i="2"/>
  <c r="E342" i="2"/>
  <c r="E343" i="2"/>
  <c r="E344" i="2"/>
  <c r="E345" i="2"/>
  <c r="E346" i="2"/>
  <c r="E347" i="2"/>
  <c r="E348" i="2"/>
  <c r="E349" i="2"/>
  <c r="E350" i="2"/>
  <c r="E351" i="2"/>
  <c r="E352" i="2"/>
  <c r="E353" i="2"/>
  <c r="E354" i="2"/>
  <c r="E355" i="2"/>
  <c r="E356" i="2"/>
  <c r="E357" i="2"/>
  <c r="E358" i="2"/>
  <c r="E359" i="2"/>
  <c r="E360" i="2"/>
  <c r="E361" i="2"/>
  <c r="E362" i="2"/>
  <c r="E363" i="2"/>
  <c r="E364" i="2"/>
  <c r="E365" i="2"/>
  <c r="E366" i="2"/>
  <c r="E367" i="2"/>
  <c r="E368" i="2"/>
  <c r="E369" i="2"/>
  <c r="E370" i="2"/>
  <c r="E371" i="2"/>
  <c r="T6" i="2"/>
  <c r="A6" i="2" s="1"/>
  <c r="T7" i="2"/>
  <c r="A7" i="2" s="1"/>
  <c r="T8" i="2"/>
  <c r="A8" i="2" s="1"/>
  <c r="T9" i="2"/>
  <c r="A9" i="2" s="1"/>
  <c r="T10" i="2"/>
  <c r="A10" i="2" s="1"/>
  <c r="T11" i="2"/>
  <c r="A11" i="2" s="1"/>
  <c r="T12" i="2"/>
  <c r="A12" i="2" s="1"/>
  <c r="T13" i="2"/>
  <c r="A13" i="2" s="1"/>
  <c r="T14" i="2"/>
  <c r="A14" i="2" s="1"/>
  <c r="T15" i="2"/>
  <c r="A15" i="2" s="1"/>
  <c r="T16" i="2"/>
  <c r="A16" i="2" s="1"/>
  <c r="T17" i="2"/>
  <c r="A17" i="2" s="1"/>
  <c r="T18" i="2"/>
  <c r="A18" i="2" s="1"/>
  <c r="T19" i="2"/>
  <c r="A19" i="2" s="1"/>
  <c r="T20" i="2"/>
  <c r="A20" i="2" s="1"/>
  <c r="T21" i="2"/>
  <c r="A21" i="2" s="1"/>
  <c r="T22" i="2"/>
  <c r="A22" i="2" s="1"/>
  <c r="T23" i="2"/>
  <c r="A23" i="2" s="1"/>
  <c r="T24" i="2"/>
  <c r="A24" i="2" s="1"/>
  <c r="T25" i="2"/>
  <c r="A25" i="2" s="1"/>
  <c r="T26" i="2"/>
  <c r="A26" i="2" s="1"/>
  <c r="T27" i="2"/>
  <c r="A27" i="2" s="1"/>
  <c r="T28" i="2"/>
  <c r="A28" i="2" s="1"/>
  <c r="T29" i="2"/>
  <c r="A29" i="2" s="1"/>
  <c r="T30" i="2"/>
  <c r="A30" i="2" s="1"/>
  <c r="T31" i="2"/>
  <c r="A31" i="2" s="1"/>
  <c r="T32" i="2"/>
  <c r="A32" i="2" s="1"/>
  <c r="T33" i="2"/>
  <c r="A33" i="2" s="1"/>
  <c r="T34" i="2"/>
  <c r="A34" i="2" s="1"/>
  <c r="T35" i="2"/>
  <c r="A35" i="2" s="1"/>
  <c r="T36" i="2"/>
  <c r="A36" i="2" s="1"/>
  <c r="T37" i="2"/>
  <c r="A37" i="2" s="1"/>
  <c r="T38" i="2"/>
  <c r="A38" i="2" s="1"/>
  <c r="T39" i="2"/>
  <c r="A39" i="2" s="1"/>
  <c r="T40" i="2"/>
  <c r="A40" i="2" s="1"/>
  <c r="T41" i="2"/>
  <c r="A41" i="2" s="1"/>
  <c r="T42" i="2"/>
  <c r="A42" i="2" s="1"/>
  <c r="T43" i="2"/>
  <c r="A43" i="2" s="1"/>
  <c r="T44" i="2"/>
  <c r="A44" i="2" s="1"/>
  <c r="T45" i="2"/>
  <c r="A45" i="2" s="1"/>
  <c r="T46" i="2"/>
  <c r="A46" i="2" s="1"/>
  <c r="T47" i="2"/>
  <c r="A47" i="2" s="1"/>
  <c r="T48" i="2"/>
  <c r="A48" i="2" s="1"/>
  <c r="T49" i="2"/>
  <c r="A49" i="2" s="1"/>
  <c r="T50" i="2"/>
  <c r="A50" i="2" s="1"/>
  <c r="T51" i="2"/>
  <c r="A51" i="2" s="1"/>
  <c r="T52" i="2"/>
  <c r="A52" i="2" s="1"/>
  <c r="T53" i="2"/>
  <c r="A53" i="2" s="1"/>
  <c r="T54" i="2"/>
  <c r="A54" i="2" s="1"/>
  <c r="T55" i="2"/>
  <c r="A55" i="2" s="1"/>
  <c r="T56" i="2"/>
  <c r="A56" i="2" s="1"/>
  <c r="T57" i="2"/>
  <c r="A57" i="2" s="1"/>
  <c r="T58" i="2"/>
  <c r="A58" i="2" s="1"/>
  <c r="T59" i="2"/>
  <c r="A59" i="2" s="1"/>
  <c r="T60" i="2"/>
  <c r="A60" i="2" s="1"/>
  <c r="T61" i="2"/>
  <c r="A61" i="2" s="1"/>
  <c r="T62" i="2"/>
  <c r="A62" i="2" s="1"/>
  <c r="T63" i="2"/>
  <c r="A63" i="2" s="1"/>
  <c r="T64" i="2"/>
  <c r="A64" i="2" s="1"/>
  <c r="T65" i="2"/>
  <c r="A65" i="2" s="1"/>
  <c r="T66" i="2"/>
  <c r="A66" i="2" s="1"/>
  <c r="T67" i="2"/>
  <c r="A67" i="2" s="1"/>
  <c r="T68" i="2"/>
  <c r="A68" i="2" s="1"/>
  <c r="T69" i="2"/>
  <c r="A69" i="2" s="1"/>
  <c r="T70" i="2"/>
  <c r="A70" i="2" s="1"/>
  <c r="T71" i="2"/>
  <c r="A71" i="2" s="1"/>
  <c r="T72" i="2"/>
  <c r="A72" i="2" s="1"/>
  <c r="T73" i="2"/>
  <c r="A73" i="2" s="1"/>
  <c r="T74" i="2"/>
  <c r="A74" i="2" s="1"/>
  <c r="T75" i="2"/>
  <c r="A75" i="2" s="1"/>
  <c r="T76" i="2"/>
  <c r="A76" i="2" s="1"/>
  <c r="T77" i="2"/>
  <c r="A77" i="2" s="1"/>
  <c r="T78" i="2"/>
  <c r="A78" i="2" s="1"/>
  <c r="T79" i="2"/>
  <c r="A79" i="2" s="1"/>
  <c r="T80" i="2"/>
  <c r="A80" i="2" s="1"/>
  <c r="T81" i="2"/>
  <c r="A81" i="2" s="1"/>
  <c r="T82" i="2"/>
  <c r="A82" i="2" s="1"/>
  <c r="T83" i="2"/>
  <c r="A83" i="2" s="1"/>
  <c r="T84" i="2"/>
  <c r="A84" i="2" s="1"/>
  <c r="T85" i="2"/>
  <c r="A85" i="2" s="1"/>
  <c r="T86" i="2"/>
  <c r="A86" i="2" s="1"/>
  <c r="T87" i="2"/>
  <c r="A87" i="2" s="1"/>
  <c r="T88" i="2"/>
  <c r="A88" i="2" s="1"/>
  <c r="T89" i="2"/>
  <c r="A89" i="2" s="1"/>
  <c r="T90" i="2"/>
  <c r="A90" i="2" s="1"/>
  <c r="T91" i="2"/>
  <c r="A91" i="2" s="1"/>
  <c r="T92" i="2"/>
  <c r="A92" i="2" s="1"/>
  <c r="T93" i="2"/>
  <c r="A93" i="2" s="1"/>
  <c r="T94" i="2"/>
  <c r="A94" i="2" s="1"/>
  <c r="T95" i="2"/>
  <c r="A95" i="2" s="1"/>
  <c r="T96" i="2"/>
  <c r="A96" i="2" s="1"/>
  <c r="T97" i="2"/>
  <c r="A97" i="2" s="1"/>
  <c r="T98" i="2"/>
  <c r="A98" i="2" s="1"/>
  <c r="T99" i="2"/>
  <c r="A99" i="2" s="1"/>
  <c r="T100" i="2"/>
  <c r="A100" i="2" s="1"/>
  <c r="T101" i="2"/>
  <c r="A101" i="2" s="1"/>
  <c r="T102" i="2"/>
  <c r="A102" i="2" s="1"/>
  <c r="T103" i="2"/>
  <c r="A103" i="2" s="1"/>
  <c r="T104" i="2"/>
  <c r="A104" i="2" s="1"/>
  <c r="T105" i="2"/>
  <c r="A105" i="2" s="1"/>
  <c r="T106" i="2"/>
  <c r="A106" i="2" s="1"/>
  <c r="T107" i="2"/>
  <c r="A107" i="2" s="1"/>
  <c r="T108" i="2"/>
  <c r="A108" i="2" s="1"/>
  <c r="T109" i="2"/>
  <c r="A109" i="2" s="1"/>
  <c r="T110" i="2"/>
  <c r="A110" i="2" s="1"/>
  <c r="T111" i="2"/>
  <c r="A111" i="2" s="1"/>
  <c r="T112" i="2"/>
  <c r="A112" i="2" s="1"/>
  <c r="T113" i="2"/>
  <c r="A113" i="2" s="1"/>
  <c r="T114" i="2"/>
  <c r="A114" i="2" s="1"/>
  <c r="T115" i="2"/>
  <c r="A115" i="2" s="1"/>
  <c r="T116" i="2"/>
  <c r="A116" i="2" s="1"/>
  <c r="T117" i="2"/>
  <c r="A117" i="2" s="1"/>
  <c r="T118" i="2"/>
  <c r="A118" i="2" s="1"/>
  <c r="T119" i="2"/>
  <c r="A119" i="2" s="1"/>
  <c r="T120" i="2"/>
  <c r="A120" i="2" s="1"/>
  <c r="T121" i="2"/>
  <c r="A121" i="2" s="1"/>
  <c r="T122" i="2"/>
  <c r="A122" i="2" s="1"/>
  <c r="T123" i="2"/>
  <c r="A123" i="2" s="1"/>
  <c r="T124" i="2"/>
  <c r="A124" i="2" s="1"/>
  <c r="T125" i="2"/>
  <c r="A125" i="2" s="1"/>
  <c r="T126" i="2"/>
  <c r="A126" i="2" s="1"/>
  <c r="T127" i="2"/>
  <c r="A127" i="2" s="1"/>
  <c r="T128" i="2"/>
  <c r="A128" i="2" s="1"/>
  <c r="T129" i="2"/>
  <c r="A129" i="2" s="1"/>
  <c r="T130" i="2"/>
  <c r="A130" i="2" s="1"/>
  <c r="T131" i="2"/>
  <c r="A131" i="2" s="1"/>
  <c r="T132" i="2"/>
  <c r="A132" i="2" s="1"/>
  <c r="T133" i="2"/>
  <c r="A133" i="2" s="1"/>
  <c r="T134" i="2"/>
  <c r="A134" i="2" s="1"/>
  <c r="T135" i="2"/>
  <c r="A135" i="2" s="1"/>
  <c r="T136" i="2"/>
  <c r="A136" i="2" s="1"/>
  <c r="T137" i="2"/>
  <c r="A137" i="2" s="1"/>
  <c r="T138" i="2"/>
  <c r="A138" i="2" s="1"/>
  <c r="T139" i="2"/>
  <c r="A139" i="2" s="1"/>
  <c r="T140" i="2"/>
  <c r="A140" i="2" s="1"/>
  <c r="T141" i="2"/>
  <c r="A141" i="2" s="1"/>
  <c r="T142" i="2"/>
  <c r="A142" i="2" s="1"/>
  <c r="T143" i="2"/>
  <c r="A143" i="2" s="1"/>
  <c r="T144" i="2"/>
  <c r="A144" i="2" s="1"/>
  <c r="T145" i="2"/>
  <c r="A145" i="2" s="1"/>
  <c r="T146" i="2"/>
  <c r="A146" i="2" s="1"/>
  <c r="T147" i="2"/>
  <c r="A147" i="2" s="1"/>
  <c r="T148" i="2"/>
  <c r="A148" i="2" s="1"/>
  <c r="T149" i="2"/>
  <c r="A149" i="2" s="1"/>
  <c r="T150" i="2"/>
  <c r="A150" i="2" s="1"/>
  <c r="T151" i="2"/>
  <c r="A151" i="2" s="1"/>
  <c r="T152" i="2"/>
  <c r="A152" i="2" s="1"/>
  <c r="T153" i="2"/>
  <c r="A153" i="2" s="1"/>
  <c r="T154" i="2"/>
  <c r="A154" i="2" s="1"/>
  <c r="T155" i="2"/>
  <c r="A155" i="2" s="1"/>
  <c r="T156" i="2"/>
  <c r="A156" i="2" s="1"/>
  <c r="T157" i="2"/>
  <c r="A157" i="2" s="1"/>
  <c r="T158" i="2"/>
  <c r="A158" i="2" s="1"/>
  <c r="T159" i="2"/>
  <c r="A159" i="2" s="1"/>
  <c r="T160" i="2"/>
  <c r="A160" i="2" s="1"/>
  <c r="T161" i="2"/>
  <c r="A161" i="2" s="1"/>
  <c r="T162" i="2"/>
  <c r="A162" i="2" s="1"/>
  <c r="T163" i="2"/>
  <c r="A163" i="2" s="1"/>
  <c r="T164" i="2"/>
  <c r="A164" i="2" s="1"/>
  <c r="T165" i="2"/>
  <c r="A165" i="2" s="1"/>
  <c r="T166" i="2"/>
  <c r="A166" i="2" s="1"/>
  <c r="T167" i="2"/>
  <c r="A167" i="2" s="1"/>
  <c r="T168" i="2"/>
  <c r="A168" i="2" s="1"/>
  <c r="T169" i="2"/>
  <c r="A169" i="2" s="1"/>
  <c r="T170" i="2"/>
  <c r="A170" i="2" s="1"/>
  <c r="T171" i="2"/>
  <c r="A171" i="2" s="1"/>
  <c r="T172" i="2"/>
  <c r="A172" i="2" s="1"/>
  <c r="T173" i="2"/>
  <c r="A173" i="2" s="1"/>
  <c r="T174" i="2"/>
  <c r="A174" i="2" s="1"/>
  <c r="T175" i="2"/>
  <c r="A175" i="2" s="1"/>
  <c r="T176" i="2"/>
  <c r="A176" i="2" s="1"/>
  <c r="T177" i="2"/>
  <c r="A177" i="2" s="1"/>
  <c r="T178" i="2"/>
  <c r="A178" i="2" s="1"/>
  <c r="T179" i="2"/>
  <c r="A179" i="2" s="1"/>
  <c r="T180" i="2"/>
  <c r="A180" i="2" s="1"/>
  <c r="T181" i="2"/>
  <c r="A181" i="2" s="1"/>
  <c r="T182" i="2"/>
  <c r="A182" i="2" s="1"/>
  <c r="T183" i="2"/>
  <c r="A183" i="2" s="1"/>
  <c r="T184" i="2"/>
  <c r="A184" i="2" s="1"/>
  <c r="T185" i="2"/>
  <c r="A185" i="2" s="1"/>
  <c r="T186" i="2"/>
  <c r="A186" i="2" s="1"/>
  <c r="T187" i="2"/>
  <c r="A187" i="2" s="1"/>
  <c r="T188" i="2"/>
  <c r="A188" i="2" s="1"/>
  <c r="T189" i="2"/>
  <c r="A189" i="2" s="1"/>
  <c r="T190" i="2"/>
  <c r="A190" i="2" s="1"/>
  <c r="T191" i="2"/>
  <c r="A191" i="2" s="1"/>
  <c r="T192" i="2"/>
  <c r="A192" i="2" s="1"/>
  <c r="T193" i="2"/>
  <c r="A193" i="2" s="1"/>
  <c r="T194" i="2"/>
  <c r="A194" i="2" s="1"/>
  <c r="T195" i="2"/>
  <c r="A195" i="2" s="1"/>
  <c r="T196" i="2"/>
  <c r="A196" i="2" s="1"/>
  <c r="T197" i="2"/>
  <c r="A197" i="2" s="1"/>
  <c r="T198" i="2"/>
  <c r="A198" i="2" s="1"/>
  <c r="T199" i="2"/>
  <c r="A199" i="2" s="1"/>
  <c r="T200" i="2"/>
  <c r="A200" i="2" s="1"/>
  <c r="T201" i="2"/>
  <c r="A201" i="2" s="1"/>
  <c r="T202" i="2"/>
  <c r="A202" i="2" s="1"/>
  <c r="T203" i="2"/>
  <c r="A203" i="2" s="1"/>
  <c r="T204" i="2"/>
  <c r="A204" i="2" s="1"/>
  <c r="T205" i="2"/>
  <c r="A205" i="2" s="1"/>
  <c r="T206" i="2"/>
  <c r="A206" i="2" s="1"/>
  <c r="T207" i="2"/>
  <c r="A207" i="2" s="1"/>
  <c r="T208" i="2"/>
  <c r="A208" i="2" s="1"/>
  <c r="T209" i="2"/>
  <c r="A209" i="2" s="1"/>
  <c r="T210" i="2"/>
  <c r="A210" i="2" s="1"/>
  <c r="T211" i="2"/>
  <c r="A211" i="2" s="1"/>
  <c r="T212" i="2"/>
  <c r="A212" i="2" s="1"/>
  <c r="T213" i="2"/>
  <c r="A213" i="2" s="1"/>
  <c r="T214" i="2"/>
  <c r="A214" i="2" s="1"/>
  <c r="T215" i="2"/>
  <c r="A215" i="2" s="1"/>
  <c r="T216" i="2"/>
  <c r="A216" i="2" s="1"/>
  <c r="T217" i="2"/>
  <c r="A217" i="2" s="1"/>
  <c r="T218" i="2"/>
  <c r="A218" i="2" s="1"/>
  <c r="T219" i="2"/>
  <c r="A219" i="2" s="1"/>
  <c r="T220" i="2"/>
  <c r="A220" i="2" s="1"/>
  <c r="T221" i="2"/>
  <c r="A221" i="2" s="1"/>
  <c r="T222" i="2"/>
  <c r="A222" i="2" s="1"/>
  <c r="T223" i="2"/>
  <c r="A223" i="2" s="1"/>
  <c r="T224" i="2"/>
  <c r="A224" i="2" s="1"/>
  <c r="T225" i="2"/>
  <c r="A225" i="2" s="1"/>
  <c r="T226" i="2"/>
  <c r="A226" i="2" s="1"/>
  <c r="T227" i="2"/>
  <c r="A227" i="2" s="1"/>
  <c r="T228" i="2"/>
  <c r="A228" i="2" s="1"/>
  <c r="T229" i="2"/>
  <c r="A229" i="2" s="1"/>
  <c r="T230" i="2"/>
  <c r="A230" i="2" s="1"/>
  <c r="T231" i="2"/>
  <c r="A231" i="2" s="1"/>
  <c r="T232" i="2"/>
  <c r="A232" i="2" s="1"/>
  <c r="T233" i="2"/>
  <c r="A233" i="2" s="1"/>
  <c r="T234" i="2"/>
  <c r="A234" i="2" s="1"/>
  <c r="T235" i="2"/>
  <c r="A235" i="2" s="1"/>
  <c r="T236" i="2"/>
  <c r="A236" i="2" s="1"/>
  <c r="T237" i="2"/>
  <c r="A237" i="2" s="1"/>
  <c r="T238" i="2"/>
  <c r="A238" i="2" s="1"/>
  <c r="T239" i="2"/>
  <c r="A239" i="2" s="1"/>
  <c r="T240" i="2"/>
  <c r="A240" i="2" s="1"/>
  <c r="T241" i="2"/>
  <c r="A241" i="2" s="1"/>
  <c r="T242" i="2"/>
  <c r="A242" i="2" s="1"/>
  <c r="T243" i="2"/>
  <c r="A243" i="2" s="1"/>
  <c r="T244" i="2"/>
  <c r="A244" i="2" s="1"/>
  <c r="T245" i="2"/>
  <c r="A245" i="2" s="1"/>
  <c r="T246" i="2"/>
  <c r="A246" i="2" s="1"/>
  <c r="T247" i="2"/>
  <c r="A247" i="2" s="1"/>
  <c r="T248" i="2"/>
  <c r="A248" i="2" s="1"/>
  <c r="T249" i="2"/>
  <c r="A249" i="2" s="1"/>
  <c r="T250" i="2"/>
  <c r="A250" i="2" s="1"/>
  <c r="T251" i="2"/>
  <c r="A251" i="2" s="1"/>
  <c r="T252" i="2"/>
  <c r="A252" i="2" s="1"/>
  <c r="T253" i="2"/>
  <c r="A253" i="2" s="1"/>
  <c r="T254" i="2"/>
  <c r="A254" i="2" s="1"/>
  <c r="T255" i="2"/>
  <c r="A255" i="2" s="1"/>
  <c r="T256" i="2"/>
  <c r="A256" i="2" s="1"/>
  <c r="T257" i="2"/>
  <c r="A257" i="2" s="1"/>
  <c r="T258" i="2"/>
  <c r="A258" i="2" s="1"/>
  <c r="T259" i="2"/>
  <c r="A259" i="2" s="1"/>
  <c r="T260" i="2"/>
  <c r="A260" i="2" s="1"/>
  <c r="T261" i="2"/>
  <c r="A261" i="2" s="1"/>
  <c r="T262" i="2"/>
  <c r="A262" i="2" s="1"/>
  <c r="T263" i="2"/>
  <c r="A263" i="2" s="1"/>
  <c r="T264" i="2"/>
  <c r="A264" i="2" s="1"/>
  <c r="T265" i="2"/>
  <c r="A265" i="2" s="1"/>
  <c r="T266" i="2"/>
  <c r="A266" i="2" s="1"/>
  <c r="T267" i="2"/>
  <c r="A267" i="2" s="1"/>
  <c r="T268" i="2"/>
  <c r="A268" i="2" s="1"/>
  <c r="T269" i="2"/>
  <c r="A269" i="2" s="1"/>
  <c r="T270" i="2"/>
  <c r="A270" i="2" s="1"/>
  <c r="T271" i="2"/>
  <c r="A271" i="2" s="1"/>
  <c r="T272" i="2"/>
  <c r="A272" i="2" s="1"/>
  <c r="T273" i="2"/>
  <c r="A273" i="2" s="1"/>
  <c r="T274" i="2"/>
  <c r="A274" i="2" s="1"/>
  <c r="T275" i="2"/>
  <c r="A275" i="2" s="1"/>
  <c r="T276" i="2"/>
  <c r="A276" i="2" s="1"/>
  <c r="T277" i="2"/>
  <c r="A277" i="2" s="1"/>
  <c r="T278" i="2"/>
  <c r="A278" i="2" s="1"/>
  <c r="T279" i="2"/>
  <c r="A279" i="2" s="1"/>
  <c r="T280" i="2"/>
  <c r="A280" i="2" s="1"/>
  <c r="T281" i="2"/>
  <c r="A281" i="2" s="1"/>
  <c r="T282" i="2"/>
  <c r="A282" i="2" s="1"/>
  <c r="T283" i="2"/>
  <c r="A283" i="2" s="1"/>
  <c r="T284" i="2"/>
  <c r="A284" i="2" s="1"/>
  <c r="T285" i="2"/>
  <c r="A285" i="2" s="1"/>
  <c r="T286" i="2"/>
  <c r="A286" i="2" s="1"/>
  <c r="T287" i="2"/>
  <c r="A287" i="2" s="1"/>
  <c r="T288" i="2"/>
  <c r="A288" i="2" s="1"/>
  <c r="T289" i="2"/>
  <c r="A289" i="2" s="1"/>
  <c r="T290" i="2"/>
  <c r="A290" i="2" s="1"/>
  <c r="T291" i="2"/>
  <c r="A291" i="2" s="1"/>
  <c r="T292" i="2"/>
  <c r="A292" i="2" s="1"/>
  <c r="T293" i="2"/>
  <c r="A293" i="2" s="1"/>
  <c r="T294" i="2"/>
  <c r="A294" i="2" s="1"/>
  <c r="T295" i="2"/>
  <c r="A295" i="2" s="1"/>
  <c r="T296" i="2"/>
  <c r="A296" i="2" s="1"/>
  <c r="T297" i="2"/>
  <c r="A297" i="2" s="1"/>
  <c r="T298" i="2"/>
  <c r="A298" i="2" s="1"/>
  <c r="T299" i="2"/>
  <c r="A299" i="2" s="1"/>
  <c r="T300" i="2"/>
  <c r="A300" i="2" s="1"/>
  <c r="T301" i="2"/>
  <c r="A301" i="2" s="1"/>
  <c r="T302" i="2"/>
  <c r="A302" i="2" s="1"/>
  <c r="T303" i="2"/>
  <c r="A303" i="2" s="1"/>
  <c r="T304" i="2"/>
  <c r="A304" i="2" s="1"/>
  <c r="T305" i="2"/>
  <c r="A305" i="2" s="1"/>
  <c r="T306" i="2"/>
  <c r="A306" i="2" s="1"/>
  <c r="T307" i="2"/>
  <c r="A307" i="2" s="1"/>
  <c r="T308" i="2"/>
  <c r="A308" i="2" s="1"/>
  <c r="T309" i="2"/>
  <c r="A309" i="2" s="1"/>
  <c r="T310" i="2"/>
  <c r="A310" i="2" s="1"/>
  <c r="T311" i="2"/>
  <c r="A311" i="2" s="1"/>
  <c r="T312" i="2"/>
  <c r="A312" i="2" s="1"/>
  <c r="T313" i="2"/>
  <c r="A313" i="2" s="1"/>
  <c r="T314" i="2"/>
  <c r="A314" i="2" s="1"/>
  <c r="T315" i="2"/>
  <c r="A315" i="2" s="1"/>
  <c r="T316" i="2"/>
  <c r="A316" i="2" s="1"/>
  <c r="T317" i="2"/>
  <c r="A317" i="2" s="1"/>
  <c r="T318" i="2"/>
  <c r="A318" i="2" s="1"/>
  <c r="T319" i="2"/>
  <c r="A319" i="2" s="1"/>
  <c r="T320" i="2"/>
  <c r="A320" i="2" s="1"/>
  <c r="T321" i="2"/>
  <c r="A321" i="2" s="1"/>
  <c r="T322" i="2"/>
  <c r="A322" i="2" s="1"/>
  <c r="T323" i="2"/>
  <c r="A323" i="2" s="1"/>
  <c r="T324" i="2"/>
  <c r="A324" i="2" s="1"/>
  <c r="T325" i="2"/>
  <c r="A325" i="2" s="1"/>
  <c r="T326" i="2"/>
  <c r="A326" i="2" s="1"/>
  <c r="T327" i="2"/>
  <c r="A327" i="2" s="1"/>
  <c r="T328" i="2"/>
  <c r="A328" i="2" s="1"/>
  <c r="T329" i="2"/>
  <c r="A329" i="2" s="1"/>
  <c r="T330" i="2"/>
  <c r="A330" i="2" s="1"/>
  <c r="T331" i="2"/>
  <c r="A331" i="2" s="1"/>
  <c r="T332" i="2"/>
  <c r="A332" i="2" s="1"/>
  <c r="T333" i="2"/>
  <c r="A333" i="2" s="1"/>
  <c r="T334" i="2"/>
  <c r="A334" i="2" s="1"/>
  <c r="T335" i="2"/>
  <c r="A335" i="2" s="1"/>
  <c r="T336" i="2"/>
  <c r="A336" i="2" s="1"/>
  <c r="T337" i="2"/>
  <c r="A337" i="2" s="1"/>
  <c r="T338" i="2"/>
  <c r="A338" i="2" s="1"/>
  <c r="T339" i="2"/>
  <c r="A339" i="2" s="1"/>
  <c r="T340" i="2"/>
  <c r="A340" i="2" s="1"/>
  <c r="T341" i="2"/>
  <c r="A341" i="2" s="1"/>
  <c r="T342" i="2"/>
  <c r="A342" i="2" s="1"/>
  <c r="T343" i="2"/>
  <c r="A343" i="2" s="1"/>
  <c r="T344" i="2"/>
  <c r="A344" i="2" s="1"/>
  <c r="T345" i="2"/>
  <c r="A345" i="2" s="1"/>
  <c r="T346" i="2"/>
  <c r="A346" i="2" s="1"/>
  <c r="T347" i="2"/>
  <c r="A347" i="2" s="1"/>
  <c r="T348" i="2"/>
  <c r="A348" i="2" s="1"/>
  <c r="T349" i="2"/>
  <c r="A349" i="2" s="1"/>
  <c r="T350" i="2"/>
  <c r="A350" i="2" s="1"/>
  <c r="T351" i="2"/>
  <c r="A351" i="2" s="1"/>
  <c r="T352" i="2"/>
  <c r="A352" i="2" s="1"/>
  <c r="T353" i="2"/>
  <c r="A353" i="2" s="1"/>
  <c r="T354" i="2"/>
  <c r="A354" i="2" s="1"/>
  <c r="T355" i="2"/>
  <c r="A355" i="2" s="1"/>
  <c r="T356" i="2"/>
  <c r="A356" i="2" s="1"/>
  <c r="T357" i="2"/>
  <c r="A357" i="2" s="1"/>
  <c r="T358" i="2"/>
  <c r="A358" i="2" s="1"/>
  <c r="T359" i="2"/>
  <c r="A359" i="2" s="1"/>
  <c r="T360" i="2"/>
  <c r="A360" i="2" s="1"/>
  <c r="T361" i="2"/>
  <c r="A361" i="2" s="1"/>
  <c r="T362" i="2"/>
  <c r="A362" i="2" s="1"/>
  <c r="T363" i="2"/>
  <c r="A363" i="2" s="1"/>
  <c r="T364" i="2"/>
  <c r="A364" i="2" s="1"/>
  <c r="T365" i="2"/>
  <c r="A365" i="2" s="1"/>
  <c r="T366" i="2"/>
  <c r="A366" i="2" s="1"/>
  <c r="T367" i="2"/>
  <c r="A367" i="2" s="1"/>
  <c r="T368" i="2"/>
  <c r="A368" i="2" s="1"/>
  <c r="T369" i="2"/>
  <c r="A369" i="2" s="1"/>
  <c r="T370" i="2"/>
  <c r="A370" i="2" s="1"/>
  <c r="T371" i="2"/>
  <c r="A371" i="2" s="1"/>
  <c r="R6" i="2"/>
  <c r="R7" i="2"/>
  <c r="R8" i="2"/>
  <c r="R9" i="2"/>
  <c r="R10" i="2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2" i="2"/>
  <c r="R73" i="2"/>
  <c r="R74" i="2"/>
  <c r="R75" i="2"/>
  <c r="R76" i="2"/>
  <c r="R77" i="2"/>
  <c r="R78" i="2"/>
  <c r="R79" i="2"/>
  <c r="R80" i="2"/>
  <c r="R81" i="2"/>
  <c r="R82" i="2"/>
  <c r="R83" i="2"/>
  <c r="R84" i="2"/>
  <c r="R85" i="2"/>
  <c r="R86" i="2"/>
  <c r="R87" i="2"/>
  <c r="R88" i="2"/>
  <c r="R89" i="2"/>
  <c r="R90" i="2"/>
  <c r="R91" i="2"/>
  <c r="R92" i="2"/>
  <c r="R93" i="2"/>
  <c r="R94" i="2"/>
  <c r="R95" i="2"/>
  <c r="R96" i="2"/>
  <c r="R97" i="2"/>
  <c r="R98" i="2"/>
  <c r="R99" i="2"/>
  <c r="R100" i="2"/>
  <c r="R101" i="2"/>
  <c r="R102" i="2"/>
  <c r="R103" i="2"/>
  <c r="R104" i="2"/>
  <c r="R105" i="2"/>
  <c r="R106" i="2"/>
  <c r="R107" i="2"/>
  <c r="R108" i="2"/>
  <c r="R109" i="2"/>
  <c r="R110" i="2"/>
  <c r="R111" i="2"/>
  <c r="R112" i="2"/>
  <c r="R113" i="2"/>
  <c r="R114" i="2"/>
  <c r="R115" i="2"/>
  <c r="R116" i="2"/>
  <c r="R117" i="2"/>
  <c r="R118" i="2"/>
  <c r="R119" i="2"/>
  <c r="R120" i="2"/>
  <c r="R121" i="2"/>
  <c r="R122" i="2"/>
  <c r="R123" i="2"/>
  <c r="R124" i="2"/>
  <c r="R125" i="2"/>
  <c r="R126" i="2"/>
  <c r="R127" i="2"/>
  <c r="R128" i="2"/>
  <c r="R129" i="2"/>
  <c r="R130" i="2"/>
  <c r="R131" i="2"/>
  <c r="R132" i="2"/>
  <c r="R133" i="2"/>
  <c r="R134" i="2"/>
  <c r="R135" i="2"/>
  <c r="R136" i="2"/>
  <c r="R137" i="2"/>
  <c r="R138" i="2"/>
  <c r="R139" i="2"/>
  <c r="R140" i="2"/>
  <c r="R141" i="2"/>
  <c r="R142" i="2"/>
  <c r="R143" i="2"/>
  <c r="R144" i="2"/>
  <c r="R145" i="2"/>
  <c r="R146" i="2"/>
  <c r="R147" i="2"/>
  <c r="R148" i="2"/>
  <c r="R149" i="2"/>
  <c r="R150" i="2"/>
  <c r="R151" i="2"/>
  <c r="R152" i="2"/>
  <c r="R153" i="2"/>
  <c r="R154" i="2"/>
  <c r="R155" i="2"/>
  <c r="R156" i="2"/>
  <c r="R157" i="2"/>
  <c r="R158" i="2"/>
  <c r="R159" i="2"/>
  <c r="R160" i="2"/>
  <c r="R161" i="2"/>
  <c r="R162" i="2"/>
  <c r="R163" i="2"/>
  <c r="R164" i="2"/>
  <c r="R165" i="2"/>
  <c r="R166" i="2"/>
  <c r="R167" i="2"/>
  <c r="R168" i="2"/>
  <c r="R169" i="2"/>
  <c r="R170" i="2"/>
  <c r="R171" i="2"/>
  <c r="R172" i="2"/>
  <c r="R173" i="2"/>
  <c r="R174" i="2"/>
  <c r="R175" i="2"/>
  <c r="R176" i="2"/>
  <c r="R177" i="2"/>
  <c r="R178" i="2"/>
  <c r="R179" i="2"/>
  <c r="R180" i="2"/>
  <c r="R181" i="2"/>
  <c r="R182" i="2"/>
  <c r="R183" i="2"/>
  <c r="R184" i="2"/>
  <c r="R185" i="2"/>
  <c r="R186" i="2"/>
  <c r="R187" i="2"/>
  <c r="R188" i="2"/>
  <c r="R189" i="2"/>
  <c r="R190" i="2"/>
  <c r="R191" i="2"/>
  <c r="R192" i="2"/>
  <c r="R193" i="2"/>
  <c r="R194" i="2"/>
  <c r="R195" i="2"/>
  <c r="R196" i="2"/>
  <c r="R197" i="2"/>
  <c r="R198" i="2"/>
  <c r="R199" i="2"/>
  <c r="R200" i="2"/>
  <c r="R201" i="2"/>
  <c r="R202" i="2"/>
  <c r="R203" i="2"/>
  <c r="R204" i="2"/>
  <c r="R205" i="2"/>
  <c r="R206" i="2"/>
  <c r="R207" i="2"/>
  <c r="R208" i="2"/>
  <c r="R209" i="2"/>
  <c r="R210" i="2"/>
  <c r="R211" i="2"/>
  <c r="R212" i="2"/>
  <c r="R213" i="2"/>
  <c r="R214" i="2"/>
  <c r="R215" i="2"/>
  <c r="R216" i="2"/>
  <c r="R217" i="2"/>
  <c r="R218" i="2"/>
  <c r="R219" i="2"/>
  <c r="R220" i="2"/>
  <c r="R221" i="2"/>
  <c r="R222" i="2"/>
  <c r="R223" i="2"/>
  <c r="R224" i="2"/>
  <c r="R225" i="2"/>
  <c r="R226" i="2"/>
  <c r="R227" i="2"/>
  <c r="R228" i="2"/>
  <c r="R229" i="2"/>
  <c r="R230" i="2"/>
  <c r="R231" i="2"/>
  <c r="R232" i="2"/>
  <c r="R233" i="2"/>
  <c r="R234" i="2"/>
  <c r="R235" i="2"/>
  <c r="R236" i="2"/>
  <c r="R237" i="2"/>
  <c r="R238" i="2"/>
  <c r="R239" i="2"/>
  <c r="R240" i="2"/>
  <c r="R241" i="2"/>
  <c r="R242" i="2"/>
  <c r="R243" i="2"/>
  <c r="R244" i="2"/>
  <c r="R245" i="2"/>
  <c r="R246" i="2"/>
  <c r="R247" i="2"/>
  <c r="R248" i="2"/>
  <c r="R249" i="2"/>
  <c r="R250" i="2"/>
  <c r="R251" i="2"/>
  <c r="R252" i="2"/>
  <c r="R253" i="2"/>
  <c r="R254" i="2"/>
  <c r="R255" i="2"/>
  <c r="R256" i="2"/>
  <c r="R257" i="2"/>
  <c r="R258" i="2"/>
  <c r="R259" i="2"/>
  <c r="R260" i="2"/>
  <c r="R261" i="2"/>
  <c r="R262" i="2"/>
  <c r="R263" i="2"/>
  <c r="R264" i="2"/>
  <c r="R265" i="2"/>
  <c r="R266" i="2"/>
  <c r="R267" i="2"/>
  <c r="R268" i="2"/>
  <c r="R269" i="2"/>
  <c r="R270" i="2"/>
  <c r="R271" i="2"/>
  <c r="R272" i="2"/>
  <c r="R273" i="2"/>
  <c r="R274" i="2"/>
  <c r="R275" i="2"/>
  <c r="R276" i="2"/>
  <c r="R277" i="2"/>
  <c r="R278" i="2"/>
  <c r="R279" i="2"/>
  <c r="R280" i="2"/>
  <c r="R281" i="2"/>
  <c r="R282" i="2"/>
  <c r="R283" i="2"/>
  <c r="R284" i="2"/>
  <c r="R285" i="2"/>
  <c r="R286" i="2"/>
  <c r="R287" i="2"/>
  <c r="R288" i="2"/>
  <c r="R289" i="2"/>
  <c r="R290" i="2"/>
  <c r="R291" i="2"/>
  <c r="R292" i="2"/>
  <c r="R293" i="2"/>
  <c r="R294" i="2"/>
  <c r="R295" i="2"/>
  <c r="R296" i="2"/>
  <c r="R297" i="2"/>
  <c r="R298" i="2"/>
  <c r="R299" i="2"/>
  <c r="R300" i="2"/>
  <c r="R301" i="2"/>
  <c r="R302" i="2"/>
  <c r="R303" i="2"/>
  <c r="R304" i="2"/>
  <c r="R305" i="2"/>
  <c r="R306" i="2"/>
  <c r="R307" i="2"/>
  <c r="R308" i="2"/>
  <c r="R309" i="2"/>
  <c r="R310" i="2"/>
  <c r="R311" i="2"/>
  <c r="R312" i="2"/>
  <c r="R313" i="2"/>
  <c r="R314" i="2"/>
  <c r="R315" i="2"/>
  <c r="R316" i="2"/>
  <c r="R317" i="2"/>
  <c r="R318" i="2"/>
  <c r="R319" i="2"/>
  <c r="R320" i="2"/>
  <c r="R321" i="2"/>
  <c r="R322" i="2"/>
  <c r="R323" i="2"/>
  <c r="R324" i="2"/>
  <c r="R325" i="2"/>
  <c r="R326" i="2"/>
  <c r="R327" i="2"/>
  <c r="R328" i="2"/>
  <c r="R329" i="2"/>
  <c r="R330" i="2"/>
  <c r="R331" i="2"/>
  <c r="R332" i="2"/>
  <c r="R333" i="2"/>
  <c r="R334" i="2"/>
  <c r="R335" i="2"/>
  <c r="R336" i="2"/>
  <c r="R337" i="2"/>
  <c r="R338" i="2"/>
  <c r="R339" i="2"/>
  <c r="R340" i="2"/>
  <c r="R341" i="2"/>
  <c r="R342" i="2"/>
  <c r="R343" i="2"/>
  <c r="R344" i="2"/>
  <c r="R345" i="2"/>
  <c r="R346" i="2"/>
  <c r="R347" i="2"/>
  <c r="R348" i="2"/>
  <c r="R349" i="2"/>
  <c r="R350" i="2"/>
  <c r="R351" i="2"/>
  <c r="R352" i="2"/>
  <c r="R353" i="2"/>
  <c r="R354" i="2"/>
  <c r="R355" i="2"/>
  <c r="R356" i="2"/>
  <c r="R357" i="2"/>
  <c r="R358" i="2"/>
  <c r="R359" i="2"/>
  <c r="R360" i="2"/>
  <c r="R361" i="2"/>
  <c r="R362" i="2"/>
  <c r="R363" i="2"/>
  <c r="R364" i="2"/>
  <c r="R365" i="2"/>
  <c r="R366" i="2"/>
  <c r="R367" i="2"/>
  <c r="R368" i="2"/>
  <c r="R369" i="2"/>
  <c r="R370" i="2"/>
  <c r="R371" i="2"/>
  <c r="I6" i="2"/>
  <c r="J6" i="2"/>
  <c r="K6" i="2"/>
  <c r="I7" i="2"/>
  <c r="J7" i="2"/>
  <c r="K7" i="2"/>
  <c r="I8" i="2"/>
  <c r="J8" i="2"/>
  <c r="K8" i="2"/>
  <c r="I9" i="2"/>
  <c r="J9" i="2"/>
  <c r="K9" i="2"/>
  <c r="I10" i="2"/>
  <c r="J10" i="2"/>
  <c r="Z10" i="2" s="1"/>
  <c r="AB10" i="2" s="1"/>
  <c r="K10" i="2"/>
  <c r="I11" i="2"/>
  <c r="J11" i="2"/>
  <c r="K11" i="2"/>
  <c r="I12" i="2"/>
  <c r="J12" i="2"/>
  <c r="K12" i="2"/>
  <c r="I13" i="2"/>
  <c r="J13" i="2"/>
  <c r="K13" i="2"/>
  <c r="I14" i="2"/>
  <c r="J14" i="2"/>
  <c r="K14" i="2"/>
  <c r="I15" i="2"/>
  <c r="J15" i="2"/>
  <c r="K15" i="2"/>
  <c r="I16" i="2"/>
  <c r="J16" i="2"/>
  <c r="K16" i="2"/>
  <c r="I17" i="2"/>
  <c r="J17" i="2"/>
  <c r="K17" i="2"/>
  <c r="I18" i="2"/>
  <c r="J18" i="2"/>
  <c r="K18" i="2"/>
  <c r="I19" i="2"/>
  <c r="J19" i="2"/>
  <c r="K19" i="2"/>
  <c r="I20" i="2"/>
  <c r="J20" i="2"/>
  <c r="K20" i="2"/>
  <c r="I21" i="2"/>
  <c r="J21" i="2"/>
  <c r="K21" i="2"/>
  <c r="I22" i="2"/>
  <c r="J22" i="2"/>
  <c r="K22" i="2"/>
  <c r="I23" i="2"/>
  <c r="J23" i="2"/>
  <c r="K23" i="2"/>
  <c r="I24" i="2"/>
  <c r="J24" i="2"/>
  <c r="K24" i="2"/>
  <c r="I25" i="2"/>
  <c r="J25" i="2"/>
  <c r="K25" i="2"/>
  <c r="I26" i="2"/>
  <c r="J26" i="2"/>
  <c r="K26" i="2"/>
  <c r="I27" i="2"/>
  <c r="J27" i="2"/>
  <c r="K27" i="2"/>
  <c r="I28" i="2"/>
  <c r="J28" i="2"/>
  <c r="K28" i="2"/>
  <c r="I29" i="2"/>
  <c r="J29" i="2"/>
  <c r="K29" i="2"/>
  <c r="I30" i="2"/>
  <c r="J30" i="2"/>
  <c r="K30" i="2"/>
  <c r="I31" i="2"/>
  <c r="J31" i="2"/>
  <c r="K31" i="2"/>
  <c r="I32" i="2"/>
  <c r="J32" i="2"/>
  <c r="K32" i="2"/>
  <c r="I33" i="2"/>
  <c r="J33" i="2"/>
  <c r="K33" i="2"/>
  <c r="I34" i="2"/>
  <c r="J34" i="2"/>
  <c r="K34" i="2"/>
  <c r="I35" i="2"/>
  <c r="J35" i="2"/>
  <c r="K35" i="2"/>
  <c r="I36" i="2"/>
  <c r="J36" i="2"/>
  <c r="K36" i="2"/>
  <c r="I37" i="2"/>
  <c r="J37" i="2"/>
  <c r="K37" i="2"/>
  <c r="I38" i="2"/>
  <c r="J38" i="2"/>
  <c r="K38" i="2"/>
  <c r="I39" i="2"/>
  <c r="J39" i="2"/>
  <c r="K39" i="2"/>
  <c r="I40" i="2"/>
  <c r="J40" i="2"/>
  <c r="K40" i="2"/>
  <c r="I41" i="2"/>
  <c r="J41" i="2"/>
  <c r="K41" i="2"/>
  <c r="I42" i="2"/>
  <c r="J42" i="2"/>
  <c r="K42" i="2"/>
  <c r="I43" i="2"/>
  <c r="J43" i="2"/>
  <c r="K43" i="2"/>
  <c r="I44" i="2"/>
  <c r="J44" i="2"/>
  <c r="K44" i="2"/>
  <c r="I45" i="2"/>
  <c r="J45" i="2"/>
  <c r="K45" i="2"/>
  <c r="I46" i="2"/>
  <c r="J46" i="2"/>
  <c r="K46" i="2"/>
  <c r="I47" i="2"/>
  <c r="J47" i="2"/>
  <c r="K47" i="2"/>
  <c r="I48" i="2"/>
  <c r="J48" i="2"/>
  <c r="K48" i="2"/>
  <c r="I49" i="2"/>
  <c r="J49" i="2"/>
  <c r="K49" i="2"/>
  <c r="I50" i="2"/>
  <c r="J50" i="2"/>
  <c r="K50" i="2"/>
  <c r="I51" i="2"/>
  <c r="J51" i="2"/>
  <c r="K51" i="2"/>
  <c r="I52" i="2"/>
  <c r="J52" i="2"/>
  <c r="K52" i="2"/>
  <c r="I53" i="2"/>
  <c r="J53" i="2"/>
  <c r="K53" i="2"/>
  <c r="I54" i="2"/>
  <c r="J54" i="2"/>
  <c r="K54" i="2"/>
  <c r="I55" i="2"/>
  <c r="J55" i="2"/>
  <c r="K55" i="2"/>
  <c r="I56" i="2"/>
  <c r="J56" i="2"/>
  <c r="K56" i="2"/>
  <c r="I57" i="2"/>
  <c r="J57" i="2"/>
  <c r="K57" i="2"/>
  <c r="I58" i="2"/>
  <c r="J58" i="2"/>
  <c r="K58" i="2"/>
  <c r="I59" i="2"/>
  <c r="J59" i="2"/>
  <c r="K59" i="2"/>
  <c r="I60" i="2"/>
  <c r="J60" i="2"/>
  <c r="K60" i="2"/>
  <c r="I61" i="2"/>
  <c r="J61" i="2"/>
  <c r="K61" i="2"/>
  <c r="I62" i="2"/>
  <c r="J62" i="2"/>
  <c r="K62" i="2"/>
  <c r="I63" i="2"/>
  <c r="J63" i="2"/>
  <c r="K63" i="2"/>
  <c r="I64" i="2"/>
  <c r="J64" i="2"/>
  <c r="K64" i="2"/>
  <c r="I65" i="2"/>
  <c r="J65" i="2"/>
  <c r="K65" i="2"/>
  <c r="I66" i="2"/>
  <c r="J66" i="2"/>
  <c r="K66" i="2"/>
  <c r="I67" i="2"/>
  <c r="J67" i="2"/>
  <c r="K67" i="2"/>
  <c r="I68" i="2"/>
  <c r="J68" i="2"/>
  <c r="K68" i="2"/>
  <c r="I69" i="2"/>
  <c r="J69" i="2"/>
  <c r="K69" i="2"/>
  <c r="I70" i="2"/>
  <c r="J70" i="2"/>
  <c r="K70" i="2"/>
  <c r="I71" i="2"/>
  <c r="J71" i="2"/>
  <c r="K71" i="2"/>
  <c r="I72" i="2"/>
  <c r="J72" i="2"/>
  <c r="K72" i="2"/>
  <c r="I73" i="2"/>
  <c r="J73" i="2"/>
  <c r="K73" i="2"/>
  <c r="I74" i="2"/>
  <c r="J74" i="2"/>
  <c r="K74" i="2"/>
  <c r="I75" i="2"/>
  <c r="J75" i="2"/>
  <c r="K75" i="2"/>
  <c r="I76" i="2"/>
  <c r="J76" i="2"/>
  <c r="K76" i="2"/>
  <c r="I77" i="2"/>
  <c r="J77" i="2"/>
  <c r="K77" i="2"/>
  <c r="I78" i="2"/>
  <c r="J78" i="2"/>
  <c r="K78" i="2"/>
  <c r="I79" i="2"/>
  <c r="J79" i="2"/>
  <c r="K79" i="2"/>
  <c r="I80" i="2"/>
  <c r="J80" i="2"/>
  <c r="K80" i="2"/>
  <c r="I81" i="2"/>
  <c r="J81" i="2"/>
  <c r="K81" i="2"/>
  <c r="I82" i="2"/>
  <c r="J82" i="2"/>
  <c r="K82" i="2"/>
  <c r="I83" i="2"/>
  <c r="J83" i="2"/>
  <c r="K83" i="2"/>
  <c r="I84" i="2"/>
  <c r="J84" i="2"/>
  <c r="K84" i="2"/>
  <c r="I85" i="2"/>
  <c r="J85" i="2"/>
  <c r="K85" i="2"/>
  <c r="I86" i="2"/>
  <c r="J86" i="2"/>
  <c r="K86" i="2"/>
  <c r="I87" i="2"/>
  <c r="J87" i="2"/>
  <c r="K87" i="2"/>
  <c r="I88" i="2"/>
  <c r="J88" i="2"/>
  <c r="K88" i="2"/>
  <c r="I89" i="2"/>
  <c r="J89" i="2"/>
  <c r="K89" i="2"/>
  <c r="I90" i="2"/>
  <c r="J90" i="2"/>
  <c r="K90" i="2"/>
  <c r="I91" i="2"/>
  <c r="J91" i="2"/>
  <c r="K91" i="2"/>
  <c r="I92" i="2"/>
  <c r="J92" i="2"/>
  <c r="K92" i="2"/>
  <c r="I93" i="2"/>
  <c r="J93" i="2"/>
  <c r="K93" i="2"/>
  <c r="I94" i="2"/>
  <c r="J94" i="2"/>
  <c r="K94" i="2"/>
  <c r="I95" i="2"/>
  <c r="J95" i="2"/>
  <c r="K95" i="2"/>
  <c r="I96" i="2"/>
  <c r="J96" i="2"/>
  <c r="K96" i="2"/>
  <c r="I97" i="2"/>
  <c r="J97" i="2"/>
  <c r="K97" i="2"/>
  <c r="I98" i="2"/>
  <c r="J98" i="2"/>
  <c r="K98" i="2"/>
  <c r="I99" i="2"/>
  <c r="J99" i="2"/>
  <c r="K99" i="2"/>
  <c r="I100" i="2"/>
  <c r="J100" i="2"/>
  <c r="K100" i="2"/>
  <c r="I101" i="2"/>
  <c r="J101" i="2"/>
  <c r="K101" i="2"/>
  <c r="I102" i="2"/>
  <c r="J102" i="2"/>
  <c r="K102" i="2"/>
  <c r="I103" i="2"/>
  <c r="J103" i="2"/>
  <c r="K103" i="2"/>
  <c r="I104" i="2"/>
  <c r="J104" i="2"/>
  <c r="K104" i="2"/>
  <c r="I105" i="2"/>
  <c r="J105" i="2"/>
  <c r="K105" i="2"/>
  <c r="I106" i="2"/>
  <c r="J106" i="2"/>
  <c r="K106" i="2"/>
  <c r="I107" i="2"/>
  <c r="J107" i="2"/>
  <c r="K107" i="2"/>
  <c r="I108" i="2"/>
  <c r="J108" i="2"/>
  <c r="K108" i="2"/>
  <c r="I109" i="2"/>
  <c r="J109" i="2"/>
  <c r="K109" i="2"/>
  <c r="I110" i="2"/>
  <c r="J110" i="2"/>
  <c r="K110" i="2"/>
  <c r="I111" i="2"/>
  <c r="J111" i="2"/>
  <c r="K111" i="2"/>
  <c r="I112" i="2"/>
  <c r="J112" i="2"/>
  <c r="K112" i="2"/>
  <c r="I113" i="2"/>
  <c r="J113" i="2"/>
  <c r="K113" i="2"/>
  <c r="I114" i="2"/>
  <c r="J114" i="2"/>
  <c r="K114" i="2"/>
  <c r="I115" i="2"/>
  <c r="J115" i="2"/>
  <c r="K115" i="2"/>
  <c r="I116" i="2"/>
  <c r="J116" i="2"/>
  <c r="K116" i="2"/>
  <c r="I117" i="2"/>
  <c r="J117" i="2"/>
  <c r="K117" i="2"/>
  <c r="I118" i="2"/>
  <c r="J118" i="2"/>
  <c r="K118" i="2"/>
  <c r="I119" i="2"/>
  <c r="J119" i="2"/>
  <c r="K119" i="2"/>
  <c r="I120" i="2"/>
  <c r="J120" i="2"/>
  <c r="K120" i="2"/>
  <c r="I121" i="2"/>
  <c r="J121" i="2"/>
  <c r="K121" i="2"/>
  <c r="I122" i="2"/>
  <c r="J122" i="2"/>
  <c r="K122" i="2"/>
  <c r="I123" i="2"/>
  <c r="J123" i="2"/>
  <c r="K123" i="2"/>
  <c r="I124" i="2"/>
  <c r="J124" i="2"/>
  <c r="K124" i="2"/>
  <c r="I125" i="2"/>
  <c r="J125" i="2"/>
  <c r="K125" i="2"/>
  <c r="I126" i="2"/>
  <c r="J126" i="2"/>
  <c r="K126" i="2"/>
  <c r="I127" i="2"/>
  <c r="J127" i="2"/>
  <c r="K127" i="2"/>
  <c r="I128" i="2"/>
  <c r="J128" i="2"/>
  <c r="K128" i="2"/>
  <c r="I129" i="2"/>
  <c r="J129" i="2"/>
  <c r="K129" i="2"/>
  <c r="I130" i="2"/>
  <c r="J130" i="2"/>
  <c r="K130" i="2"/>
  <c r="I131" i="2"/>
  <c r="J131" i="2"/>
  <c r="K131" i="2"/>
  <c r="I132" i="2"/>
  <c r="J132" i="2"/>
  <c r="K132" i="2"/>
  <c r="I133" i="2"/>
  <c r="J133" i="2"/>
  <c r="K133" i="2"/>
  <c r="I134" i="2"/>
  <c r="J134" i="2"/>
  <c r="K134" i="2"/>
  <c r="I135" i="2"/>
  <c r="J135" i="2"/>
  <c r="K135" i="2"/>
  <c r="I136" i="2"/>
  <c r="J136" i="2"/>
  <c r="K136" i="2"/>
  <c r="I137" i="2"/>
  <c r="J137" i="2"/>
  <c r="K137" i="2"/>
  <c r="I138" i="2"/>
  <c r="J138" i="2"/>
  <c r="K138" i="2"/>
  <c r="I139" i="2"/>
  <c r="J139" i="2"/>
  <c r="K139" i="2"/>
  <c r="I140" i="2"/>
  <c r="J140" i="2"/>
  <c r="K140" i="2"/>
  <c r="I141" i="2"/>
  <c r="J141" i="2"/>
  <c r="K141" i="2"/>
  <c r="I142" i="2"/>
  <c r="J142" i="2"/>
  <c r="K142" i="2"/>
  <c r="I143" i="2"/>
  <c r="J143" i="2"/>
  <c r="K143" i="2"/>
  <c r="I144" i="2"/>
  <c r="J144" i="2"/>
  <c r="K144" i="2"/>
  <c r="I145" i="2"/>
  <c r="J145" i="2"/>
  <c r="K145" i="2"/>
  <c r="I146" i="2"/>
  <c r="J146" i="2"/>
  <c r="K146" i="2"/>
  <c r="I147" i="2"/>
  <c r="J147" i="2"/>
  <c r="K147" i="2"/>
  <c r="I148" i="2"/>
  <c r="J148" i="2"/>
  <c r="K148" i="2"/>
  <c r="I149" i="2"/>
  <c r="J149" i="2"/>
  <c r="K149" i="2"/>
  <c r="I150" i="2"/>
  <c r="J150" i="2"/>
  <c r="K150" i="2"/>
  <c r="I151" i="2"/>
  <c r="J151" i="2"/>
  <c r="K151" i="2"/>
  <c r="I152" i="2"/>
  <c r="J152" i="2"/>
  <c r="K152" i="2"/>
  <c r="I153" i="2"/>
  <c r="J153" i="2"/>
  <c r="K153" i="2"/>
  <c r="I154" i="2"/>
  <c r="J154" i="2"/>
  <c r="K154" i="2"/>
  <c r="I155" i="2"/>
  <c r="J155" i="2"/>
  <c r="K155" i="2"/>
  <c r="I156" i="2"/>
  <c r="J156" i="2"/>
  <c r="K156" i="2"/>
  <c r="I157" i="2"/>
  <c r="J157" i="2"/>
  <c r="K157" i="2"/>
  <c r="I158" i="2"/>
  <c r="J158" i="2"/>
  <c r="K158" i="2"/>
  <c r="I159" i="2"/>
  <c r="J159" i="2"/>
  <c r="K159" i="2"/>
  <c r="I160" i="2"/>
  <c r="J160" i="2"/>
  <c r="K160" i="2"/>
  <c r="I161" i="2"/>
  <c r="J161" i="2"/>
  <c r="K161" i="2"/>
  <c r="I162" i="2"/>
  <c r="J162" i="2"/>
  <c r="K162" i="2"/>
  <c r="I163" i="2"/>
  <c r="J163" i="2"/>
  <c r="K163" i="2"/>
  <c r="I164" i="2"/>
  <c r="J164" i="2"/>
  <c r="K164" i="2"/>
  <c r="I165" i="2"/>
  <c r="J165" i="2"/>
  <c r="K165" i="2"/>
  <c r="I166" i="2"/>
  <c r="J166" i="2"/>
  <c r="K166" i="2"/>
  <c r="I167" i="2"/>
  <c r="J167" i="2"/>
  <c r="K167" i="2"/>
  <c r="I168" i="2"/>
  <c r="J168" i="2"/>
  <c r="K168" i="2"/>
  <c r="I169" i="2"/>
  <c r="J169" i="2"/>
  <c r="K169" i="2"/>
  <c r="I170" i="2"/>
  <c r="J170" i="2"/>
  <c r="K170" i="2"/>
  <c r="I171" i="2"/>
  <c r="J171" i="2"/>
  <c r="K171" i="2"/>
  <c r="I172" i="2"/>
  <c r="J172" i="2"/>
  <c r="K172" i="2"/>
  <c r="I173" i="2"/>
  <c r="J173" i="2"/>
  <c r="K173" i="2"/>
  <c r="I174" i="2"/>
  <c r="J174" i="2"/>
  <c r="K174" i="2"/>
  <c r="I175" i="2"/>
  <c r="J175" i="2"/>
  <c r="K175" i="2"/>
  <c r="I176" i="2"/>
  <c r="J176" i="2"/>
  <c r="K176" i="2"/>
  <c r="I177" i="2"/>
  <c r="J177" i="2"/>
  <c r="K177" i="2"/>
  <c r="I178" i="2"/>
  <c r="J178" i="2"/>
  <c r="K178" i="2"/>
  <c r="I179" i="2"/>
  <c r="J179" i="2"/>
  <c r="K179" i="2"/>
  <c r="I180" i="2"/>
  <c r="J180" i="2"/>
  <c r="K180" i="2"/>
  <c r="I181" i="2"/>
  <c r="J181" i="2"/>
  <c r="K181" i="2"/>
  <c r="I182" i="2"/>
  <c r="J182" i="2"/>
  <c r="K182" i="2"/>
  <c r="I183" i="2"/>
  <c r="J183" i="2"/>
  <c r="K183" i="2"/>
  <c r="I184" i="2"/>
  <c r="J184" i="2"/>
  <c r="K184" i="2"/>
  <c r="I185" i="2"/>
  <c r="J185" i="2"/>
  <c r="K185" i="2"/>
  <c r="I186" i="2"/>
  <c r="J186" i="2"/>
  <c r="K186" i="2"/>
  <c r="I187" i="2"/>
  <c r="J187" i="2"/>
  <c r="K187" i="2"/>
  <c r="I188" i="2"/>
  <c r="J188" i="2"/>
  <c r="K188" i="2"/>
  <c r="I189" i="2"/>
  <c r="J189" i="2"/>
  <c r="K189" i="2"/>
  <c r="I190" i="2"/>
  <c r="J190" i="2"/>
  <c r="K190" i="2"/>
  <c r="I191" i="2"/>
  <c r="J191" i="2"/>
  <c r="K191" i="2"/>
  <c r="I192" i="2"/>
  <c r="J192" i="2"/>
  <c r="K192" i="2"/>
  <c r="I193" i="2"/>
  <c r="J193" i="2"/>
  <c r="K193" i="2"/>
  <c r="I194" i="2"/>
  <c r="J194" i="2"/>
  <c r="K194" i="2"/>
  <c r="I195" i="2"/>
  <c r="J195" i="2"/>
  <c r="K195" i="2"/>
  <c r="I196" i="2"/>
  <c r="J196" i="2"/>
  <c r="K196" i="2"/>
  <c r="I197" i="2"/>
  <c r="J197" i="2"/>
  <c r="K197" i="2"/>
  <c r="I198" i="2"/>
  <c r="J198" i="2"/>
  <c r="K198" i="2"/>
  <c r="I199" i="2"/>
  <c r="J199" i="2"/>
  <c r="K199" i="2"/>
  <c r="I200" i="2"/>
  <c r="J200" i="2"/>
  <c r="K200" i="2"/>
  <c r="I201" i="2"/>
  <c r="J201" i="2"/>
  <c r="K201" i="2"/>
  <c r="I202" i="2"/>
  <c r="J202" i="2"/>
  <c r="K202" i="2"/>
  <c r="I203" i="2"/>
  <c r="J203" i="2"/>
  <c r="K203" i="2"/>
  <c r="I204" i="2"/>
  <c r="J204" i="2"/>
  <c r="K204" i="2"/>
  <c r="I205" i="2"/>
  <c r="J205" i="2"/>
  <c r="K205" i="2"/>
  <c r="I206" i="2"/>
  <c r="J206" i="2"/>
  <c r="K206" i="2"/>
  <c r="I207" i="2"/>
  <c r="J207" i="2"/>
  <c r="K207" i="2"/>
  <c r="I208" i="2"/>
  <c r="J208" i="2"/>
  <c r="K208" i="2"/>
  <c r="I209" i="2"/>
  <c r="J209" i="2"/>
  <c r="K209" i="2"/>
  <c r="I210" i="2"/>
  <c r="J210" i="2"/>
  <c r="K210" i="2"/>
  <c r="I211" i="2"/>
  <c r="J211" i="2"/>
  <c r="K211" i="2"/>
  <c r="I212" i="2"/>
  <c r="J212" i="2"/>
  <c r="K212" i="2"/>
  <c r="I213" i="2"/>
  <c r="J213" i="2"/>
  <c r="K213" i="2"/>
  <c r="I214" i="2"/>
  <c r="J214" i="2"/>
  <c r="K214" i="2"/>
  <c r="I215" i="2"/>
  <c r="J215" i="2"/>
  <c r="K215" i="2"/>
  <c r="I216" i="2"/>
  <c r="J216" i="2"/>
  <c r="K216" i="2"/>
  <c r="I217" i="2"/>
  <c r="J217" i="2"/>
  <c r="K217" i="2"/>
  <c r="I218" i="2"/>
  <c r="J218" i="2"/>
  <c r="K218" i="2"/>
  <c r="I219" i="2"/>
  <c r="J219" i="2"/>
  <c r="K219" i="2"/>
  <c r="I220" i="2"/>
  <c r="J220" i="2"/>
  <c r="K220" i="2"/>
  <c r="I221" i="2"/>
  <c r="J221" i="2"/>
  <c r="K221" i="2"/>
  <c r="I222" i="2"/>
  <c r="J222" i="2"/>
  <c r="K222" i="2"/>
  <c r="I223" i="2"/>
  <c r="J223" i="2"/>
  <c r="K223" i="2"/>
  <c r="I224" i="2"/>
  <c r="J224" i="2"/>
  <c r="K224" i="2"/>
  <c r="I225" i="2"/>
  <c r="J225" i="2"/>
  <c r="K225" i="2"/>
  <c r="I226" i="2"/>
  <c r="J226" i="2"/>
  <c r="K226" i="2"/>
  <c r="I227" i="2"/>
  <c r="J227" i="2"/>
  <c r="K227" i="2"/>
  <c r="I228" i="2"/>
  <c r="J228" i="2"/>
  <c r="K228" i="2"/>
  <c r="I229" i="2"/>
  <c r="J229" i="2"/>
  <c r="K229" i="2"/>
  <c r="I230" i="2"/>
  <c r="J230" i="2"/>
  <c r="K230" i="2"/>
  <c r="I231" i="2"/>
  <c r="J231" i="2"/>
  <c r="K231" i="2"/>
  <c r="I232" i="2"/>
  <c r="J232" i="2"/>
  <c r="K232" i="2"/>
  <c r="I233" i="2"/>
  <c r="J233" i="2"/>
  <c r="K233" i="2"/>
  <c r="I234" i="2"/>
  <c r="J234" i="2"/>
  <c r="K234" i="2"/>
  <c r="I235" i="2"/>
  <c r="J235" i="2"/>
  <c r="K235" i="2"/>
  <c r="I236" i="2"/>
  <c r="J236" i="2"/>
  <c r="K236" i="2"/>
  <c r="I237" i="2"/>
  <c r="J237" i="2"/>
  <c r="K237" i="2"/>
  <c r="I238" i="2"/>
  <c r="J238" i="2"/>
  <c r="K238" i="2"/>
  <c r="I239" i="2"/>
  <c r="J239" i="2"/>
  <c r="K239" i="2"/>
  <c r="I240" i="2"/>
  <c r="J240" i="2"/>
  <c r="K240" i="2"/>
  <c r="I241" i="2"/>
  <c r="J241" i="2"/>
  <c r="K241" i="2"/>
  <c r="I242" i="2"/>
  <c r="J242" i="2"/>
  <c r="K242" i="2"/>
  <c r="I243" i="2"/>
  <c r="J243" i="2"/>
  <c r="K243" i="2"/>
  <c r="I244" i="2"/>
  <c r="J244" i="2"/>
  <c r="K244" i="2"/>
  <c r="I245" i="2"/>
  <c r="J245" i="2"/>
  <c r="K245" i="2"/>
  <c r="I246" i="2"/>
  <c r="J246" i="2"/>
  <c r="K246" i="2"/>
  <c r="I247" i="2"/>
  <c r="J247" i="2"/>
  <c r="K247" i="2"/>
  <c r="I248" i="2"/>
  <c r="J248" i="2"/>
  <c r="K248" i="2"/>
  <c r="I249" i="2"/>
  <c r="J249" i="2"/>
  <c r="K249" i="2"/>
  <c r="I250" i="2"/>
  <c r="J250" i="2"/>
  <c r="K250" i="2"/>
  <c r="I251" i="2"/>
  <c r="J251" i="2"/>
  <c r="K251" i="2"/>
  <c r="I252" i="2"/>
  <c r="J252" i="2"/>
  <c r="K252" i="2"/>
  <c r="I253" i="2"/>
  <c r="J253" i="2"/>
  <c r="K253" i="2"/>
  <c r="I254" i="2"/>
  <c r="J254" i="2"/>
  <c r="K254" i="2"/>
  <c r="I255" i="2"/>
  <c r="J255" i="2"/>
  <c r="K255" i="2"/>
  <c r="I256" i="2"/>
  <c r="J256" i="2"/>
  <c r="K256" i="2"/>
  <c r="I257" i="2"/>
  <c r="J257" i="2"/>
  <c r="K257" i="2"/>
  <c r="I258" i="2"/>
  <c r="J258" i="2"/>
  <c r="K258" i="2"/>
  <c r="I259" i="2"/>
  <c r="J259" i="2"/>
  <c r="K259" i="2"/>
  <c r="I260" i="2"/>
  <c r="J260" i="2"/>
  <c r="K260" i="2"/>
  <c r="I261" i="2"/>
  <c r="J261" i="2"/>
  <c r="K261" i="2"/>
  <c r="I262" i="2"/>
  <c r="J262" i="2"/>
  <c r="K262" i="2"/>
  <c r="I263" i="2"/>
  <c r="J263" i="2"/>
  <c r="K263" i="2"/>
  <c r="I264" i="2"/>
  <c r="J264" i="2"/>
  <c r="K264" i="2"/>
  <c r="I265" i="2"/>
  <c r="J265" i="2"/>
  <c r="K265" i="2"/>
  <c r="I266" i="2"/>
  <c r="J266" i="2"/>
  <c r="K266" i="2"/>
  <c r="I267" i="2"/>
  <c r="J267" i="2"/>
  <c r="K267" i="2"/>
  <c r="I268" i="2"/>
  <c r="J268" i="2"/>
  <c r="K268" i="2"/>
  <c r="I269" i="2"/>
  <c r="J269" i="2"/>
  <c r="K269" i="2"/>
  <c r="I270" i="2"/>
  <c r="J270" i="2"/>
  <c r="K270" i="2"/>
  <c r="I271" i="2"/>
  <c r="J271" i="2"/>
  <c r="K271" i="2"/>
  <c r="I272" i="2"/>
  <c r="J272" i="2"/>
  <c r="K272" i="2"/>
  <c r="I273" i="2"/>
  <c r="J273" i="2"/>
  <c r="K273" i="2"/>
  <c r="I274" i="2"/>
  <c r="J274" i="2"/>
  <c r="K274" i="2"/>
  <c r="I275" i="2"/>
  <c r="J275" i="2"/>
  <c r="K275" i="2"/>
  <c r="I276" i="2"/>
  <c r="J276" i="2"/>
  <c r="K276" i="2"/>
  <c r="I277" i="2"/>
  <c r="J277" i="2"/>
  <c r="K277" i="2"/>
  <c r="I278" i="2"/>
  <c r="J278" i="2"/>
  <c r="K278" i="2"/>
  <c r="I279" i="2"/>
  <c r="J279" i="2"/>
  <c r="K279" i="2"/>
  <c r="I280" i="2"/>
  <c r="J280" i="2"/>
  <c r="K280" i="2"/>
  <c r="I281" i="2"/>
  <c r="J281" i="2"/>
  <c r="K281" i="2"/>
  <c r="I282" i="2"/>
  <c r="J282" i="2"/>
  <c r="K282" i="2"/>
  <c r="I283" i="2"/>
  <c r="J283" i="2"/>
  <c r="K283" i="2"/>
  <c r="I284" i="2"/>
  <c r="J284" i="2"/>
  <c r="K284" i="2"/>
  <c r="I285" i="2"/>
  <c r="J285" i="2"/>
  <c r="K285" i="2"/>
  <c r="I286" i="2"/>
  <c r="J286" i="2"/>
  <c r="K286" i="2"/>
  <c r="I287" i="2"/>
  <c r="J287" i="2"/>
  <c r="K287" i="2"/>
  <c r="I288" i="2"/>
  <c r="J288" i="2"/>
  <c r="K288" i="2"/>
  <c r="I289" i="2"/>
  <c r="J289" i="2"/>
  <c r="K289" i="2"/>
  <c r="I290" i="2"/>
  <c r="J290" i="2"/>
  <c r="K290" i="2"/>
  <c r="I291" i="2"/>
  <c r="J291" i="2"/>
  <c r="K291" i="2"/>
  <c r="I292" i="2"/>
  <c r="J292" i="2"/>
  <c r="K292" i="2"/>
  <c r="I293" i="2"/>
  <c r="J293" i="2"/>
  <c r="K293" i="2"/>
  <c r="I294" i="2"/>
  <c r="J294" i="2"/>
  <c r="K294" i="2"/>
  <c r="I295" i="2"/>
  <c r="J295" i="2"/>
  <c r="K295" i="2"/>
  <c r="I296" i="2"/>
  <c r="J296" i="2"/>
  <c r="K296" i="2"/>
  <c r="I297" i="2"/>
  <c r="J297" i="2"/>
  <c r="K297" i="2"/>
  <c r="I298" i="2"/>
  <c r="J298" i="2"/>
  <c r="K298" i="2"/>
  <c r="I299" i="2"/>
  <c r="J299" i="2"/>
  <c r="K299" i="2"/>
  <c r="I300" i="2"/>
  <c r="J300" i="2"/>
  <c r="K300" i="2"/>
  <c r="I301" i="2"/>
  <c r="J301" i="2"/>
  <c r="K301" i="2"/>
  <c r="I302" i="2"/>
  <c r="J302" i="2"/>
  <c r="K302" i="2"/>
  <c r="I303" i="2"/>
  <c r="J303" i="2"/>
  <c r="K303" i="2"/>
  <c r="I304" i="2"/>
  <c r="J304" i="2"/>
  <c r="K304" i="2"/>
  <c r="I305" i="2"/>
  <c r="J305" i="2"/>
  <c r="K305" i="2"/>
  <c r="I306" i="2"/>
  <c r="J306" i="2"/>
  <c r="K306" i="2"/>
  <c r="I307" i="2"/>
  <c r="J307" i="2"/>
  <c r="K307" i="2"/>
  <c r="I308" i="2"/>
  <c r="J308" i="2"/>
  <c r="K308" i="2"/>
  <c r="I309" i="2"/>
  <c r="J309" i="2"/>
  <c r="K309" i="2"/>
  <c r="I310" i="2"/>
  <c r="J310" i="2"/>
  <c r="K310" i="2"/>
  <c r="I311" i="2"/>
  <c r="J311" i="2"/>
  <c r="K311" i="2"/>
  <c r="I312" i="2"/>
  <c r="J312" i="2"/>
  <c r="K312" i="2"/>
  <c r="I313" i="2"/>
  <c r="J313" i="2"/>
  <c r="K313" i="2"/>
  <c r="I314" i="2"/>
  <c r="J314" i="2"/>
  <c r="K314" i="2"/>
  <c r="I315" i="2"/>
  <c r="J315" i="2"/>
  <c r="K315" i="2"/>
  <c r="I316" i="2"/>
  <c r="J316" i="2"/>
  <c r="K316" i="2"/>
  <c r="I317" i="2"/>
  <c r="J317" i="2"/>
  <c r="K317" i="2"/>
  <c r="I318" i="2"/>
  <c r="J318" i="2"/>
  <c r="K318" i="2"/>
  <c r="I319" i="2"/>
  <c r="J319" i="2"/>
  <c r="K319" i="2"/>
  <c r="I320" i="2"/>
  <c r="J320" i="2"/>
  <c r="K320" i="2"/>
  <c r="I321" i="2"/>
  <c r="J321" i="2"/>
  <c r="K321" i="2"/>
  <c r="I322" i="2"/>
  <c r="J322" i="2"/>
  <c r="K322" i="2"/>
  <c r="I323" i="2"/>
  <c r="J323" i="2"/>
  <c r="K323" i="2"/>
  <c r="I324" i="2"/>
  <c r="J324" i="2"/>
  <c r="K324" i="2"/>
  <c r="I325" i="2"/>
  <c r="J325" i="2"/>
  <c r="K325" i="2"/>
  <c r="I326" i="2"/>
  <c r="J326" i="2"/>
  <c r="K326" i="2"/>
  <c r="I327" i="2"/>
  <c r="J327" i="2"/>
  <c r="K327" i="2"/>
  <c r="I328" i="2"/>
  <c r="J328" i="2"/>
  <c r="K328" i="2"/>
  <c r="I329" i="2"/>
  <c r="J329" i="2"/>
  <c r="K329" i="2"/>
  <c r="I330" i="2"/>
  <c r="J330" i="2"/>
  <c r="K330" i="2"/>
  <c r="I331" i="2"/>
  <c r="J331" i="2"/>
  <c r="K331" i="2"/>
  <c r="I332" i="2"/>
  <c r="J332" i="2"/>
  <c r="K332" i="2"/>
  <c r="I333" i="2"/>
  <c r="J333" i="2"/>
  <c r="K333" i="2"/>
  <c r="I334" i="2"/>
  <c r="J334" i="2"/>
  <c r="K334" i="2"/>
  <c r="I335" i="2"/>
  <c r="J335" i="2"/>
  <c r="K335" i="2"/>
  <c r="I336" i="2"/>
  <c r="J336" i="2"/>
  <c r="K336" i="2"/>
  <c r="I337" i="2"/>
  <c r="J337" i="2"/>
  <c r="K337" i="2"/>
  <c r="I338" i="2"/>
  <c r="J338" i="2"/>
  <c r="K338" i="2"/>
  <c r="I339" i="2"/>
  <c r="J339" i="2"/>
  <c r="K339" i="2"/>
  <c r="I340" i="2"/>
  <c r="J340" i="2"/>
  <c r="K340" i="2"/>
  <c r="I341" i="2"/>
  <c r="J341" i="2"/>
  <c r="K341" i="2"/>
  <c r="I342" i="2"/>
  <c r="J342" i="2"/>
  <c r="K342" i="2"/>
  <c r="I343" i="2"/>
  <c r="J343" i="2"/>
  <c r="K343" i="2"/>
  <c r="I344" i="2"/>
  <c r="J344" i="2"/>
  <c r="K344" i="2"/>
  <c r="I345" i="2"/>
  <c r="J345" i="2"/>
  <c r="K345" i="2"/>
  <c r="I346" i="2"/>
  <c r="J346" i="2"/>
  <c r="K346" i="2"/>
  <c r="I347" i="2"/>
  <c r="J347" i="2"/>
  <c r="K347" i="2"/>
  <c r="I348" i="2"/>
  <c r="J348" i="2"/>
  <c r="K348" i="2"/>
  <c r="I349" i="2"/>
  <c r="J349" i="2"/>
  <c r="K349" i="2"/>
  <c r="I350" i="2"/>
  <c r="J350" i="2"/>
  <c r="K350" i="2"/>
  <c r="I351" i="2"/>
  <c r="J351" i="2"/>
  <c r="K351" i="2"/>
  <c r="I352" i="2"/>
  <c r="J352" i="2"/>
  <c r="K352" i="2"/>
  <c r="I353" i="2"/>
  <c r="J353" i="2"/>
  <c r="K353" i="2"/>
  <c r="I354" i="2"/>
  <c r="J354" i="2"/>
  <c r="K354" i="2"/>
  <c r="I355" i="2"/>
  <c r="J355" i="2"/>
  <c r="K355" i="2"/>
  <c r="I356" i="2"/>
  <c r="J356" i="2"/>
  <c r="K356" i="2"/>
  <c r="I357" i="2"/>
  <c r="J357" i="2"/>
  <c r="K357" i="2"/>
  <c r="I358" i="2"/>
  <c r="J358" i="2"/>
  <c r="K358" i="2"/>
  <c r="I359" i="2"/>
  <c r="J359" i="2"/>
  <c r="K359" i="2"/>
  <c r="I360" i="2"/>
  <c r="J360" i="2"/>
  <c r="K360" i="2"/>
  <c r="I361" i="2"/>
  <c r="J361" i="2"/>
  <c r="K361" i="2"/>
  <c r="I362" i="2"/>
  <c r="J362" i="2"/>
  <c r="K362" i="2"/>
  <c r="I363" i="2"/>
  <c r="J363" i="2"/>
  <c r="K363" i="2"/>
  <c r="I364" i="2"/>
  <c r="J364" i="2"/>
  <c r="K364" i="2"/>
  <c r="I365" i="2"/>
  <c r="J365" i="2"/>
  <c r="K365" i="2"/>
  <c r="I366" i="2"/>
  <c r="J366" i="2"/>
  <c r="K366" i="2"/>
  <c r="I367" i="2"/>
  <c r="J367" i="2"/>
  <c r="K367" i="2"/>
  <c r="I368" i="2"/>
  <c r="J368" i="2"/>
  <c r="K368" i="2"/>
  <c r="I369" i="2"/>
  <c r="J369" i="2"/>
  <c r="K369" i="2"/>
  <c r="I370" i="2"/>
  <c r="J370" i="2"/>
  <c r="K370" i="2"/>
  <c r="I371" i="2"/>
  <c r="J371" i="2"/>
  <c r="K371" i="2"/>
  <c r="T5" i="2"/>
  <c r="A5" i="2" s="1"/>
  <c r="R5" i="2"/>
  <c r="K5" i="2"/>
  <c r="J5" i="2"/>
  <c r="I5" i="2"/>
  <c r="E5" i="2"/>
  <c r="D6" i="2"/>
  <c r="D5" i="2"/>
  <c r="AG5" i="3"/>
  <c r="AG6" i="3" s="1"/>
  <c r="AG7" i="3" s="1"/>
  <c r="AG8" i="3" s="1"/>
  <c r="AG9" i="3" s="1"/>
  <c r="AG10" i="3" s="1"/>
  <c r="AG11" i="3" s="1"/>
  <c r="AG12" i="3" s="1"/>
  <c r="AG13" i="3" s="1"/>
  <c r="AH5" i="3"/>
  <c r="AH6" i="3" s="1"/>
  <c r="AH7" i="3" s="1"/>
  <c r="AH8" i="3" s="1"/>
  <c r="AH9" i="3" s="1"/>
  <c r="AH10" i="3" s="1"/>
  <c r="AH11" i="3" s="1"/>
  <c r="AH12" i="3" s="1"/>
  <c r="AH13" i="3" s="1"/>
  <c r="AI5" i="3"/>
  <c r="AI6" i="3" s="1"/>
  <c r="AI7" i="3" s="1"/>
  <c r="AI8" i="3" s="1"/>
  <c r="AI9" i="3" s="1"/>
  <c r="AI10" i="3" s="1"/>
  <c r="AI11" i="3" s="1"/>
  <c r="AI12" i="3" s="1"/>
  <c r="AI13" i="3" s="1"/>
  <c r="AJ5" i="3"/>
  <c r="AJ6" i="3" s="1"/>
  <c r="AJ7" i="3" s="1"/>
  <c r="AJ8" i="3" s="1"/>
  <c r="AJ9" i="3" s="1"/>
  <c r="AJ10" i="3" s="1"/>
  <c r="AJ11" i="3" s="1"/>
  <c r="AJ12" i="3" s="1"/>
  <c r="AJ13" i="3" s="1"/>
  <c r="AF5" i="3"/>
  <c r="AF6" i="3" s="1"/>
  <c r="AF7" i="3" s="1"/>
  <c r="AF8" i="3" s="1"/>
  <c r="AF9" i="3" s="1"/>
  <c r="AF10" i="3" s="1"/>
  <c r="AF11" i="3" s="1"/>
  <c r="AF12" i="3" s="1"/>
  <c r="AF13" i="3" s="1"/>
  <c r="G6" i="4" l="1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G57" i="4"/>
  <c r="G58" i="4"/>
  <c r="G59" i="4"/>
  <c r="G60" i="4"/>
  <c r="G61" i="4"/>
  <c r="G62" i="4"/>
  <c r="G63" i="4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G77" i="4"/>
  <c r="G78" i="4"/>
  <c r="G79" i="4"/>
  <c r="G80" i="4"/>
  <c r="G81" i="4"/>
  <c r="G82" i="4"/>
  <c r="G83" i="4"/>
  <c r="G84" i="4"/>
  <c r="G85" i="4"/>
  <c r="G86" i="4"/>
  <c r="G87" i="4"/>
  <c r="G88" i="4"/>
  <c r="G89" i="4"/>
  <c r="G90" i="4"/>
  <c r="G91" i="4"/>
  <c r="G92" i="4"/>
  <c r="G93" i="4"/>
  <c r="G94" i="4"/>
  <c r="G95" i="4"/>
  <c r="G96" i="4"/>
  <c r="G97" i="4"/>
  <c r="G98" i="4"/>
  <c r="G99" i="4"/>
  <c r="G100" i="4"/>
  <c r="G101" i="4"/>
  <c r="G102" i="4"/>
  <c r="G103" i="4"/>
  <c r="G104" i="4"/>
  <c r="G105" i="4"/>
  <c r="G106" i="4"/>
  <c r="G107" i="4"/>
  <c r="G108" i="4"/>
  <c r="G109" i="4"/>
  <c r="G110" i="4"/>
  <c r="G111" i="4"/>
  <c r="G112" i="4"/>
  <c r="G113" i="4"/>
  <c r="G114" i="4"/>
  <c r="G115" i="4"/>
  <c r="G116" i="4"/>
  <c r="G117" i="4"/>
  <c r="G118" i="4"/>
  <c r="G119" i="4"/>
  <c r="G120" i="4"/>
  <c r="G121" i="4"/>
  <c r="G122" i="4"/>
  <c r="G123" i="4"/>
  <c r="G124" i="4"/>
  <c r="G125" i="4"/>
  <c r="G126" i="4"/>
  <c r="G127" i="4"/>
  <c r="G128" i="4"/>
  <c r="G129" i="4"/>
  <c r="G130" i="4"/>
  <c r="G131" i="4"/>
  <c r="G132" i="4"/>
  <c r="G133" i="4"/>
  <c r="G134" i="4"/>
  <c r="G135" i="4"/>
  <c r="G136" i="4"/>
  <c r="G137" i="4"/>
  <c r="G138" i="4"/>
  <c r="G139" i="4"/>
  <c r="G140" i="4"/>
  <c r="G141" i="4"/>
  <c r="G142" i="4"/>
  <c r="G143" i="4"/>
  <c r="G144" i="4"/>
  <c r="G145" i="4"/>
  <c r="G146" i="4"/>
  <c r="G147" i="4"/>
  <c r="G148" i="4"/>
  <c r="G149" i="4"/>
  <c r="G150" i="4"/>
  <c r="G151" i="4"/>
  <c r="G152" i="4"/>
  <c r="G153" i="4"/>
  <c r="G154" i="4"/>
  <c r="G155" i="4"/>
  <c r="G156" i="4"/>
  <c r="G157" i="4"/>
  <c r="G158" i="4"/>
  <c r="G159" i="4"/>
  <c r="G160" i="4"/>
  <c r="G161" i="4"/>
  <c r="G162" i="4"/>
  <c r="G163" i="4"/>
  <c r="G164" i="4"/>
  <c r="G165" i="4"/>
  <c r="G166" i="4"/>
  <c r="G167" i="4"/>
  <c r="G168" i="4"/>
  <c r="G169" i="4"/>
  <c r="G170" i="4"/>
  <c r="G171" i="4"/>
  <c r="G172" i="4"/>
  <c r="G173" i="4"/>
  <c r="G174" i="4"/>
  <c r="G175" i="4"/>
  <c r="G176" i="4"/>
  <c r="G177" i="4"/>
  <c r="G178" i="4"/>
  <c r="G179" i="4"/>
  <c r="G180" i="4"/>
  <c r="G181" i="4"/>
  <c r="G182" i="4"/>
  <c r="G183" i="4"/>
  <c r="G184" i="4"/>
  <c r="G185" i="4"/>
  <c r="G186" i="4"/>
  <c r="G187" i="4"/>
  <c r="G188" i="4"/>
  <c r="G189" i="4"/>
  <c r="G190" i="4"/>
  <c r="G191" i="4"/>
  <c r="G192" i="4"/>
  <c r="G193" i="4"/>
  <c r="G194" i="4"/>
  <c r="G195" i="4"/>
  <c r="G196" i="4"/>
  <c r="G197" i="4"/>
  <c r="G198" i="4"/>
  <c r="G199" i="4"/>
  <c r="G200" i="4"/>
  <c r="G201" i="4"/>
  <c r="G202" i="4"/>
  <c r="G203" i="4"/>
  <c r="G204" i="4"/>
  <c r="G205" i="4"/>
  <c r="G206" i="4"/>
  <c r="G207" i="4"/>
  <c r="G208" i="4"/>
  <c r="G209" i="4"/>
  <c r="G210" i="4"/>
  <c r="G211" i="4"/>
  <c r="G212" i="4"/>
  <c r="G213" i="4"/>
  <c r="G214" i="4"/>
  <c r="G215" i="4"/>
  <c r="G216" i="4"/>
  <c r="G217" i="4"/>
  <c r="G218" i="4"/>
  <c r="G424" i="4"/>
  <c r="G426" i="4"/>
  <c r="G428" i="4"/>
  <c r="G430" i="4"/>
  <c r="G432" i="4"/>
  <c r="G219" i="4"/>
  <c r="G220" i="4"/>
  <c r="G221" i="4"/>
  <c r="G222" i="4"/>
  <c r="G223" i="4"/>
  <c r="G224" i="4"/>
  <c r="G225" i="4"/>
  <c r="G226" i="4"/>
  <c r="G227" i="4"/>
  <c r="G228" i="4"/>
  <c r="G229" i="4"/>
  <c r="G230" i="4"/>
  <c r="G231" i="4"/>
  <c r="G232" i="4"/>
  <c r="G233" i="4"/>
  <c r="G234" i="4"/>
  <c r="G235" i="4"/>
  <c r="G236" i="4"/>
  <c r="G237" i="4"/>
  <c r="G238" i="4"/>
  <c r="G239" i="4"/>
  <c r="G240" i="4"/>
  <c r="G241" i="4"/>
  <c r="G242" i="4"/>
  <c r="G243" i="4"/>
  <c r="G244" i="4"/>
  <c r="G245" i="4"/>
  <c r="G246" i="4"/>
  <c r="G247" i="4"/>
  <c r="G248" i="4"/>
  <c r="G249" i="4"/>
  <c r="G250" i="4"/>
  <c r="G251" i="4"/>
  <c r="G252" i="4"/>
  <c r="G253" i="4"/>
  <c r="G254" i="4"/>
  <c r="G255" i="4"/>
  <c r="G256" i="4"/>
  <c r="G257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70" i="4"/>
  <c r="G271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84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97" i="4"/>
  <c r="G298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31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324" i="4"/>
  <c r="G325" i="4"/>
  <c r="G326" i="4"/>
  <c r="G327" i="4"/>
  <c r="G328" i="4"/>
  <c r="G329" i="4"/>
  <c r="G330" i="4"/>
  <c r="G331" i="4"/>
  <c r="G332" i="4"/>
  <c r="G333" i="4"/>
  <c r="G334" i="4"/>
  <c r="G335" i="4"/>
  <c r="G336" i="4"/>
  <c r="G337" i="4"/>
  <c r="G338" i="4"/>
  <c r="G339" i="4"/>
  <c r="G340" i="4"/>
  <c r="G341" i="4"/>
  <c r="G342" i="4"/>
  <c r="G343" i="4"/>
  <c r="G344" i="4"/>
  <c r="G345" i="4"/>
  <c r="G346" i="4"/>
  <c r="G347" i="4"/>
  <c r="G348" i="4"/>
  <c r="G349" i="4"/>
  <c r="G350" i="4"/>
  <c r="G351" i="4"/>
  <c r="G352" i="4"/>
  <c r="G353" i="4"/>
  <c r="G354" i="4"/>
  <c r="G355" i="4"/>
  <c r="G356" i="4"/>
  <c r="G357" i="4"/>
  <c r="G358" i="4"/>
  <c r="G359" i="4"/>
  <c r="G360" i="4"/>
  <c r="G361" i="4"/>
  <c r="G362" i="4"/>
  <c r="G363" i="4"/>
  <c r="G364" i="4"/>
  <c r="G365" i="4"/>
  <c r="G366" i="4"/>
  <c r="G367" i="4"/>
  <c r="G368" i="4"/>
  <c r="G369" i="4"/>
  <c r="G370" i="4"/>
  <c r="G371" i="4"/>
  <c r="G372" i="4"/>
  <c r="G373" i="4"/>
  <c r="G374" i="4"/>
  <c r="G375" i="4"/>
  <c r="G376" i="4"/>
  <c r="G377" i="4"/>
  <c r="G378" i="4"/>
  <c r="G379" i="4"/>
  <c r="G380" i="4"/>
  <c r="G381" i="4"/>
  <c r="G382" i="4"/>
  <c r="G383" i="4"/>
  <c r="G384" i="4"/>
  <c r="G385" i="4"/>
  <c r="G386" i="4"/>
  <c r="G387" i="4"/>
  <c r="G388" i="4"/>
  <c r="G389" i="4"/>
  <c r="G390" i="4"/>
  <c r="G391" i="4"/>
  <c r="G392" i="4"/>
  <c r="G393" i="4"/>
  <c r="G394" i="4"/>
  <c r="G395" i="4"/>
  <c r="G396" i="4"/>
  <c r="G397" i="4"/>
  <c r="G398" i="4"/>
  <c r="G399" i="4"/>
  <c r="G400" i="4"/>
  <c r="G401" i="4"/>
  <c r="G402" i="4"/>
  <c r="G403" i="4"/>
  <c r="G404" i="4"/>
  <c r="G405" i="4"/>
  <c r="G406" i="4"/>
  <c r="G407" i="4"/>
  <c r="G408" i="4"/>
  <c r="G409" i="4"/>
  <c r="G410" i="4"/>
  <c r="G411" i="4"/>
  <c r="G412" i="4"/>
  <c r="G413" i="4"/>
  <c r="G414" i="4"/>
  <c r="G415" i="4"/>
  <c r="G416" i="4"/>
  <c r="G417" i="4"/>
  <c r="G418" i="4"/>
  <c r="G419" i="4"/>
  <c r="G420" i="4"/>
  <c r="G421" i="4"/>
  <c r="G422" i="4"/>
  <c r="G423" i="4"/>
  <c r="G425" i="4"/>
  <c r="G427" i="4"/>
  <c r="G429" i="4"/>
  <c r="G431" i="4"/>
  <c r="G433" i="4"/>
  <c r="G434" i="4"/>
  <c r="G435" i="4"/>
  <c r="G436" i="4"/>
  <c r="G437" i="4"/>
  <c r="G438" i="4"/>
  <c r="G439" i="4"/>
  <c r="G440" i="4"/>
  <c r="G441" i="4"/>
  <c r="G442" i="4"/>
  <c r="G443" i="4"/>
  <c r="G444" i="4"/>
  <c r="G5" i="4"/>
  <c r="Y314" i="2" a="1"/>
  <c r="U6" i="2" a="1"/>
  <c r="V6" i="2" a="1"/>
  <c r="W6" i="2" a="1"/>
  <c r="X6" i="2" a="1"/>
  <c r="Y6" i="2" a="1"/>
  <c r="Z6" i="2"/>
  <c r="AB6" i="2"/>
  <c r="U7" i="2" a="1"/>
  <c r="V7" i="2" a="1"/>
  <c r="W7" i="2" a="1"/>
  <c r="X7" i="2" a="1"/>
  <c r="Y7" i="2" a="1"/>
  <c r="Z7" i="2"/>
  <c r="AB7" i="2" s="1"/>
  <c r="U8" i="2" a="1"/>
  <c r="V8" i="2" a="1"/>
  <c r="W8" i="2" a="1"/>
  <c r="X8" i="2" a="1"/>
  <c r="Y8" i="2" a="1"/>
  <c r="Z8" i="2"/>
  <c r="AB8" i="2"/>
  <c r="U9" i="2" a="1"/>
  <c r="V9" i="2" a="1"/>
  <c r="W9" i="2" a="1"/>
  <c r="X9" i="2" a="1"/>
  <c r="Y9" i="2" a="1"/>
  <c r="Z9" i="2"/>
  <c r="AB9" i="2"/>
  <c r="U10" i="2" a="1"/>
  <c r="V10" i="2" a="1"/>
  <c r="W10" i="2" a="1"/>
  <c r="X10" i="2" a="1"/>
  <c r="Y10" i="2" a="1"/>
  <c r="Z60" i="2"/>
  <c r="AB60" i="2"/>
  <c r="U61" i="2" a="1"/>
  <c r="V61" i="2" a="1"/>
  <c r="W61" i="2" a="1"/>
  <c r="X61" i="2" a="1"/>
  <c r="Y61" i="2" a="1"/>
  <c r="Z61" i="2"/>
  <c r="AB61" i="2"/>
  <c r="X62" i="2" a="1"/>
  <c r="U62" i="2" a="1"/>
  <c r="V62" i="2" a="1"/>
  <c r="W62" i="2" a="1"/>
  <c r="Y62" i="2" a="1"/>
  <c r="Z62" i="2"/>
  <c r="AB62" i="2" s="1"/>
  <c r="U63" i="2" a="1"/>
  <c r="V63" i="2" a="1"/>
  <c r="W63" i="2" a="1"/>
  <c r="X63" i="2" a="1"/>
  <c r="Y63" i="2" a="1"/>
  <c r="Z63" i="2"/>
  <c r="AB63" i="2"/>
  <c r="W64" i="2" a="1"/>
  <c r="X64" i="2" a="1"/>
  <c r="Y64" i="2" a="1"/>
  <c r="U64" i="2" a="1"/>
  <c r="V64" i="2" a="1"/>
  <c r="Z64" i="2"/>
  <c r="AB64" i="2"/>
  <c r="V65" i="2" a="1"/>
  <c r="X65" i="2" a="1"/>
  <c r="U65" i="2" a="1"/>
  <c r="Y65" i="2" a="1"/>
  <c r="W65" i="2" a="1"/>
  <c r="Z65" i="2"/>
  <c r="AB65" i="2" s="1"/>
  <c r="V66" i="2" a="1"/>
  <c r="Y66" i="2" a="1"/>
  <c r="X66" i="2" a="1"/>
  <c r="W66" i="2" a="1"/>
  <c r="U66" i="2" a="1"/>
  <c r="Z66" i="2"/>
  <c r="AB66" i="2"/>
  <c r="V67" i="2" a="1"/>
  <c r="X67" i="2" a="1"/>
  <c r="U67" i="2" a="1"/>
  <c r="W67" i="2" a="1"/>
  <c r="Y67" i="2" a="1"/>
  <c r="Z67" i="2"/>
  <c r="AB67" i="2"/>
  <c r="V68" i="2" a="1"/>
  <c r="Y68" i="2" a="1"/>
  <c r="U68" i="2" a="1"/>
  <c r="W68" i="2" a="1"/>
  <c r="X68" i="2" a="1"/>
  <c r="AB68" i="2"/>
  <c r="Z68" i="2"/>
  <c r="X69" i="2" a="1"/>
  <c r="U69" i="2" a="1"/>
  <c r="V69" i="2" a="1"/>
  <c r="W69" i="2" a="1"/>
  <c r="Y69" i="2" a="1"/>
  <c r="AB69" i="2"/>
  <c r="Z69" i="2"/>
  <c r="X70" i="2" a="1"/>
  <c r="U70" i="2" a="1"/>
  <c r="V70" i="2" a="1"/>
  <c r="W70" i="2" a="1"/>
  <c r="Y70" i="2" a="1"/>
  <c r="Z70" i="2"/>
  <c r="AB70" i="2"/>
  <c r="U71" i="2" a="1"/>
  <c r="Y71" i="2" a="1"/>
  <c r="X71" i="2" a="1"/>
  <c r="W71" i="2" a="1"/>
  <c r="V71" i="2" a="1"/>
  <c r="Z71" i="2"/>
  <c r="AB71" i="2"/>
  <c r="W72" i="2" a="1"/>
  <c r="X72" i="2" a="1"/>
  <c r="V72" i="2" a="1"/>
  <c r="Y72" i="2" a="1"/>
  <c r="U72" i="2" a="1"/>
  <c r="Z72" i="2"/>
  <c r="AB72" i="2"/>
  <c r="X73" i="2" a="1"/>
  <c r="V73" i="2" a="1"/>
  <c r="U73" i="2" a="1"/>
  <c r="W73" i="2" a="1"/>
  <c r="Y73" i="2" a="1"/>
  <c r="AB73" i="2"/>
  <c r="Z73" i="2"/>
  <c r="W74" i="2" a="1"/>
  <c r="U74" i="2" a="1"/>
  <c r="V74" i="2" a="1"/>
  <c r="W173" i="2" a="1"/>
  <c r="U173" i="2" a="1"/>
  <c r="V173" i="2" a="1"/>
  <c r="X173" i="2" a="1"/>
  <c r="Y173" i="2" a="1"/>
  <c r="Z173" i="2"/>
  <c r="AB173" i="2"/>
  <c r="X175" i="2" a="1"/>
  <c r="U175" i="2" a="1"/>
  <c r="V175" i="2" a="1"/>
  <c r="W175" i="2" a="1"/>
  <c r="Y175" i="2" a="1"/>
  <c r="AB175" i="2"/>
  <c r="Z175" i="2"/>
  <c r="U176" i="2" a="1"/>
  <c r="W176" i="2" a="1"/>
  <c r="Y176" i="2" a="1"/>
  <c r="V176" i="2" a="1"/>
  <c r="X176" i="2" a="1"/>
  <c r="AB176" i="2"/>
  <c r="Z176" i="2"/>
  <c r="W177" i="2" a="1"/>
  <c r="U177" i="2" a="1"/>
  <c r="X177" i="2" a="1"/>
  <c r="V177" i="2" a="1"/>
  <c r="Y177" i="2" a="1"/>
  <c r="Z177" i="2"/>
  <c r="AB177" i="2"/>
  <c r="X178" i="2" a="1"/>
  <c r="V178" i="2" a="1"/>
  <c r="U178" i="2" a="1"/>
  <c r="Y178" i="2" a="1"/>
  <c r="W178" i="2" a="1"/>
  <c r="AB178" i="2"/>
  <c r="Z178" i="2"/>
  <c r="W179" i="2" a="1"/>
  <c r="U179" i="2" a="1"/>
  <c r="V179" i="2" a="1"/>
  <c r="X179" i="2" a="1"/>
  <c r="Y179" i="2" a="1"/>
  <c r="Z179" i="2"/>
  <c r="AB179" i="2" s="1"/>
  <c r="V180" i="2" a="1"/>
  <c r="X180" i="2" a="1"/>
  <c r="Y180" i="2" a="1"/>
  <c r="W180" i="2" a="1"/>
  <c r="U180" i="2" a="1"/>
  <c r="AB180" i="2"/>
  <c r="Z180" i="2"/>
  <c r="W181" i="2" a="1"/>
  <c r="U181" i="2" a="1"/>
  <c r="V181" i="2" a="1"/>
  <c r="X181" i="2" a="1"/>
  <c r="Y181" i="2" a="1"/>
  <c r="AB181" i="2"/>
  <c r="Z181" i="2"/>
  <c r="X182" i="2" a="1"/>
  <c r="V182" i="2" a="1"/>
  <c r="U182" i="2" a="1"/>
  <c r="W182" i="2" a="1"/>
  <c r="Y182" i="2" a="1"/>
  <c r="Z182" i="2"/>
  <c r="AB182" i="2" s="1"/>
  <c r="Y183" i="2" a="1"/>
  <c r="U183" i="2" a="1"/>
  <c r="V183" i="2" a="1"/>
  <c r="X183" i="2" a="1"/>
  <c r="W183" i="2" a="1"/>
  <c r="AB183" i="2"/>
  <c r="Z183" i="2"/>
  <c r="X184" i="2" a="1"/>
  <c r="U184" i="2" a="1"/>
  <c r="V184" i="2" a="1"/>
  <c r="W184" i="2" a="1"/>
  <c r="Y184" i="2" a="1"/>
  <c r="AB184" i="2"/>
  <c r="Z184" i="2"/>
  <c r="Y185" i="2" a="1"/>
  <c r="X185" i="2" a="1"/>
  <c r="V185" i="2" a="1"/>
  <c r="U185" i="2" a="1"/>
  <c r="W185" i="2" a="1"/>
  <c r="Z185" i="2"/>
  <c r="AB185" i="2"/>
  <c r="U186" i="2" a="1"/>
  <c r="Y186" i="2" a="1"/>
  <c r="V186" i="2" a="1"/>
  <c r="W186" i="2" a="1"/>
  <c r="X186" i="2" a="1"/>
  <c r="Z186" i="2"/>
  <c r="AB186" i="2"/>
  <c r="V187" i="2" a="1"/>
  <c r="Y187" i="2" a="1"/>
  <c r="W187" i="2" a="1"/>
  <c r="X187" i="2" a="1"/>
  <c r="U187" i="2" a="1"/>
  <c r="AB187" i="2"/>
  <c r="Z187" i="2"/>
  <c r="W188" i="2" a="1"/>
  <c r="U188" i="2" a="1"/>
  <c r="X188" i="2" a="1"/>
  <c r="Y188" i="2" a="1"/>
  <c r="V188" i="2" a="1"/>
  <c r="AB188" i="2"/>
  <c r="Z188" i="2"/>
  <c r="V189" i="2" a="1"/>
  <c r="Y189" i="2" a="1"/>
  <c r="X189" i="2" a="1"/>
  <c r="W189" i="2" a="1"/>
  <c r="U189" i="2" a="1"/>
  <c r="AB189" i="2"/>
  <c r="Z189" i="2"/>
  <c r="Y190" i="2" a="1"/>
  <c r="X190" i="2" a="1"/>
  <c r="W190" i="2" a="1"/>
  <c r="V190" i="2" a="1"/>
  <c r="U190" i="2" a="1"/>
  <c r="AB190" i="2"/>
  <c r="Z190" i="2"/>
  <c r="Y191" i="2" a="1"/>
  <c r="X191" i="2" a="1"/>
  <c r="W191" i="2" a="1"/>
  <c r="V191" i="2" a="1"/>
  <c r="U191" i="2" a="1"/>
  <c r="AB191" i="2"/>
  <c r="Z191" i="2"/>
  <c r="W192" i="2" a="1"/>
  <c r="U192" i="2" a="1"/>
  <c r="V192" i="2" a="1"/>
  <c r="Y192" i="2" a="1"/>
  <c r="X192" i="2" a="1"/>
  <c r="Z192" i="2"/>
  <c r="AB192" i="2" s="1"/>
  <c r="U193" i="2" a="1"/>
  <c r="V193" i="2" a="1"/>
  <c r="W193" i="2" a="1"/>
  <c r="Y193" i="2" a="1"/>
  <c r="X193" i="2" a="1"/>
  <c r="Z193" i="2"/>
  <c r="AB193" i="2"/>
  <c r="W194" i="2" a="1"/>
  <c r="V194" i="2" a="1"/>
  <c r="X194" i="2" a="1"/>
  <c r="U194" i="2" a="1"/>
  <c r="Y194" i="2" a="1"/>
  <c r="Z194" i="2"/>
  <c r="AB194" i="2"/>
  <c r="U195" i="2" a="1"/>
  <c r="V195" i="2" a="1"/>
  <c r="W195" i="2" a="1"/>
  <c r="X195" i="2" a="1"/>
  <c r="Y195" i="2" a="1"/>
  <c r="Z195" i="2"/>
  <c r="AB195" i="2" s="1"/>
  <c r="Y196" i="2" a="1"/>
  <c r="X196" i="2" a="1"/>
  <c r="W196" i="2" a="1"/>
  <c r="V196" i="2" a="1"/>
  <c r="U196" i="2" a="1"/>
  <c r="AB196" i="2"/>
  <c r="Z196" i="2"/>
  <c r="U197" i="2" a="1"/>
  <c r="V197" i="2" a="1"/>
  <c r="W197" i="2" a="1"/>
  <c r="X197" i="2" a="1"/>
  <c r="Y197" i="2" a="1"/>
  <c r="Z197" i="2"/>
  <c r="AB197" i="2"/>
  <c r="W198" i="2" a="1"/>
  <c r="U198" i="2" a="1"/>
  <c r="V198" i="2" a="1"/>
  <c r="X198" i="2" a="1"/>
  <c r="Y198" i="2" a="1"/>
  <c r="AB198" i="2"/>
  <c r="Z198" i="2"/>
  <c r="U199" i="2" a="1"/>
  <c r="Y199" i="2" a="1"/>
  <c r="V199" i="2" a="1"/>
  <c r="W199" i="2" a="1"/>
  <c r="X199" i="2" a="1"/>
  <c r="Z199" i="2"/>
  <c r="AB199" i="2"/>
  <c r="U200" i="2" a="1"/>
  <c r="V200" i="2" a="1"/>
  <c r="W200" i="2" a="1"/>
  <c r="V340" i="2" a="1"/>
  <c r="U340" i="2" a="1"/>
  <c r="Y340" i="2" a="1"/>
  <c r="X340" i="2" a="1"/>
  <c r="W340" i="2" a="1"/>
  <c r="AB340" i="2"/>
  <c r="Z340" i="2"/>
  <c r="X341" i="2" a="1"/>
  <c r="Y341" i="2" a="1"/>
  <c r="W341" i="2" a="1"/>
  <c r="V341" i="2" a="1"/>
  <c r="U341" i="2" a="1"/>
  <c r="Z341" i="2"/>
  <c r="AB341" i="2"/>
  <c r="U343" i="2" a="1"/>
  <c r="W343" i="2" a="1"/>
  <c r="Y343" i="2" a="1"/>
  <c r="X343" i="2" a="1"/>
  <c r="V343" i="2" a="1"/>
  <c r="AB343" i="2"/>
  <c r="Z343" i="2"/>
  <c r="V344" i="2" a="1"/>
  <c r="U344" i="2" a="1"/>
  <c r="Y344" i="2" a="1"/>
  <c r="X344" i="2" a="1"/>
  <c r="W344" i="2" a="1"/>
  <c r="AB344" i="2"/>
  <c r="Z344" i="2"/>
  <c r="Y345" i="2" a="1"/>
  <c r="V345" i="2" a="1"/>
  <c r="U345" i="2" a="1"/>
  <c r="W345" i="2" a="1"/>
  <c r="X345" i="2" a="1"/>
  <c r="Z345" i="2"/>
  <c r="AB345" i="2"/>
  <c r="Y346" i="2" a="1"/>
  <c r="X346" i="2" a="1"/>
  <c r="W346" i="2" a="1"/>
  <c r="V346" i="2" a="1"/>
  <c r="U346" i="2" a="1"/>
  <c r="AB346" i="2"/>
  <c r="Z346" i="2"/>
  <c r="X347" i="2" a="1"/>
  <c r="W347" i="2" a="1"/>
  <c r="V347" i="2" a="1"/>
  <c r="U347" i="2" a="1"/>
  <c r="Y347" i="2" a="1"/>
  <c r="AB347" i="2"/>
  <c r="Z347" i="2"/>
  <c r="U348" i="2" a="1"/>
  <c r="V348" i="2" a="1"/>
  <c r="W348" i="2" a="1"/>
  <c r="Y348" i="2" a="1"/>
  <c r="X348" i="2" a="1"/>
  <c r="Z348" i="2"/>
  <c r="AB348" i="2" s="1"/>
  <c r="X349" i="2" a="1"/>
  <c r="W349" i="2" a="1"/>
  <c r="V349" i="2" a="1"/>
  <c r="U349" i="2" a="1"/>
  <c r="Y349" i="2" a="1"/>
  <c r="AB349" i="2"/>
  <c r="Z349" i="2"/>
  <c r="U350" i="2" a="1"/>
  <c r="V350" i="2" a="1"/>
  <c r="W350" i="2" a="1"/>
  <c r="Y350" i="2" a="1"/>
  <c r="X350" i="2" a="1"/>
  <c r="Z350" i="2"/>
  <c r="AB350" i="2"/>
  <c r="Y351" i="2" a="1"/>
  <c r="V351" i="2" a="1"/>
  <c r="U351" i="2" a="1"/>
  <c r="W351" i="2" a="1"/>
  <c r="X351" i="2" a="1"/>
  <c r="Z351" i="2"/>
  <c r="AB351" i="2" s="1"/>
  <c r="Y352" i="2" a="1"/>
  <c r="V352" i="2" a="1"/>
  <c r="U352" i="2" a="1"/>
  <c r="W352" i="2" a="1"/>
  <c r="X352" i="2" a="1"/>
  <c r="AB352" i="2"/>
  <c r="Z352" i="2"/>
  <c r="X353" i="2" a="1"/>
  <c r="U353" i="2" a="1"/>
  <c r="Y353" i="2" a="1"/>
  <c r="V353" i="2" a="1"/>
  <c r="W353" i="2" a="1"/>
  <c r="AB353" i="2"/>
  <c r="Z353" i="2"/>
  <c r="W354" i="2" a="1"/>
  <c r="U354" i="2" a="1"/>
  <c r="X354" i="2" a="1"/>
  <c r="V354" i="2" a="1"/>
  <c r="Y354" i="2" a="1"/>
  <c r="Z354" i="2"/>
  <c r="AB354" i="2"/>
  <c r="X355" i="2" a="1"/>
  <c r="V355" i="2" a="1"/>
  <c r="W355" i="2" a="1"/>
  <c r="U355" i="2" a="1"/>
  <c r="Y355" i="2" a="1"/>
  <c r="AB355" i="2"/>
  <c r="Z355" i="2"/>
  <c r="U356" i="2" a="1"/>
  <c r="X356" i="2" a="1"/>
  <c r="V356" i="2" a="1"/>
  <c r="W356" i="2" a="1"/>
  <c r="Y356" i="2" a="1"/>
  <c r="AB356" i="2"/>
  <c r="Z356" i="2"/>
  <c r="W357" i="2" a="1"/>
  <c r="X357" i="2" a="1"/>
  <c r="V357" i="2" a="1"/>
  <c r="U357" i="2" a="1"/>
  <c r="Y357" i="2" a="1"/>
  <c r="Z357" i="2"/>
  <c r="AB357" i="2"/>
  <c r="V358" i="2" a="1"/>
  <c r="U358" i="2" a="1"/>
  <c r="W358" i="2" a="1"/>
  <c r="X358" i="2" a="1"/>
  <c r="Y358" i="2" a="1"/>
  <c r="Z358" i="2"/>
  <c r="AB358" i="2"/>
  <c r="U359" i="2" a="1"/>
  <c r="V359" i="2" a="1"/>
  <c r="W359" i="2" a="1"/>
  <c r="X359" i="2" a="1"/>
  <c r="Y359" i="2" a="1"/>
  <c r="Z359" i="2"/>
  <c r="AB359" i="2"/>
  <c r="U360" i="2" a="1"/>
  <c r="V360" i="2" a="1"/>
  <c r="W360" i="2" a="1"/>
  <c r="X360" i="2" a="1"/>
  <c r="Y360" i="2" a="1"/>
  <c r="Z360" i="2"/>
  <c r="AB360" i="2"/>
  <c r="U361" i="2" a="1"/>
  <c r="V361" i="2" a="1"/>
  <c r="W361" i="2" a="1"/>
  <c r="X361" i="2" a="1"/>
  <c r="Y361" i="2" a="1"/>
  <c r="Z361" i="2"/>
  <c r="AB361" i="2" s="1"/>
  <c r="U362" i="2" a="1"/>
  <c r="V362" i="2" a="1"/>
  <c r="W362" i="2" a="1"/>
  <c r="X362" i="2" a="1"/>
  <c r="Y362" i="2" a="1"/>
  <c r="Z362" i="2"/>
  <c r="AB362" i="2"/>
  <c r="U363" i="2" a="1"/>
  <c r="V363" i="2" a="1"/>
  <c r="W363" i="2" a="1"/>
  <c r="X363" i="2" a="1"/>
  <c r="Y363" i="2" a="1"/>
  <c r="Z363" i="2"/>
  <c r="AB363" i="2"/>
  <c r="U364" i="2" a="1"/>
  <c r="V364" i="2" a="1"/>
  <c r="W364" i="2" a="1"/>
  <c r="X364" i="2" a="1"/>
  <c r="Y364" i="2" a="1"/>
  <c r="Z364" i="2"/>
  <c r="AB364" i="2" s="1"/>
  <c r="U365" i="2" a="1"/>
  <c r="V365" i="2" a="1"/>
  <c r="W365" i="2" a="1"/>
  <c r="X365" i="2" a="1"/>
  <c r="Y365" i="2" a="1"/>
  <c r="Z365" i="2"/>
  <c r="AB365" i="2"/>
  <c r="U366" i="2" a="1"/>
  <c r="V366" i="2" a="1"/>
  <c r="W366" i="2" a="1"/>
  <c r="X366" i="2" a="1"/>
  <c r="Y366" i="2" a="1"/>
  <c r="Z366" i="2"/>
  <c r="AB366" i="2"/>
  <c r="U367" i="2" a="1"/>
  <c r="V367" i="2" a="1"/>
  <c r="W367" i="2" a="1"/>
  <c r="X367" i="2" a="1"/>
  <c r="Y367" i="2" a="1"/>
  <c r="Z367" i="2"/>
  <c r="AB367" i="2"/>
  <c r="U368" i="2" a="1"/>
  <c r="V368" i="2" a="1"/>
  <c r="W368" i="2" a="1"/>
  <c r="X368" i="2" a="1"/>
  <c r="Y368" i="2" a="1"/>
  <c r="Z368" i="2"/>
  <c r="AB368" i="2"/>
  <c r="U369" i="2" a="1"/>
  <c r="V369" i="2" a="1"/>
  <c r="W369" i="2" a="1"/>
  <c r="X369" i="2" a="1"/>
  <c r="Y369" i="2" a="1"/>
  <c r="Z369" i="2"/>
  <c r="AB369" i="2"/>
  <c r="U370" i="2" a="1"/>
  <c r="V370" i="2" a="1"/>
  <c r="W370" i="2" a="1"/>
  <c r="X370" i="2" a="1"/>
  <c r="Y370" i="2" a="1"/>
  <c r="Z370" i="2"/>
  <c r="AB370" i="2"/>
  <c r="U371" i="2" a="1"/>
  <c r="V371" i="2" a="1"/>
  <c r="W371" i="2" a="1"/>
  <c r="X371" i="2" a="1"/>
  <c r="Y371" i="2" a="1"/>
  <c r="Z371" i="2"/>
  <c r="AB371" i="2"/>
  <c r="U11" i="2" a="1"/>
  <c r="V11" i="2" a="1"/>
  <c r="W11" i="2" a="1"/>
  <c r="X11" i="2" a="1"/>
  <c r="Y11" i="2" a="1"/>
  <c r="Z11" i="2"/>
  <c r="AB11" i="2"/>
  <c r="W12" i="2" a="1"/>
  <c r="X12" i="2" a="1"/>
  <c r="Y12" i="2" a="1"/>
  <c r="Z12" i="2"/>
  <c r="AB12" i="2"/>
  <c r="U13" i="2" a="1"/>
  <c r="V13" i="2" a="1"/>
  <c r="W13" i="2" a="1"/>
  <c r="X13" i="2" a="1"/>
  <c r="Y13" i="2" a="1"/>
  <c r="Z13" i="2"/>
  <c r="AB13" i="2"/>
  <c r="U14" i="2" a="1"/>
  <c r="V14" i="2" a="1"/>
  <c r="W14" i="2" a="1"/>
  <c r="X14" i="2" a="1"/>
  <c r="Y14" i="2" a="1"/>
  <c r="Z14" i="2"/>
  <c r="AB14" i="2"/>
  <c r="Z15" i="2"/>
  <c r="AB15" i="2"/>
  <c r="U16" i="2" a="1"/>
  <c r="V16" i="2" a="1"/>
  <c r="W16" i="2" a="1"/>
  <c r="X16" i="2" a="1"/>
  <c r="Y16" i="2" a="1"/>
  <c r="Z16" i="2"/>
  <c r="AB16" i="2"/>
  <c r="U17" i="2" a="1"/>
  <c r="V17" i="2" a="1"/>
  <c r="W17" i="2" a="1"/>
  <c r="X17" i="2" a="1"/>
  <c r="Y17" i="2" a="1"/>
  <c r="Z17" i="2"/>
  <c r="AB17" i="2"/>
  <c r="U18" i="2" a="1"/>
  <c r="V18" i="2" a="1"/>
  <c r="W18" i="2" a="1"/>
  <c r="X18" i="2" a="1"/>
  <c r="Y18" i="2" a="1"/>
  <c r="Z18" i="2"/>
  <c r="AB18" i="2"/>
  <c r="U19" i="2" a="1"/>
  <c r="V19" i="2" a="1"/>
  <c r="W19" i="2" a="1"/>
  <c r="X19" i="2" a="1"/>
  <c r="Y19" i="2" a="1"/>
  <c r="Z19" i="2"/>
  <c r="AB19" i="2"/>
  <c r="U20" i="2" a="1"/>
  <c r="V20" i="2" a="1"/>
  <c r="W20" i="2" a="1"/>
  <c r="X20" i="2" a="1"/>
  <c r="Y20" i="2" a="1"/>
  <c r="Z20" i="2"/>
  <c r="AB20" i="2"/>
  <c r="U21" i="2" a="1"/>
  <c r="V21" i="2" a="1"/>
  <c r="W21" i="2" a="1"/>
  <c r="X21" i="2" a="1"/>
  <c r="Y21" i="2" a="1"/>
  <c r="Z21" i="2"/>
  <c r="AB21" i="2"/>
  <c r="U22" i="2" a="1"/>
  <c r="V22" i="2" a="1"/>
  <c r="W22" i="2" a="1"/>
  <c r="X22" i="2" a="1"/>
  <c r="Y22" i="2" a="1"/>
  <c r="Z22" i="2"/>
  <c r="AB22" i="2"/>
  <c r="U23" i="2" a="1"/>
  <c r="V23" i="2" a="1"/>
  <c r="W23" i="2" a="1"/>
  <c r="X23" i="2" a="1"/>
  <c r="Y23" i="2" a="1"/>
  <c r="Z23" i="2"/>
  <c r="AB23" i="2" s="1"/>
  <c r="U24" i="2" a="1"/>
  <c r="V24" i="2" a="1"/>
  <c r="W24" i="2" a="1"/>
  <c r="X24" i="2" a="1"/>
  <c r="Y24" i="2" a="1"/>
  <c r="Z24" i="2"/>
  <c r="AB24" i="2"/>
  <c r="U25" i="2" a="1"/>
  <c r="V25" i="2" a="1"/>
  <c r="W25" i="2" a="1"/>
  <c r="X25" i="2" a="1"/>
  <c r="Y25" i="2" a="1"/>
  <c r="Z25" i="2"/>
  <c r="AB25" i="2"/>
  <c r="U26" i="2" a="1"/>
  <c r="V26" i="2" a="1"/>
  <c r="W26" i="2" a="1"/>
  <c r="X26" i="2" a="1"/>
  <c r="Y26" i="2" a="1"/>
  <c r="Z26" i="2"/>
  <c r="AB26" i="2" s="1"/>
  <c r="U27" i="2" a="1"/>
  <c r="V27" i="2" a="1"/>
  <c r="W27" i="2" a="1"/>
  <c r="X27" i="2" a="1"/>
  <c r="Y27" i="2" a="1"/>
  <c r="Z27" i="2"/>
  <c r="AB27" i="2"/>
  <c r="U28" i="2" a="1"/>
  <c r="V28" i="2" a="1"/>
  <c r="W28" i="2" a="1"/>
  <c r="X28" i="2" a="1"/>
  <c r="Y28" i="2" a="1"/>
  <c r="Z28" i="2"/>
  <c r="AB28" i="2"/>
  <c r="U29" i="2" a="1"/>
  <c r="V29" i="2" a="1"/>
  <c r="W29" i="2" a="1"/>
  <c r="X29" i="2" a="1"/>
  <c r="Y29" i="2" a="1"/>
  <c r="Z29" i="2"/>
  <c r="AB29" i="2"/>
  <c r="U30" i="2" a="1"/>
  <c r="V30" i="2" a="1"/>
  <c r="W30" i="2" a="1"/>
  <c r="X30" i="2" a="1"/>
  <c r="Y30" i="2" a="1"/>
  <c r="Z30" i="2"/>
  <c r="AB30" i="2"/>
  <c r="U31" i="2" a="1"/>
  <c r="V31" i="2" a="1"/>
  <c r="W31" i="2" a="1"/>
  <c r="X31" i="2" a="1"/>
  <c r="Y31" i="2" a="1"/>
  <c r="Z31" i="2"/>
  <c r="AB31" i="2"/>
  <c r="U32" i="2" a="1"/>
  <c r="V32" i="2" a="1"/>
  <c r="W32" i="2" a="1"/>
  <c r="X32" i="2" a="1"/>
  <c r="Y32" i="2" a="1"/>
  <c r="Z32" i="2"/>
  <c r="AB32" i="2"/>
  <c r="U33" i="2" a="1"/>
  <c r="V33" i="2" a="1"/>
  <c r="W33" i="2" a="1"/>
  <c r="X33" i="2" a="1"/>
  <c r="Y33" i="2" a="1"/>
  <c r="Z33" i="2"/>
  <c r="AB33" i="2"/>
  <c r="U34" i="2" a="1"/>
  <c r="V34" i="2" a="1"/>
  <c r="W34" i="2" a="1"/>
  <c r="X34" i="2" a="1"/>
  <c r="Y34" i="2" a="1"/>
  <c r="Z34" i="2"/>
  <c r="AB34" i="2"/>
  <c r="U35" i="2" a="1"/>
  <c r="V35" i="2" a="1"/>
  <c r="W35" i="2" a="1"/>
  <c r="X35" i="2" a="1"/>
  <c r="Y35" i="2" a="1"/>
  <c r="Z35" i="2"/>
  <c r="AB35" i="2"/>
  <c r="U36" i="2" a="1"/>
  <c r="V36" i="2" a="1"/>
  <c r="W36" i="2" a="1"/>
  <c r="X36" i="2" a="1"/>
  <c r="Y36" i="2" a="1"/>
  <c r="Z36" i="2"/>
  <c r="AB36" i="2" s="1"/>
  <c r="U37" i="2" a="1"/>
  <c r="V37" i="2" a="1"/>
  <c r="W37" i="2" a="1"/>
  <c r="X37" i="2" a="1"/>
  <c r="Y37" i="2" a="1"/>
  <c r="Z37" i="2"/>
  <c r="AB37" i="2"/>
  <c r="U38" i="2" a="1"/>
  <c r="V38" i="2" a="1"/>
  <c r="W38" i="2" a="1"/>
  <c r="X38" i="2" a="1"/>
  <c r="Y38" i="2" a="1"/>
  <c r="Z38" i="2"/>
  <c r="AB38" i="2"/>
  <c r="U39" i="2" a="1"/>
  <c r="V39" i="2" a="1"/>
  <c r="W39" i="2" a="1"/>
  <c r="X39" i="2" a="1"/>
  <c r="Y39" i="2" a="1"/>
  <c r="Z39" i="2"/>
  <c r="AB39" i="2" s="1"/>
  <c r="U40" i="2" a="1"/>
  <c r="V40" i="2" a="1"/>
  <c r="W40" i="2" a="1"/>
  <c r="X40" i="2" a="1"/>
  <c r="Y40" i="2" a="1"/>
  <c r="Z40" i="2"/>
  <c r="AB40" i="2"/>
  <c r="U41" i="2" a="1"/>
  <c r="V41" i="2" a="1"/>
  <c r="W41" i="2" a="1"/>
  <c r="X41" i="2" a="1"/>
  <c r="Y41" i="2" a="1"/>
  <c r="Z41" i="2"/>
  <c r="AB41" i="2"/>
  <c r="U42" i="2" a="1"/>
  <c r="V42" i="2" a="1"/>
  <c r="W42" i="2" a="1"/>
  <c r="X42" i="2" a="1"/>
  <c r="Y42" i="2" a="1"/>
  <c r="Z42" i="2"/>
  <c r="AB42" i="2"/>
  <c r="U43" i="2" a="1"/>
  <c r="V43" i="2" a="1"/>
  <c r="W43" i="2" a="1"/>
  <c r="X43" i="2" a="1"/>
  <c r="Y43" i="2" a="1"/>
  <c r="Z43" i="2"/>
  <c r="AB43" i="2"/>
  <c r="U44" i="2" a="1"/>
  <c r="V44" i="2" a="1"/>
  <c r="W44" i="2" a="1"/>
  <c r="X44" i="2" a="1"/>
  <c r="Y44" i="2" a="1"/>
  <c r="Z44" i="2"/>
  <c r="AB44" i="2"/>
  <c r="U45" i="2" a="1"/>
  <c r="V45" i="2" a="1"/>
  <c r="W45" i="2" a="1"/>
  <c r="X45" i="2" a="1"/>
  <c r="Y45" i="2" a="1"/>
  <c r="Z45" i="2"/>
  <c r="AB45" i="2"/>
  <c r="U46" i="2" a="1"/>
  <c r="V46" i="2" a="1"/>
  <c r="W46" i="2" a="1"/>
  <c r="X46" i="2" a="1"/>
  <c r="Y46" i="2" a="1"/>
  <c r="Z46" i="2"/>
  <c r="AB46" i="2"/>
  <c r="U47" i="2" a="1"/>
  <c r="V47" i="2" a="1"/>
  <c r="W47" i="2" a="1"/>
  <c r="X47" i="2" a="1"/>
  <c r="Y47" i="2" a="1"/>
  <c r="Z47" i="2"/>
  <c r="AB47" i="2"/>
  <c r="U48" i="2" a="1"/>
  <c r="V48" i="2" a="1"/>
  <c r="W48" i="2" a="1"/>
  <c r="X48" i="2" a="1"/>
  <c r="Y48" i="2" a="1"/>
  <c r="Z48" i="2"/>
  <c r="AB48" i="2"/>
  <c r="U49" i="2" a="1"/>
  <c r="V49" i="2" a="1"/>
  <c r="W49" i="2" a="1"/>
  <c r="X49" i="2" a="1"/>
  <c r="Y49" i="2" a="1"/>
  <c r="Z49" i="2"/>
  <c r="AB49" i="2" s="1"/>
  <c r="U50" i="2" a="1"/>
  <c r="V50" i="2" a="1"/>
  <c r="W50" i="2" a="1"/>
  <c r="X50" i="2" a="1"/>
  <c r="Y50" i="2" a="1"/>
  <c r="Z50" i="2"/>
  <c r="AB50" i="2"/>
  <c r="U51" i="2" a="1"/>
  <c r="V51" i="2" a="1"/>
  <c r="W51" i="2" a="1"/>
  <c r="X51" i="2" a="1"/>
  <c r="Y51" i="2" a="1"/>
  <c r="Z51" i="2"/>
  <c r="AB51" i="2"/>
  <c r="U52" i="2" a="1"/>
  <c r="V52" i="2" a="1"/>
  <c r="W52" i="2" a="1"/>
  <c r="X52" i="2" a="1"/>
  <c r="Y52" i="2" a="1"/>
  <c r="Z52" i="2"/>
  <c r="AB52" i="2" s="1"/>
  <c r="U53" i="2" a="1"/>
  <c r="V53" i="2" a="1"/>
  <c r="W53" i="2" a="1"/>
  <c r="X53" i="2" a="1"/>
  <c r="Y53" i="2" a="1"/>
  <c r="Z53" i="2"/>
  <c r="AB53" i="2"/>
  <c r="U54" i="2" a="1"/>
  <c r="V54" i="2" a="1"/>
  <c r="W54" i="2" a="1"/>
  <c r="X54" i="2" a="1"/>
  <c r="Y54" i="2" a="1"/>
  <c r="Z54" i="2"/>
  <c r="AB54" i="2"/>
  <c r="U55" i="2" a="1"/>
  <c r="V55" i="2" a="1"/>
  <c r="W55" i="2" a="1"/>
  <c r="X55" i="2" a="1"/>
  <c r="Y55" i="2" a="1"/>
  <c r="Z55" i="2"/>
  <c r="AB55" i="2"/>
  <c r="U56" i="2" a="1"/>
  <c r="V56" i="2" a="1"/>
  <c r="W56" i="2" a="1"/>
  <c r="X56" i="2" a="1"/>
  <c r="Y56" i="2" a="1"/>
  <c r="Z56" i="2"/>
  <c r="AB56" i="2"/>
  <c r="U57" i="2" a="1"/>
  <c r="V57" i="2" a="1"/>
  <c r="W57" i="2" a="1"/>
  <c r="X57" i="2" a="1"/>
  <c r="Y57" i="2" a="1"/>
  <c r="Z57" i="2"/>
  <c r="AB57" i="2"/>
  <c r="U58" i="2" a="1"/>
  <c r="V58" i="2" a="1"/>
  <c r="W58" i="2" a="1"/>
  <c r="X58" i="2" a="1"/>
  <c r="Y58" i="2" a="1"/>
  <c r="Z58" i="2"/>
  <c r="AB58" i="2"/>
  <c r="U59" i="2" a="1"/>
  <c r="V59" i="2" a="1"/>
  <c r="W59" i="2" a="1"/>
  <c r="X59" i="2" a="1"/>
  <c r="Y59" i="2" a="1"/>
  <c r="Z59" i="2"/>
  <c r="AB59" i="2"/>
  <c r="U60" i="2" a="1"/>
  <c r="V60" i="2" a="1"/>
  <c r="W60" i="2" a="1"/>
  <c r="X60" i="2" a="1"/>
  <c r="Y60" i="2" a="1"/>
  <c r="X74" i="2" a="1"/>
  <c r="Y74" i="2" a="1"/>
  <c r="Z74" i="2"/>
  <c r="AB74" i="2"/>
  <c r="U75" i="2" a="1"/>
  <c r="V75" i="2" a="1"/>
  <c r="W75" i="2" a="1"/>
  <c r="X75" i="2" a="1"/>
  <c r="Y75" i="2" a="1"/>
  <c r="Z75" i="2"/>
  <c r="AB75" i="2" s="1"/>
  <c r="U76" i="2" a="1"/>
  <c r="V76" i="2" a="1"/>
  <c r="W76" i="2" a="1"/>
  <c r="X76" i="2" a="1"/>
  <c r="Y76" i="2" a="1"/>
  <c r="Z76" i="2"/>
  <c r="AB76" i="2"/>
  <c r="U77" i="2" a="1"/>
  <c r="V77" i="2" a="1"/>
  <c r="W77" i="2" a="1"/>
  <c r="X77" i="2" a="1"/>
  <c r="Y77" i="2" a="1"/>
  <c r="Z77" i="2"/>
  <c r="AB77" i="2"/>
  <c r="U78" i="2" a="1"/>
  <c r="V78" i="2" a="1"/>
  <c r="W78" i="2" a="1"/>
  <c r="X78" i="2" a="1"/>
  <c r="Y78" i="2" a="1"/>
  <c r="Z78" i="2"/>
  <c r="AB78" i="2" s="1"/>
  <c r="U79" i="2" a="1"/>
  <c r="V79" i="2" a="1"/>
  <c r="W79" i="2" a="1"/>
  <c r="X79" i="2" a="1"/>
  <c r="Y79" i="2" a="1"/>
  <c r="Z79" i="2"/>
  <c r="AB79" i="2"/>
  <c r="U80" i="2" a="1"/>
  <c r="V80" i="2" a="1"/>
  <c r="W80" i="2" a="1"/>
  <c r="X80" i="2" a="1"/>
  <c r="Y80" i="2" a="1"/>
  <c r="Z80" i="2"/>
  <c r="AB80" i="2"/>
  <c r="U81" i="2" a="1"/>
  <c r="V81" i="2" a="1"/>
  <c r="W81" i="2" a="1"/>
  <c r="X81" i="2" a="1"/>
  <c r="Y81" i="2" a="1"/>
  <c r="Z81" i="2"/>
  <c r="AB81" i="2"/>
  <c r="U82" i="2" a="1"/>
  <c r="V82" i="2" a="1"/>
  <c r="W82" i="2" a="1"/>
  <c r="X82" i="2" a="1"/>
  <c r="Y82" i="2" a="1"/>
  <c r="Z82" i="2"/>
  <c r="AB82" i="2"/>
  <c r="U83" i="2" a="1"/>
  <c r="V83" i="2" a="1"/>
  <c r="W83" i="2" a="1"/>
  <c r="X83" i="2" a="1"/>
  <c r="Y83" i="2" a="1"/>
  <c r="Z83" i="2"/>
  <c r="AB83" i="2"/>
  <c r="U84" i="2" a="1"/>
  <c r="V84" i="2" a="1"/>
  <c r="W84" i="2" a="1"/>
  <c r="X84" i="2" a="1"/>
  <c r="Y84" i="2" a="1"/>
  <c r="Z84" i="2"/>
  <c r="AB84" i="2"/>
  <c r="U85" i="2" a="1"/>
  <c r="V85" i="2" a="1"/>
  <c r="W85" i="2" a="1"/>
  <c r="X85" i="2" a="1"/>
  <c r="Y85" i="2" a="1"/>
  <c r="Z85" i="2"/>
  <c r="AB85" i="2"/>
  <c r="U86" i="2" a="1"/>
  <c r="V86" i="2" a="1"/>
  <c r="W86" i="2" a="1"/>
  <c r="X86" i="2" a="1"/>
  <c r="Y86" i="2" a="1"/>
  <c r="Z86" i="2"/>
  <c r="AB86" i="2"/>
  <c r="U87" i="2" a="1"/>
  <c r="V87" i="2" a="1"/>
  <c r="W87" i="2" a="1"/>
  <c r="X87" i="2" a="1"/>
  <c r="Y87" i="2" a="1"/>
  <c r="Z87" i="2"/>
  <c r="AB87" i="2"/>
  <c r="U88" i="2" a="1"/>
  <c r="V88" i="2" a="1"/>
  <c r="W88" i="2" a="1"/>
  <c r="X88" i="2" a="1"/>
  <c r="Y88" i="2" a="1"/>
  <c r="Z88" i="2"/>
  <c r="AB88" i="2" s="1"/>
  <c r="U89" i="2" a="1"/>
  <c r="V89" i="2" a="1"/>
  <c r="W89" i="2" a="1"/>
  <c r="X89" i="2" a="1"/>
  <c r="Y89" i="2" a="1"/>
  <c r="Z89" i="2"/>
  <c r="AB89" i="2"/>
  <c r="Z90" i="2"/>
  <c r="AB90" i="2"/>
  <c r="U91" i="2" a="1"/>
  <c r="V91" i="2" a="1"/>
  <c r="W91" i="2" a="1"/>
  <c r="X91" i="2" a="1"/>
  <c r="Y91" i="2" a="1"/>
  <c r="Z91" i="2"/>
  <c r="AB91" i="2" s="1"/>
  <c r="U92" i="2" a="1"/>
  <c r="V92" i="2" a="1"/>
  <c r="W92" i="2" a="1"/>
  <c r="X92" i="2" a="1"/>
  <c r="Y92" i="2" a="1"/>
  <c r="Z92" i="2"/>
  <c r="AB92" i="2"/>
  <c r="U93" i="2" a="1"/>
  <c r="V93" i="2" a="1"/>
  <c r="W93" i="2" a="1"/>
  <c r="X93" i="2" a="1"/>
  <c r="Y93" i="2" a="1"/>
  <c r="Z93" i="2"/>
  <c r="AB93" i="2"/>
  <c r="U94" i="2" a="1"/>
  <c r="V94" i="2" a="1"/>
  <c r="W94" i="2" a="1"/>
  <c r="X94" i="2" a="1"/>
  <c r="Y94" i="2" a="1"/>
  <c r="Z94" i="2"/>
  <c r="AB94" i="2"/>
  <c r="U95" i="2" a="1"/>
  <c r="V95" i="2" a="1"/>
  <c r="W95" i="2" a="1"/>
  <c r="X95" i="2" a="1"/>
  <c r="Y95" i="2" a="1"/>
  <c r="Z95" i="2"/>
  <c r="AB95" i="2"/>
  <c r="U96" i="2" a="1"/>
  <c r="V96" i="2" a="1"/>
  <c r="W96" i="2" a="1"/>
  <c r="X96" i="2" a="1"/>
  <c r="Y96" i="2" a="1"/>
  <c r="Z96" i="2"/>
  <c r="AB96" i="2"/>
  <c r="U97" i="2" a="1"/>
  <c r="V97" i="2" a="1"/>
  <c r="W97" i="2" a="1"/>
  <c r="X97" i="2" a="1"/>
  <c r="Y97" i="2" a="1"/>
  <c r="Z97" i="2"/>
  <c r="AB97" i="2"/>
  <c r="U98" i="2" a="1"/>
  <c r="V98" i="2" a="1"/>
  <c r="W98" i="2" a="1"/>
  <c r="X98" i="2" a="1"/>
  <c r="Y98" i="2" a="1"/>
  <c r="Z98" i="2"/>
  <c r="AB98" i="2"/>
  <c r="U99" i="2" a="1"/>
  <c r="V99" i="2" a="1"/>
  <c r="W99" i="2" a="1"/>
  <c r="X99" i="2" a="1"/>
  <c r="Y99" i="2" a="1"/>
  <c r="Z99" i="2"/>
  <c r="AB99" i="2"/>
  <c r="U100" i="2" a="1"/>
  <c r="V100" i="2" a="1"/>
  <c r="W100" i="2" a="1"/>
  <c r="X100" i="2" a="1"/>
  <c r="Y100" i="2" a="1"/>
  <c r="Z100" i="2"/>
  <c r="AB100" i="2"/>
  <c r="U101" i="2" a="1"/>
  <c r="V101" i="2" a="1"/>
  <c r="W101" i="2" a="1"/>
  <c r="X101" i="2" a="1"/>
  <c r="Y101" i="2" a="1"/>
  <c r="Z101" i="2"/>
  <c r="AB101" i="2" s="1"/>
  <c r="U102" i="2" a="1"/>
  <c r="V102" i="2" a="1"/>
  <c r="W102" i="2" a="1"/>
  <c r="X102" i="2" a="1"/>
  <c r="Y102" i="2" a="1"/>
  <c r="Z102" i="2"/>
  <c r="AB102" i="2"/>
  <c r="U103" i="2" a="1"/>
  <c r="V103" i="2" a="1"/>
  <c r="W103" i="2" a="1"/>
  <c r="X103" i="2" a="1"/>
  <c r="Y103" i="2" a="1"/>
  <c r="Z103" i="2"/>
  <c r="AB103" i="2"/>
  <c r="U104" i="2" a="1"/>
  <c r="V104" i="2" a="1"/>
  <c r="W104" i="2" a="1"/>
  <c r="X104" i="2" a="1"/>
  <c r="Y104" i="2" a="1"/>
  <c r="Z104" i="2"/>
  <c r="AB104" i="2" s="1"/>
  <c r="U105" i="2" a="1"/>
  <c r="V105" i="2" a="1"/>
  <c r="W105" i="2" a="1"/>
  <c r="X105" i="2" a="1"/>
  <c r="Y105" i="2" a="1"/>
  <c r="Z105" i="2"/>
  <c r="AB105" i="2"/>
  <c r="U106" i="2" a="1"/>
  <c r="V106" i="2" a="1"/>
  <c r="W106" i="2" a="1"/>
  <c r="X106" i="2" a="1"/>
  <c r="Y106" i="2" a="1"/>
  <c r="Z106" i="2"/>
  <c r="AB106" i="2"/>
  <c r="U107" i="2" a="1"/>
  <c r="V107" i="2" a="1"/>
  <c r="W107" i="2" a="1"/>
  <c r="X107" i="2" a="1"/>
  <c r="Y107" i="2" a="1"/>
  <c r="Z107" i="2"/>
  <c r="AB107" i="2"/>
  <c r="U108" i="2" a="1"/>
  <c r="V108" i="2" a="1"/>
  <c r="W108" i="2" a="1"/>
  <c r="X108" i="2" a="1"/>
  <c r="Y108" i="2" a="1"/>
  <c r="Z108" i="2"/>
  <c r="AB108" i="2"/>
  <c r="U109" i="2" a="1"/>
  <c r="V109" i="2" a="1"/>
  <c r="W109" i="2" a="1"/>
  <c r="X109" i="2" a="1"/>
  <c r="Y109" i="2" a="1"/>
  <c r="Z109" i="2"/>
  <c r="AB109" i="2"/>
  <c r="U110" i="2" a="1"/>
  <c r="V110" i="2" a="1"/>
  <c r="W110" i="2" a="1"/>
  <c r="X110" i="2" a="1"/>
  <c r="Y110" i="2" a="1"/>
  <c r="Z110" i="2"/>
  <c r="AB110" i="2"/>
  <c r="U111" i="2" a="1"/>
  <c r="V111" i="2" a="1"/>
  <c r="W111" i="2" a="1"/>
  <c r="X111" i="2" a="1"/>
  <c r="Y111" i="2" a="1"/>
  <c r="Z111" i="2"/>
  <c r="AB111" i="2"/>
  <c r="U112" i="2" a="1"/>
  <c r="V112" i="2" a="1"/>
  <c r="W112" i="2" a="1"/>
  <c r="X112" i="2" a="1"/>
  <c r="Y112" i="2" a="1"/>
  <c r="Z112" i="2"/>
  <c r="AB112" i="2"/>
  <c r="U113" i="2" a="1"/>
  <c r="V113" i="2" a="1"/>
  <c r="W113" i="2" a="1"/>
  <c r="X113" i="2" a="1"/>
  <c r="Y113" i="2" a="1"/>
  <c r="Z113" i="2"/>
  <c r="AB113" i="2"/>
  <c r="U114" i="2" a="1"/>
  <c r="V114" i="2" a="1"/>
  <c r="W114" i="2" a="1"/>
  <c r="X114" i="2" a="1"/>
  <c r="Y114" i="2" a="1"/>
  <c r="Z114" i="2"/>
  <c r="AB114" i="2" s="1"/>
  <c r="U115" i="2" a="1"/>
  <c r="V115" i="2" a="1"/>
  <c r="W115" i="2" a="1"/>
  <c r="X115" i="2" a="1"/>
  <c r="Y115" i="2" a="1"/>
  <c r="Z115" i="2"/>
  <c r="AB115" i="2"/>
  <c r="U116" i="2" a="1"/>
  <c r="V116" i="2" a="1"/>
  <c r="W116" i="2" a="1"/>
  <c r="X116" i="2" a="1"/>
  <c r="Y116" i="2" a="1"/>
  <c r="Z116" i="2"/>
  <c r="AB116" i="2"/>
  <c r="U117" i="2" a="1"/>
  <c r="V117" i="2" a="1"/>
  <c r="W117" i="2" a="1"/>
  <c r="X117" i="2" a="1"/>
  <c r="Y117" i="2" a="1"/>
  <c r="Z117" i="2"/>
  <c r="AB117" i="2" s="1"/>
  <c r="U118" i="2" a="1"/>
  <c r="V118" i="2" a="1"/>
  <c r="W118" i="2" a="1"/>
  <c r="X118" i="2" a="1"/>
  <c r="Y118" i="2" a="1"/>
  <c r="Z118" i="2"/>
  <c r="AB118" i="2"/>
  <c r="U119" i="2" a="1"/>
  <c r="V119" i="2" a="1"/>
  <c r="W119" i="2" a="1"/>
  <c r="X119" i="2" a="1"/>
  <c r="Y119" i="2" a="1"/>
  <c r="Z119" i="2"/>
  <c r="AB119" i="2"/>
  <c r="U120" i="2" a="1"/>
  <c r="V120" i="2" a="1"/>
  <c r="W120" i="2" a="1"/>
  <c r="X120" i="2" a="1"/>
  <c r="Y120" i="2" a="1"/>
  <c r="Z120" i="2"/>
  <c r="AB120" i="2"/>
  <c r="U121" i="2" a="1"/>
  <c r="V121" i="2" a="1"/>
  <c r="W121" i="2" a="1"/>
  <c r="X121" i="2" a="1"/>
  <c r="Y121" i="2" a="1"/>
  <c r="Z121" i="2"/>
  <c r="AB121" i="2"/>
  <c r="U122" i="2" a="1"/>
  <c r="V122" i="2" a="1"/>
  <c r="W122" i="2" a="1"/>
  <c r="X122" i="2" a="1"/>
  <c r="Y122" i="2" a="1"/>
  <c r="Z122" i="2"/>
  <c r="AB122" i="2"/>
  <c r="U123" i="2" a="1"/>
  <c r="V123" i="2" a="1"/>
  <c r="W123" i="2" a="1"/>
  <c r="X123" i="2" a="1"/>
  <c r="Y123" i="2" a="1"/>
  <c r="Z123" i="2"/>
  <c r="AB123" i="2"/>
  <c r="U124" i="2" a="1"/>
  <c r="V124" i="2" a="1"/>
  <c r="W124" i="2" a="1"/>
  <c r="X124" i="2" a="1"/>
  <c r="Y124" i="2" a="1"/>
  <c r="Z124" i="2"/>
  <c r="AB124" i="2"/>
  <c r="U125" i="2" a="1"/>
  <c r="V125" i="2" a="1"/>
  <c r="W125" i="2" a="1"/>
  <c r="X125" i="2" a="1"/>
  <c r="Y125" i="2" a="1"/>
  <c r="Z125" i="2"/>
  <c r="AB125" i="2"/>
  <c r="U126" i="2" a="1"/>
  <c r="V126" i="2" a="1"/>
  <c r="W126" i="2" a="1"/>
  <c r="X126" i="2" a="1"/>
  <c r="Y126" i="2" a="1"/>
  <c r="Z126" i="2"/>
  <c r="AB126" i="2"/>
  <c r="U127" i="2" a="1"/>
  <c r="V127" i="2" a="1"/>
  <c r="W127" i="2" a="1"/>
  <c r="X127" i="2" a="1"/>
  <c r="Y127" i="2" a="1"/>
  <c r="Z127" i="2"/>
  <c r="AB127" i="2" s="1"/>
  <c r="U128" i="2" a="1"/>
  <c r="V128" i="2" a="1"/>
  <c r="W128" i="2" a="1"/>
  <c r="X128" i="2" a="1"/>
  <c r="Y128" i="2" a="1"/>
  <c r="Z128" i="2"/>
  <c r="AB128" i="2"/>
  <c r="U129" i="2" a="1"/>
  <c r="V129" i="2" a="1"/>
  <c r="W129" i="2" a="1"/>
  <c r="X129" i="2" a="1"/>
  <c r="Y129" i="2" a="1"/>
  <c r="Z129" i="2"/>
  <c r="AB129" i="2"/>
  <c r="U130" i="2" a="1"/>
  <c r="V130" i="2" a="1"/>
  <c r="W130" i="2" a="1"/>
  <c r="X130" i="2" a="1"/>
  <c r="Y130" i="2" a="1"/>
  <c r="Z130" i="2"/>
  <c r="AB130" i="2" s="1"/>
  <c r="U131" i="2" a="1"/>
  <c r="V131" i="2" a="1"/>
  <c r="W131" i="2" a="1"/>
  <c r="X131" i="2" a="1"/>
  <c r="Y131" i="2" a="1"/>
  <c r="Z131" i="2"/>
  <c r="AB131" i="2"/>
  <c r="Z132" i="2"/>
  <c r="AB132" i="2"/>
  <c r="U133" i="2" a="1"/>
  <c r="V133" i="2" a="1"/>
  <c r="W133" i="2" a="1"/>
  <c r="X133" i="2" a="1"/>
  <c r="Y133" i="2" a="1"/>
  <c r="Z133" i="2"/>
  <c r="AB133" i="2"/>
  <c r="U134" i="2" a="1"/>
  <c r="V134" i="2" a="1"/>
  <c r="W134" i="2" a="1"/>
  <c r="X134" i="2" a="1"/>
  <c r="Y134" i="2" a="1"/>
  <c r="Z134" i="2"/>
  <c r="AB134" i="2"/>
  <c r="U135" i="2" a="1"/>
  <c r="V135" i="2" a="1"/>
  <c r="W135" i="2" a="1"/>
  <c r="X135" i="2" a="1"/>
  <c r="Y135" i="2" a="1"/>
  <c r="Z135" i="2"/>
  <c r="AB135" i="2"/>
  <c r="U136" i="2" a="1"/>
  <c r="V136" i="2" a="1"/>
  <c r="W136" i="2" a="1"/>
  <c r="X136" i="2" a="1"/>
  <c r="Y136" i="2" a="1"/>
  <c r="Z136" i="2"/>
  <c r="AB136" i="2"/>
  <c r="U137" i="2" a="1"/>
  <c r="V137" i="2" a="1"/>
  <c r="W137" i="2" a="1"/>
  <c r="X137" i="2" a="1"/>
  <c r="Y137" i="2" a="1"/>
  <c r="Z137" i="2"/>
  <c r="AB137" i="2"/>
  <c r="U138" i="2" a="1"/>
  <c r="V138" i="2" a="1"/>
  <c r="W138" i="2" a="1"/>
  <c r="X138" i="2" a="1"/>
  <c r="Y138" i="2" a="1"/>
  <c r="Z138" i="2"/>
  <c r="AB138" i="2"/>
  <c r="U139" i="2" a="1"/>
  <c r="V139" i="2" a="1"/>
  <c r="W139" i="2" a="1"/>
  <c r="X139" i="2" a="1"/>
  <c r="Y139" i="2" a="1"/>
  <c r="Z139" i="2"/>
  <c r="AB139" i="2"/>
  <c r="U140" i="2" a="1"/>
  <c r="V140" i="2" a="1"/>
  <c r="W140" i="2" a="1"/>
  <c r="X140" i="2" a="1"/>
  <c r="Y140" i="2" a="1"/>
  <c r="Z140" i="2"/>
  <c r="AB140" i="2" s="1"/>
  <c r="U141" i="2" a="1"/>
  <c r="V141" i="2" a="1"/>
  <c r="W141" i="2" a="1"/>
  <c r="X141" i="2" a="1"/>
  <c r="Y141" i="2" a="1"/>
  <c r="Z141" i="2"/>
  <c r="AB141" i="2"/>
  <c r="U142" i="2" a="1"/>
  <c r="V142" i="2" a="1"/>
  <c r="W142" i="2" a="1"/>
  <c r="X142" i="2" a="1"/>
  <c r="Y142" i="2" a="1"/>
  <c r="Z142" i="2"/>
  <c r="AB142" i="2"/>
  <c r="U143" i="2" a="1"/>
  <c r="V143" i="2" a="1"/>
  <c r="W143" i="2" a="1"/>
  <c r="X143" i="2" a="1"/>
  <c r="Y143" i="2" a="1"/>
  <c r="Z143" i="2"/>
  <c r="AB143" i="2" s="1"/>
  <c r="U144" i="2" a="1"/>
  <c r="V144" i="2" a="1"/>
  <c r="W144" i="2" a="1"/>
  <c r="X144" i="2" a="1"/>
  <c r="Y144" i="2" a="1"/>
  <c r="Z144" i="2"/>
  <c r="AB144" i="2"/>
  <c r="U145" i="2" a="1"/>
  <c r="V145" i="2" a="1"/>
  <c r="W145" i="2" a="1"/>
  <c r="X145" i="2" a="1"/>
  <c r="Y145" i="2" a="1"/>
  <c r="Z145" i="2"/>
  <c r="AB145" i="2"/>
  <c r="U146" i="2" a="1"/>
  <c r="V146" i="2" a="1"/>
  <c r="W146" i="2" a="1"/>
  <c r="X146" i="2" a="1"/>
  <c r="Y146" i="2" a="1"/>
  <c r="Z146" i="2"/>
  <c r="AB146" i="2"/>
  <c r="U147" i="2" a="1"/>
  <c r="V147" i="2" a="1"/>
  <c r="W147" i="2" a="1"/>
  <c r="X147" i="2" a="1"/>
  <c r="Y147" i="2" a="1"/>
  <c r="Z147" i="2"/>
  <c r="AB147" i="2"/>
  <c r="U148" i="2" a="1"/>
  <c r="V148" i="2" a="1"/>
  <c r="W148" i="2" a="1"/>
  <c r="X148" i="2" a="1"/>
  <c r="Y148" i="2" a="1"/>
  <c r="Z148" i="2"/>
  <c r="AB148" i="2"/>
  <c r="U149" i="2" a="1"/>
  <c r="V149" i="2" a="1"/>
  <c r="W149" i="2" a="1"/>
  <c r="X149" i="2" a="1"/>
  <c r="Y149" i="2" a="1"/>
  <c r="Z149" i="2"/>
  <c r="AB149" i="2"/>
  <c r="U150" i="2" a="1"/>
  <c r="V150" i="2" a="1"/>
  <c r="W150" i="2" a="1"/>
  <c r="X150" i="2" a="1"/>
  <c r="Y150" i="2" a="1"/>
  <c r="Z150" i="2"/>
  <c r="AB150" i="2"/>
  <c r="U151" i="2" a="1"/>
  <c r="V151" i="2" a="1"/>
  <c r="W151" i="2" a="1"/>
  <c r="X151" i="2" a="1"/>
  <c r="Y151" i="2" a="1"/>
  <c r="Z151" i="2"/>
  <c r="AB151" i="2"/>
  <c r="U152" i="2" a="1"/>
  <c r="V152" i="2" a="1"/>
  <c r="W152" i="2" a="1"/>
  <c r="X152" i="2" a="1"/>
  <c r="Y152" i="2" a="1"/>
  <c r="Z152" i="2"/>
  <c r="AB152" i="2"/>
  <c r="U153" i="2" a="1"/>
  <c r="V153" i="2" a="1"/>
  <c r="W153" i="2" a="1"/>
  <c r="X153" i="2" a="1"/>
  <c r="Y153" i="2" a="1"/>
  <c r="Z153" i="2"/>
  <c r="AB153" i="2" s="1"/>
  <c r="U154" i="2" a="1"/>
  <c r="V154" i="2" a="1"/>
  <c r="W154" i="2" a="1"/>
  <c r="X154" i="2" a="1"/>
  <c r="Y154" i="2" a="1"/>
  <c r="Z154" i="2"/>
  <c r="AB154" i="2"/>
  <c r="U155" i="2" a="1"/>
  <c r="V155" i="2" a="1"/>
  <c r="W155" i="2" a="1"/>
  <c r="X155" i="2" a="1"/>
  <c r="Y155" i="2" a="1"/>
  <c r="Z155" i="2"/>
  <c r="AB155" i="2"/>
  <c r="U156" i="2" a="1"/>
  <c r="V156" i="2" a="1"/>
  <c r="W156" i="2" a="1"/>
  <c r="X156" i="2" a="1"/>
  <c r="Y156" i="2" a="1"/>
  <c r="Z156" i="2"/>
  <c r="AB156" i="2" s="1"/>
  <c r="U157" i="2" a="1"/>
  <c r="V157" i="2" a="1"/>
  <c r="W157" i="2" a="1"/>
  <c r="X157" i="2" a="1"/>
  <c r="Y157" i="2" a="1"/>
  <c r="Z157" i="2"/>
  <c r="AB157" i="2"/>
  <c r="U158" i="2" a="1"/>
  <c r="V158" i="2" a="1"/>
  <c r="W158" i="2" a="1"/>
  <c r="X158" i="2" a="1"/>
  <c r="Y158" i="2" a="1"/>
  <c r="Z158" i="2"/>
  <c r="AB158" i="2"/>
  <c r="U159" i="2" a="1"/>
  <c r="V159" i="2" a="1"/>
  <c r="W159" i="2" a="1"/>
  <c r="X159" i="2" a="1"/>
  <c r="Y159" i="2" a="1"/>
  <c r="Z159" i="2"/>
  <c r="AB159" i="2"/>
  <c r="U160" i="2" a="1"/>
  <c r="V160" i="2" a="1"/>
  <c r="W160" i="2" a="1"/>
  <c r="X160" i="2" a="1"/>
  <c r="Y160" i="2" a="1"/>
  <c r="Z160" i="2"/>
  <c r="AB160" i="2"/>
  <c r="U161" i="2" a="1"/>
  <c r="V161" i="2" a="1"/>
  <c r="W161" i="2" a="1"/>
  <c r="X161" i="2" a="1"/>
  <c r="Y161" i="2" a="1"/>
  <c r="Z161" i="2"/>
  <c r="AB161" i="2"/>
  <c r="U162" i="2" a="1"/>
  <c r="V162" i="2" a="1"/>
  <c r="W162" i="2" a="1"/>
  <c r="X162" i="2" a="1"/>
  <c r="Y162" i="2" a="1"/>
  <c r="Z162" i="2"/>
  <c r="AB162" i="2"/>
  <c r="U163" i="2" a="1"/>
  <c r="V163" i="2" a="1"/>
  <c r="W163" i="2" a="1"/>
  <c r="X163" i="2" a="1"/>
  <c r="Y163" i="2" a="1"/>
  <c r="Z163" i="2"/>
  <c r="AB163" i="2"/>
  <c r="U164" i="2" a="1"/>
  <c r="V164" i="2" a="1"/>
  <c r="W164" i="2" a="1"/>
  <c r="X164" i="2" a="1"/>
  <c r="Y164" i="2" a="1"/>
  <c r="Z164" i="2"/>
  <c r="AB164" i="2"/>
  <c r="U165" i="2" a="1"/>
  <c r="V165" i="2" a="1"/>
  <c r="W165" i="2" a="1"/>
  <c r="X165" i="2" a="1"/>
  <c r="Y165" i="2" a="1"/>
  <c r="Z165" i="2"/>
  <c r="AB165" i="2"/>
  <c r="U166" i="2" a="1"/>
  <c r="V166" i="2" a="1"/>
  <c r="W166" i="2" a="1"/>
  <c r="X166" i="2" a="1"/>
  <c r="Y166" i="2" a="1"/>
  <c r="Z166" i="2"/>
  <c r="AB166" i="2" s="1"/>
  <c r="U167" i="2" a="1"/>
  <c r="V167" i="2" a="1"/>
  <c r="W167" i="2" a="1"/>
  <c r="X167" i="2" a="1"/>
  <c r="Y167" i="2" a="1"/>
  <c r="Z167" i="2"/>
  <c r="AB167" i="2"/>
  <c r="U168" i="2" a="1"/>
  <c r="V168" i="2" a="1"/>
  <c r="W168" i="2" a="1"/>
  <c r="X168" i="2" a="1"/>
  <c r="Y168" i="2" a="1"/>
  <c r="Z168" i="2"/>
  <c r="AB168" i="2"/>
  <c r="U169" i="2" a="1"/>
  <c r="V169" i="2" a="1"/>
  <c r="W169" i="2" a="1"/>
  <c r="X169" i="2" a="1"/>
  <c r="Y169" i="2" a="1"/>
  <c r="Z169" i="2"/>
  <c r="AB169" i="2" s="1"/>
  <c r="U170" i="2" a="1"/>
  <c r="V170" i="2" a="1"/>
  <c r="W170" i="2" a="1"/>
  <c r="X170" i="2" a="1"/>
  <c r="Y170" i="2" a="1"/>
  <c r="Z170" i="2"/>
  <c r="AB170" i="2"/>
  <c r="U171" i="2" a="1"/>
  <c r="V171" i="2" a="1"/>
  <c r="W171" i="2" a="1"/>
  <c r="X171" i="2" a="1"/>
  <c r="Y171" i="2" a="1"/>
  <c r="Z171" i="2"/>
  <c r="AB171" i="2"/>
  <c r="U172" i="2" a="1"/>
  <c r="V172" i="2" a="1"/>
  <c r="W172" i="2" a="1"/>
  <c r="X172" i="2" a="1"/>
  <c r="Y172" i="2" a="1"/>
  <c r="Z172" i="2"/>
  <c r="AB172" i="2"/>
  <c r="X200" i="2" a="1"/>
  <c r="Y200" i="2" a="1"/>
  <c r="Z200" i="2"/>
  <c r="AB200" i="2"/>
  <c r="U201" i="2" a="1"/>
  <c r="V201" i="2" a="1"/>
  <c r="W201" i="2" a="1"/>
  <c r="X201" i="2" a="1"/>
  <c r="Y201" i="2" a="1"/>
  <c r="Z201" i="2"/>
  <c r="AB201" i="2"/>
  <c r="U202" i="2" a="1"/>
  <c r="V202" i="2" a="1"/>
  <c r="W202" i="2" a="1"/>
  <c r="X202" i="2" a="1"/>
  <c r="Y202" i="2" a="1"/>
  <c r="Z202" i="2"/>
  <c r="AB202" i="2"/>
  <c r="U203" i="2" a="1"/>
  <c r="V203" i="2" a="1"/>
  <c r="W203" i="2" a="1"/>
  <c r="X203" i="2" a="1"/>
  <c r="Y203" i="2" a="1"/>
  <c r="Z203" i="2"/>
  <c r="AB203" i="2"/>
  <c r="U204" i="2" a="1"/>
  <c r="V204" i="2" a="1"/>
  <c r="W204" i="2" a="1"/>
  <c r="X204" i="2" a="1"/>
  <c r="Y204" i="2" a="1"/>
  <c r="Z204" i="2"/>
  <c r="AB204" i="2"/>
  <c r="U205" i="2" a="1"/>
  <c r="V205" i="2" a="1"/>
  <c r="W205" i="2" a="1"/>
  <c r="X205" i="2" a="1"/>
  <c r="Y205" i="2" a="1"/>
  <c r="Z205" i="2"/>
  <c r="AB205" i="2" s="1"/>
  <c r="U206" i="2" a="1"/>
  <c r="V206" i="2" a="1"/>
  <c r="W206" i="2" a="1"/>
  <c r="X206" i="2" a="1"/>
  <c r="Y206" i="2" a="1"/>
  <c r="Z206" i="2"/>
  <c r="AB206" i="2"/>
  <c r="U207" i="2" a="1"/>
  <c r="V207" i="2" a="1"/>
  <c r="W207" i="2" a="1"/>
  <c r="X207" i="2" a="1"/>
  <c r="Y207" i="2" a="1"/>
  <c r="Z207" i="2"/>
  <c r="AB207" i="2"/>
  <c r="U208" i="2" a="1"/>
  <c r="V208" i="2" a="1"/>
  <c r="W208" i="2" a="1"/>
  <c r="X208" i="2" a="1"/>
  <c r="Y208" i="2" a="1"/>
  <c r="Z208" i="2"/>
  <c r="AB208" i="2" s="1"/>
  <c r="U209" i="2" a="1"/>
  <c r="V209" i="2" a="1"/>
  <c r="W209" i="2" a="1"/>
  <c r="X209" i="2" a="1"/>
  <c r="Y209" i="2" a="1"/>
  <c r="Z209" i="2"/>
  <c r="AB209" i="2"/>
  <c r="U210" i="2" a="1"/>
  <c r="V210" i="2" a="1"/>
  <c r="W210" i="2" a="1"/>
  <c r="X210" i="2" a="1"/>
  <c r="Y210" i="2" a="1"/>
  <c r="Z210" i="2"/>
  <c r="AB210" i="2"/>
  <c r="U211" i="2" a="1"/>
  <c r="V211" i="2" a="1"/>
  <c r="W211" i="2" a="1"/>
  <c r="X211" i="2" a="1"/>
  <c r="Y211" i="2" a="1"/>
  <c r="Z211" i="2"/>
  <c r="AB211" i="2"/>
  <c r="U212" i="2" a="1"/>
  <c r="V212" i="2" a="1"/>
  <c r="W212" i="2" a="1"/>
  <c r="X212" i="2" a="1"/>
  <c r="Y212" i="2" a="1"/>
  <c r="Z212" i="2"/>
  <c r="AB212" i="2"/>
  <c r="U213" i="2" a="1"/>
  <c r="V213" i="2" a="1"/>
  <c r="W213" i="2" a="1"/>
  <c r="X213" i="2" a="1"/>
  <c r="Y213" i="2" a="1"/>
  <c r="Z213" i="2"/>
  <c r="AB213" i="2"/>
  <c r="U214" i="2" a="1"/>
  <c r="V214" i="2" a="1"/>
  <c r="W214" i="2" a="1"/>
  <c r="X214" i="2" a="1"/>
  <c r="Y214" i="2" a="1"/>
  <c r="Z214" i="2"/>
  <c r="AB214" i="2"/>
  <c r="U215" i="2" a="1"/>
  <c r="V215" i="2" a="1"/>
  <c r="W215" i="2" a="1"/>
  <c r="X215" i="2" a="1"/>
  <c r="Y215" i="2" a="1"/>
  <c r="Z215" i="2"/>
  <c r="AB215" i="2"/>
  <c r="U217" i="2" a="1"/>
  <c r="V217" i="2" a="1"/>
  <c r="W217" i="2" a="1"/>
  <c r="X217" i="2" a="1"/>
  <c r="Y217" i="2" a="1"/>
  <c r="Z217" i="2"/>
  <c r="AB217" i="2"/>
  <c r="U218" i="2" a="1"/>
  <c r="V218" i="2" a="1"/>
  <c r="W218" i="2" a="1"/>
  <c r="X218" i="2" a="1"/>
  <c r="Y218" i="2" a="1"/>
  <c r="Z218" i="2"/>
  <c r="AB218" i="2" s="1"/>
  <c r="U219" i="2" a="1"/>
  <c r="V219" i="2" a="1"/>
  <c r="W219" i="2" a="1"/>
  <c r="X219" i="2" a="1"/>
  <c r="Y219" i="2" a="1"/>
  <c r="Z219" i="2"/>
  <c r="AB219" i="2"/>
  <c r="U220" i="2" a="1"/>
  <c r="V220" i="2" a="1"/>
  <c r="W220" i="2" a="1"/>
  <c r="X220" i="2" a="1"/>
  <c r="Y220" i="2" a="1"/>
  <c r="Z220" i="2"/>
  <c r="AB220" i="2"/>
  <c r="U221" i="2" a="1"/>
  <c r="V221" i="2" a="1"/>
  <c r="W221" i="2" a="1"/>
  <c r="X221" i="2" a="1"/>
  <c r="Y221" i="2" a="1"/>
  <c r="Z221" i="2"/>
  <c r="AB221" i="2" s="1"/>
  <c r="U222" i="2" a="1"/>
  <c r="V222" i="2" a="1"/>
  <c r="W222" i="2" a="1"/>
  <c r="X222" i="2" a="1"/>
  <c r="Y222" i="2" a="1"/>
  <c r="Z222" i="2"/>
  <c r="AB222" i="2"/>
  <c r="U223" i="2" a="1"/>
  <c r="V223" i="2" a="1"/>
  <c r="W223" i="2" a="1"/>
  <c r="X223" i="2" a="1"/>
  <c r="Y223" i="2" a="1"/>
  <c r="Z223" i="2"/>
  <c r="AB223" i="2"/>
  <c r="U224" i="2" a="1"/>
  <c r="V224" i="2" a="1"/>
  <c r="W224" i="2" a="1"/>
  <c r="X224" i="2" a="1"/>
  <c r="Y224" i="2" a="1"/>
  <c r="Z224" i="2"/>
  <c r="AB224" i="2"/>
  <c r="U225" i="2" a="1"/>
  <c r="V225" i="2" a="1"/>
  <c r="W225" i="2" a="1"/>
  <c r="X225" i="2" a="1"/>
  <c r="Y225" i="2" a="1"/>
  <c r="Z225" i="2"/>
  <c r="AB225" i="2"/>
  <c r="U226" i="2" a="1"/>
  <c r="V226" i="2" a="1"/>
  <c r="W226" i="2" a="1"/>
  <c r="X226" i="2" a="1"/>
  <c r="Y226" i="2" a="1"/>
  <c r="Z226" i="2"/>
  <c r="AB226" i="2"/>
  <c r="U227" i="2" a="1"/>
  <c r="V227" i="2" a="1"/>
  <c r="W227" i="2" a="1"/>
  <c r="X227" i="2" a="1"/>
  <c r="Y227" i="2" a="1"/>
  <c r="Z227" i="2"/>
  <c r="AB227" i="2"/>
  <c r="U228" i="2" a="1"/>
  <c r="V228" i="2" a="1"/>
  <c r="W228" i="2" a="1"/>
  <c r="X228" i="2" a="1"/>
  <c r="Y228" i="2" a="1"/>
  <c r="Z228" i="2"/>
  <c r="AB228" i="2"/>
  <c r="U229" i="2" a="1"/>
  <c r="V229" i="2" a="1"/>
  <c r="W229" i="2" a="1"/>
  <c r="X229" i="2" a="1"/>
  <c r="Y229" i="2" a="1"/>
  <c r="Z229" i="2"/>
  <c r="AB229" i="2"/>
  <c r="U230" i="2" a="1"/>
  <c r="V230" i="2" a="1"/>
  <c r="W230" i="2" a="1"/>
  <c r="X230" i="2" a="1"/>
  <c r="Y230" i="2" a="1"/>
  <c r="Z230" i="2"/>
  <c r="AB230" i="2"/>
  <c r="U231" i="2" a="1"/>
  <c r="V231" i="2" a="1"/>
  <c r="W231" i="2" a="1"/>
  <c r="X231" i="2" a="1"/>
  <c r="Y231" i="2" a="1"/>
  <c r="Z231" i="2"/>
  <c r="AB231" i="2" s="1"/>
  <c r="U232" i="2" a="1"/>
  <c r="V232" i="2" a="1"/>
  <c r="W232" i="2" a="1"/>
  <c r="X232" i="2" a="1"/>
  <c r="Y232" i="2" a="1"/>
  <c r="Z232" i="2"/>
  <c r="AB232" i="2"/>
  <c r="U233" i="2" a="1"/>
  <c r="V233" i="2" a="1"/>
  <c r="W233" i="2" a="1"/>
  <c r="X233" i="2" a="1"/>
  <c r="Y233" i="2" a="1"/>
  <c r="Z233" i="2"/>
  <c r="AB233" i="2"/>
  <c r="U234" i="2" a="1"/>
  <c r="V234" i="2" a="1"/>
  <c r="W234" i="2" a="1"/>
  <c r="X234" i="2" a="1"/>
  <c r="Y234" i="2" a="1"/>
  <c r="Z234" i="2"/>
  <c r="AB234" i="2" s="1"/>
  <c r="U235" i="2" a="1"/>
  <c r="V235" i="2" a="1"/>
  <c r="W235" i="2" a="1"/>
  <c r="X235" i="2" a="1"/>
  <c r="Y235" i="2" a="1"/>
  <c r="Z235" i="2"/>
  <c r="AB235" i="2"/>
  <c r="U236" i="2" a="1"/>
  <c r="V236" i="2" a="1"/>
  <c r="W236" i="2" a="1"/>
  <c r="X236" i="2" a="1"/>
  <c r="Y236" i="2" a="1"/>
  <c r="Z236" i="2"/>
  <c r="AB236" i="2"/>
  <c r="U237" i="2" a="1"/>
  <c r="V237" i="2" a="1"/>
  <c r="W237" i="2" a="1"/>
  <c r="X237" i="2" a="1"/>
  <c r="Y237" i="2" a="1"/>
  <c r="Z237" i="2"/>
  <c r="AB237" i="2"/>
  <c r="U238" i="2" a="1"/>
  <c r="V238" i="2" a="1"/>
  <c r="W238" i="2" a="1"/>
  <c r="X238" i="2" a="1"/>
  <c r="Y238" i="2" a="1"/>
  <c r="Z238" i="2"/>
  <c r="AB238" i="2"/>
  <c r="U239" i="2" a="1"/>
  <c r="V239" i="2" a="1"/>
  <c r="W239" i="2" a="1"/>
  <c r="X239" i="2" a="1"/>
  <c r="Y239" i="2" a="1"/>
  <c r="Z239" i="2"/>
  <c r="AB239" i="2"/>
  <c r="U240" i="2" a="1"/>
  <c r="V240" i="2" a="1"/>
  <c r="W240" i="2" a="1"/>
  <c r="X240" i="2" a="1"/>
  <c r="Y240" i="2" a="1"/>
  <c r="Z240" i="2"/>
  <c r="AB240" i="2"/>
  <c r="U241" i="2" a="1"/>
  <c r="V241" i="2" a="1"/>
  <c r="W241" i="2" a="1"/>
  <c r="X241" i="2" a="1"/>
  <c r="Y241" i="2" a="1"/>
  <c r="Z241" i="2"/>
  <c r="AB241" i="2"/>
  <c r="U242" i="2" a="1"/>
  <c r="V242" i="2" a="1"/>
  <c r="W242" i="2" a="1"/>
  <c r="X242" i="2" a="1"/>
  <c r="Y242" i="2" a="1"/>
  <c r="Z242" i="2"/>
  <c r="AB242" i="2"/>
  <c r="U243" i="2" a="1"/>
  <c r="V243" i="2" a="1"/>
  <c r="W243" i="2" a="1"/>
  <c r="X243" i="2" a="1"/>
  <c r="Y243" i="2" a="1"/>
  <c r="Z243" i="2"/>
  <c r="AB243" i="2"/>
  <c r="U244" i="2" a="1"/>
  <c r="V244" i="2" a="1"/>
  <c r="W244" i="2" a="1"/>
  <c r="X244" i="2" a="1"/>
  <c r="Y244" i="2" a="1"/>
  <c r="Z244" i="2"/>
  <c r="AB244" i="2" s="1"/>
  <c r="U245" i="2" a="1"/>
  <c r="V245" i="2" a="1"/>
  <c r="W245" i="2" a="1"/>
  <c r="X245" i="2" a="1"/>
  <c r="Y245" i="2" a="1"/>
  <c r="Z245" i="2"/>
  <c r="AB245" i="2"/>
  <c r="U246" i="2" a="1"/>
  <c r="V246" i="2" a="1"/>
  <c r="W246" i="2" a="1"/>
  <c r="X246" i="2" a="1"/>
  <c r="Y246" i="2" a="1"/>
  <c r="Z246" i="2"/>
  <c r="AB246" i="2"/>
  <c r="U247" i="2" a="1"/>
  <c r="V247" i="2" a="1"/>
  <c r="W247" i="2" a="1"/>
  <c r="X247" i="2" a="1"/>
  <c r="Y247" i="2" a="1"/>
  <c r="Z247" i="2"/>
  <c r="AB247" i="2" s="1"/>
  <c r="U248" i="2" a="1"/>
  <c r="V248" i="2" a="1"/>
  <c r="W248" i="2" a="1"/>
  <c r="X248" i="2" a="1"/>
  <c r="Y248" i="2" a="1"/>
  <c r="Z248" i="2"/>
  <c r="AB248" i="2"/>
  <c r="U249" i="2" a="1"/>
  <c r="V249" i="2" a="1"/>
  <c r="W249" i="2" a="1"/>
  <c r="X249" i="2" a="1"/>
  <c r="Y249" i="2" a="1"/>
  <c r="Z249" i="2"/>
  <c r="AB249" i="2"/>
  <c r="U250" i="2" a="1"/>
  <c r="V250" i="2" a="1"/>
  <c r="W250" i="2" a="1"/>
  <c r="X250" i="2" a="1"/>
  <c r="Y250" i="2" a="1"/>
  <c r="Z250" i="2"/>
  <c r="AB250" i="2"/>
  <c r="U251" i="2" a="1"/>
  <c r="V251" i="2" a="1"/>
  <c r="W251" i="2" a="1"/>
  <c r="X251" i="2" a="1"/>
  <c r="Y251" i="2" a="1"/>
  <c r="Z251" i="2"/>
  <c r="AB251" i="2"/>
  <c r="U252" i="2" a="1"/>
  <c r="V252" i="2" a="1"/>
  <c r="W252" i="2" a="1"/>
  <c r="X252" i="2" a="1"/>
  <c r="Y252" i="2" a="1"/>
  <c r="Z252" i="2"/>
  <c r="AB252" i="2"/>
  <c r="U253" i="2" a="1"/>
  <c r="V253" i="2" a="1"/>
  <c r="W253" i="2" a="1"/>
  <c r="X253" i="2" a="1"/>
  <c r="Y253" i="2" a="1"/>
  <c r="Z253" i="2"/>
  <c r="AB253" i="2"/>
  <c r="U254" i="2" a="1"/>
  <c r="V254" i="2" a="1"/>
  <c r="W254" i="2" a="1"/>
  <c r="X254" i="2" a="1"/>
  <c r="Y254" i="2" a="1"/>
  <c r="Z254" i="2"/>
  <c r="AB254" i="2"/>
  <c r="U255" i="2" a="1"/>
  <c r="V255" i="2" a="1"/>
  <c r="W255" i="2" a="1"/>
  <c r="X255" i="2" a="1"/>
  <c r="Y255" i="2" a="1"/>
  <c r="Z255" i="2"/>
  <c r="AB255" i="2"/>
  <c r="U256" i="2" a="1"/>
  <c r="V256" i="2" a="1"/>
  <c r="W256" i="2" a="1"/>
  <c r="X256" i="2" a="1"/>
  <c r="Y256" i="2" a="1"/>
  <c r="Z256" i="2"/>
  <c r="AB256" i="2"/>
  <c r="U257" i="2" a="1"/>
  <c r="V257" i="2" a="1"/>
  <c r="W257" i="2" a="1"/>
  <c r="X257" i="2" a="1"/>
  <c r="Y257" i="2" a="1"/>
  <c r="Z257" i="2"/>
  <c r="AB257" i="2" s="1"/>
  <c r="U259" i="2" a="1"/>
  <c r="V259" i="2" a="1"/>
  <c r="W259" i="2" a="1"/>
  <c r="X259" i="2" a="1"/>
  <c r="Y259" i="2" a="1"/>
  <c r="Z259" i="2"/>
  <c r="AB259" i="2"/>
  <c r="U260" i="2" a="1"/>
  <c r="V260" i="2" a="1"/>
  <c r="W260" i="2" a="1"/>
  <c r="X260" i="2" a="1"/>
  <c r="Y260" i="2" a="1"/>
  <c r="Z260" i="2"/>
  <c r="AB260" i="2" s="1"/>
  <c r="U261" i="2" a="1"/>
  <c r="V261" i="2" a="1"/>
  <c r="W261" i="2" a="1"/>
  <c r="X261" i="2" a="1"/>
  <c r="Y261" i="2" a="1"/>
  <c r="Z261" i="2"/>
  <c r="AB261" i="2"/>
  <c r="U262" i="2" a="1"/>
  <c r="V262" i="2" a="1"/>
  <c r="W262" i="2" a="1"/>
  <c r="X262" i="2" a="1"/>
  <c r="Y262" i="2" a="1"/>
  <c r="Z262" i="2"/>
  <c r="AB262" i="2"/>
  <c r="U263" i="2" a="1"/>
  <c r="V263" i="2" a="1"/>
  <c r="W263" i="2" a="1"/>
  <c r="X263" i="2" a="1"/>
  <c r="Y263" i="2" a="1"/>
  <c r="Z263" i="2"/>
  <c r="AB263" i="2"/>
  <c r="U264" i="2" a="1"/>
  <c r="V264" i="2" a="1"/>
  <c r="W264" i="2" a="1"/>
  <c r="X264" i="2" a="1"/>
  <c r="Y264" i="2" a="1"/>
  <c r="Z264" i="2"/>
  <c r="AB264" i="2"/>
  <c r="X265" i="2" a="1"/>
  <c r="U265" i="2" a="1"/>
  <c r="V265" i="2" a="1"/>
  <c r="W265" i="2" a="1"/>
  <c r="Y265" i="2" a="1"/>
  <c r="AB265" i="2"/>
  <c r="Z265" i="2"/>
  <c r="X266" i="2" a="1"/>
  <c r="V266" i="2" a="1"/>
  <c r="U266" i="2" a="1"/>
  <c r="W266" i="2" a="1"/>
  <c r="Y266" i="2" a="1"/>
  <c r="Z266" i="2"/>
  <c r="AB266" i="2"/>
  <c r="Y267" i="2" a="1"/>
  <c r="X267" i="2" a="1"/>
  <c r="W267" i="2" a="1"/>
  <c r="V267" i="2" a="1"/>
  <c r="U267" i="2" a="1"/>
  <c r="AB267" i="2"/>
  <c r="Z267" i="2"/>
  <c r="W268" i="2" a="1"/>
  <c r="V268" i="2" a="1"/>
  <c r="U268" i="2" a="1"/>
  <c r="X268" i="2" a="1"/>
  <c r="Y268" i="2" a="1"/>
  <c r="Z268" i="2"/>
  <c r="AB268" i="2"/>
  <c r="U269" i="2" a="1"/>
  <c r="V269" i="2" a="1"/>
  <c r="W269" i="2" a="1"/>
  <c r="X269" i="2" a="1"/>
  <c r="Y269" i="2" a="1"/>
  <c r="Z269" i="2"/>
  <c r="AB269" i="2"/>
  <c r="U270" i="2" a="1"/>
  <c r="V270" i="2" a="1"/>
  <c r="W270" i="2" a="1"/>
  <c r="X270" i="2" a="1"/>
  <c r="Y270" i="2" a="1"/>
  <c r="Z270" i="2"/>
  <c r="AB270" i="2" s="1"/>
  <c r="U271" i="2" a="1"/>
  <c r="V271" i="2" a="1"/>
  <c r="W271" i="2" a="1"/>
  <c r="X271" i="2" a="1"/>
  <c r="Y271" i="2" a="1"/>
  <c r="Z271" i="2"/>
  <c r="AB271" i="2"/>
  <c r="W272" i="2" a="1"/>
  <c r="U272" i="2" a="1"/>
  <c r="V272" i="2" a="1"/>
  <c r="X272" i="2" a="1"/>
  <c r="Y272" i="2" a="1"/>
  <c r="Z272" i="2"/>
  <c r="AB272" i="2"/>
  <c r="W273" i="2" a="1"/>
  <c r="V273" i="2" a="1"/>
  <c r="U273" i="2" a="1"/>
  <c r="Y273" i="2" a="1"/>
  <c r="X273" i="2" a="1"/>
  <c r="Z273" i="2"/>
  <c r="AB273" i="2" s="1"/>
  <c r="U274" i="2" a="1"/>
  <c r="Y274" i="2" a="1"/>
  <c r="V274" i="2" a="1"/>
  <c r="W274" i="2" a="1"/>
  <c r="X274" i="2" a="1"/>
  <c r="Z274" i="2"/>
  <c r="AB274" i="2"/>
  <c r="W275" i="2" a="1"/>
  <c r="V275" i="2" a="1"/>
  <c r="Y275" i="2" a="1"/>
  <c r="X275" i="2" a="1"/>
  <c r="U275" i="2" a="1"/>
  <c r="AB275" i="2"/>
  <c r="Z275" i="2"/>
  <c r="W276" i="2" a="1"/>
  <c r="U276" i="2" a="1"/>
  <c r="V276" i="2" a="1"/>
  <c r="X276" i="2" a="1"/>
  <c r="Y276" i="2" a="1"/>
  <c r="Z276" i="2"/>
  <c r="AB276" i="2"/>
  <c r="U277" i="2" a="1"/>
  <c r="V277" i="2" a="1"/>
  <c r="W277" i="2" a="1"/>
  <c r="X277" i="2" a="1"/>
  <c r="Y277" i="2" a="1"/>
  <c r="AB277" i="2"/>
  <c r="Z277" i="2"/>
  <c r="V278" i="2" a="1"/>
  <c r="W278" i="2" a="1"/>
  <c r="U278" i="2" a="1"/>
  <c r="X278" i="2" a="1"/>
  <c r="Y278" i="2" a="1"/>
  <c r="Z278" i="2"/>
  <c r="AB278" i="2"/>
  <c r="Y279" i="2" a="1"/>
  <c r="U279" i="2" a="1"/>
  <c r="X279" i="2" a="1"/>
  <c r="W279" i="2" a="1"/>
  <c r="V279" i="2" a="1"/>
  <c r="Z279" i="2"/>
  <c r="AB279" i="2"/>
  <c r="Y280" i="2" a="1"/>
  <c r="X280" i="2" a="1"/>
  <c r="W280" i="2" a="1"/>
  <c r="V280" i="2" a="1"/>
  <c r="U280" i="2" a="1"/>
  <c r="Z280" i="2"/>
  <c r="AB280" i="2"/>
  <c r="V281" i="2" a="1"/>
  <c r="U281" i="2" a="1"/>
  <c r="Y281" i="2" a="1"/>
  <c r="X281" i="2" a="1"/>
  <c r="W281" i="2" a="1"/>
  <c r="Z281" i="2"/>
  <c r="AB281" i="2"/>
  <c r="U282" i="2" a="1"/>
  <c r="V282" i="2" a="1"/>
  <c r="W282" i="2" a="1"/>
  <c r="X282" i="2" a="1"/>
  <c r="Y282" i="2" a="1"/>
  <c r="Z282" i="2"/>
  <c r="AB282" i="2"/>
  <c r="W283" i="2" a="1"/>
  <c r="U283" i="2" a="1"/>
  <c r="V283" i="2" a="1"/>
  <c r="X283" i="2" a="1"/>
  <c r="Y283" i="2" a="1"/>
  <c r="Z283" i="2"/>
  <c r="AB283" i="2" s="1"/>
  <c r="V284" i="2" a="1"/>
  <c r="X284" i="2" a="1"/>
  <c r="Y284" i="2" a="1"/>
  <c r="W284" i="2" a="1"/>
  <c r="U284" i="2" a="1"/>
  <c r="Z284" i="2"/>
  <c r="AB284" i="2"/>
  <c r="X285" i="2" a="1"/>
  <c r="W285" i="2" a="1"/>
  <c r="V285" i="2" a="1"/>
  <c r="U285" i="2" a="1"/>
  <c r="Y285" i="2" a="1"/>
  <c r="AB285" i="2"/>
  <c r="Z285" i="2"/>
  <c r="V286" i="2" a="1"/>
  <c r="U286" i="2" a="1"/>
  <c r="W286" i="2" a="1"/>
  <c r="X286" i="2" a="1"/>
  <c r="Y286" i="2" a="1"/>
  <c r="Z286" i="2"/>
  <c r="AB286" i="2" s="1"/>
  <c r="U287" i="2" a="1"/>
  <c r="V287" i="2" a="1"/>
  <c r="W287" i="2" a="1"/>
  <c r="X287" i="2" a="1"/>
  <c r="Y287" i="2" a="1"/>
  <c r="AB287" i="2"/>
  <c r="Z287" i="2"/>
  <c r="Y288" i="2" a="1"/>
  <c r="U288" i="2" a="1"/>
  <c r="V288" i="2" a="1"/>
  <c r="W288" i="2" a="1"/>
  <c r="X288" i="2" a="1"/>
  <c r="Z288" i="2"/>
  <c r="AB288" i="2"/>
  <c r="V289" i="2" a="1"/>
  <c r="U289" i="2" a="1"/>
  <c r="X289" i="2" a="1"/>
  <c r="W289" i="2" a="1"/>
  <c r="Y289" i="2" a="1"/>
  <c r="Z289" i="2"/>
  <c r="AB289" i="2"/>
  <c r="X290" i="2" a="1"/>
  <c r="W290" i="2" a="1"/>
  <c r="V290" i="2" a="1"/>
  <c r="U290" i="2" a="1"/>
  <c r="Y290" i="2" a="1"/>
  <c r="Z290" i="2"/>
  <c r="AB290" i="2"/>
  <c r="U291" i="2" a="1"/>
  <c r="V291" i="2" a="1"/>
  <c r="W291" i="2" a="1"/>
  <c r="X291" i="2" a="1"/>
  <c r="Y291" i="2" a="1"/>
  <c r="AB291" i="2"/>
  <c r="Z291" i="2"/>
  <c r="X292" i="2" a="1"/>
  <c r="Y292" i="2" a="1"/>
  <c r="W292" i="2" a="1"/>
  <c r="U292" i="2" a="1"/>
  <c r="V292" i="2" a="1"/>
  <c r="Z292" i="2"/>
  <c r="AB292" i="2"/>
  <c r="U293" i="2" a="1"/>
  <c r="V293" i="2" a="1"/>
  <c r="W293" i="2" a="1"/>
  <c r="X293" i="2" a="1"/>
  <c r="Y293" i="2" a="1"/>
  <c r="Z293" i="2"/>
  <c r="AB293" i="2"/>
  <c r="X294" i="2" a="1"/>
  <c r="W294" i="2" a="1"/>
  <c r="Y294" i="2" a="1"/>
  <c r="V294" i="2" a="1"/>
  <c r="U294" i="2" a="1"/>
  <c r="Z294" i="2"/>
  <c r="AB294" i="2"/>
  <c r="U295" i="2" a="1"/>
  <c r="Y295" i="2" a="1"/>
  <c r="X295" i="2" a="1"/>
  <c r="W295" i="2" a="1"/>
  <c r="V295" i="2" a="1"/>
  <c r="AB295" i="2"/>
  <c r="Z295" i="2"/>
  <c r="W296" i="2" a="1"/>
  <c r="V296" i="2" a="1"/>
  <c r="U296" i="2" a="1"/>
  <c r="Y296" i="2" a="1"/>
  <c r="X296" i="2" a="1"/>
  <c r="Z296" i="2"/>
  <c r="AB296" i="2" s="1"/>
  <c r="V297" i="2" a="1"/>
  <c r="W297" i="2" a="1"/>
  <c r="X297" i="2" a="1"/>
  <c r="Y297" i="2" a="1"/>
  <c r="U297" i="2" a="1"/>
  <c r="Z297" i="2"/>
  <c r="AB297" i="2"/>
  <c r="U298" i="2" a="1"/>
  <c r="W298" i="2" a="1"/>
  <c r="X298" i="2" a="1"/>
  <c r="Y298" i="2" a="1"/>
  <c r="V298" i="2" a="1"/>
  <c r="Z298" i="2"/>
  <c r="AB298" i="2"/>
  <c r="U299" i="2" a="1"/>
  <c r="V299" i="2" a="1"/>
  <c r="W299" i="2" a="1"/>
  <c r="Y299" i="2" a="1"/>
  <c r="X299" i="2" a="1"/>
  <c r="Z299" i="2"/>
  <c r="AB299" i="2" s="1"/>
  <c r="U301" i="2" a="1"/>
  <c r="V301" i="2" a="1"/>
  <c r="Y301" i="2" a="1"/>
  <c r="X301" i="2" a="1"/>
  <c r="W301" i="2" a="1"/>
  <c r="AB301" i="2"/>
  <c r="Z301" i="2"/>
  <c r="X302" i="2" a="1"/>
  <c r="Y302" i="2" a="1"/>
  <c r="V302" i="2" a="1"/>
  <c r="U302" i="2" a="1"/>
  <c r="W302" i="2" a="1"/>
  <c r="Z302" i="2"/>
  <c r="AB302" i="2"/>
  <c r="Y303" i="2" a="1"/>
  <c r="U303" i="2" a="1"/>
  <c r="V303" i="2" a="1"/>
  <c r="W303" i="2" a="1"/>
  <c r="X303" i="2" a="1"/>
  <c r="AB303" i="2"/>
  <c r="Z303" i="2"/>
  <c r="U304" i="2" a="1"/>
  <c r="W304" i="2" a="1"/>
  <c r="X304" i="2" a="1"/>
  <c r="Y304" i="2" a="1"/>
  <c r="V304" i="2" a="1"/>
  <c r="Z304" i="2"/>
  <c r="AB304" i="2"/>
  <c r="U305" i="2" a="1"/>
  <c r="V305" i="2" a="1"/>
  <c r="X305" i="2" a="1"/>
  <c r="W305" i="2" a="1"/>
  <c r="Y305" i="2" a="1"/>
  <c r="AB305" i="2"/>
  <c r="Z305" i="2"/>
  <c r="U306" i="2" a="1"/>
  <c r="V306" i="2" a="1"/>
  <c r="W306" i="2" a="1"/>
  <c r="X306" i="2" a="1"/>
  <c r="Y306" i="2" a="1"/>
  <c r="Z306" i="2"/>
  <c r="AB306" i="2"/>
  <c r="U307" i="2" a="1"/>
  <c r="V307" i="2" a="1"/>
  <c r="W307" i="2" a="1"/>
  <c r="X307" i="2" a="1"/>
  <c r="Y307" i="2" a="1"/>
  <c r="Z307" i="2"/>
  <c r="AB307" i="2"/>
  <c r="U308" i="2" a="1"/>
  <c r="V308" i="2" a="1"/>
  <c r="W308" i="2" a="1"/>
  <c r="X308" i="2" a="1"/>
  <c r="Y308" i="2" a="1"/>
  <c r="Z308" i="2"/>
  <c r="AB308" i="2"/>
  <c r="X309" i="2" a="1"/>
  <c r="Y309" i="2" a="1"/>
  <c r="U309" i="2" a="1"/>
  <c r="V309" i="2" a="1"/>
  <c r="W309" i="2" a="1"/>
  <c r="Z309" i="2"/>
  <c r="AB309" i="2" s="1"/>
  <c r="U310" i="2" a="1"/>
  <c r="V310" i="2" a="1"/>
  <c r="W310" i="2" a="1"/>
  <c r="X310" i="2" a="1"/>
  <c r="Y310" i="2" a="1"/>
  <c r="Z310" i="2"/>
  <c r="AB310" i="2"/>
  <c r="Y311" i="2" a="1"/>
  <c r="U311" i="2" a="1"/>
  <c r="V311" i="2" a="1"/>
  <c r="W311" i="2" a="1"/>
  <c r="X311" i="2" a="1"/>
  <c r="AB311" i="2"/>
  <c r="Z311" i="2"/>
  <c r="X312" i="2" a="1"/>
  <c r="W312" i="2" a="1"/>
  <c r="V312" i="2" a="1"/>
  <c r="U312" i="2" a="1"/>
  <c r="Y312" i="2" a="1"/>
  <c r="Z312" i="2"/>
  <c r="AB312" i="2" s="1"/>
  <c r="U313" i="2" a="1"/>
  <c r="V313" i="2" a="1"/>
  <c r="W313" i="2" a="1"/>
  <c r="X313" i="2" a="1"/>
  <c r="Y313" i="2" a="1"/>
  <c r="Z313" i="2"/>
  <c r="AB313" i="2"/>
  <c r="X314" i="2" a="1"/>
  <c r="U314" i="2" a="1"/>
  <c r="V314" i="2" a="1"/>
  <c r="W314" i="2" a="1"/>
  <c r="Z314" i="2"/>
  <c r="AB314" i="2"/>
  <c r="Y315" i="2" a="1"/>
  <c r="X315" i="2" a="1"/>
  <c r="W315" i="2" a="1"/>
  <c r="V315" i="2" a="1"/>
  <c r="U315" i="2" a="1"/>
  <c r="AB315" i="2"/>
  <c r="Z315" i="2"/>
  <c r="Y316" i="2" a="1"/>
  <c r="X316" i="2" a="1"/>
  <c r="W316" i="2" a="1"/>
  <c r="V316" i="2" a="1"/>
  <c r="U316" i="2" a="1"/>
  <c r="AB316" i="2"/>
  <c r="Z316" i="2"/>
  <c r="Y317" i="2" a="1"/>
  <c r="X317" i="2" a="1"/>
  <c r="W317" i="2" a="1"/>
  <c r="V317" i="2" a="1"/>
  <c r="U317" i="2" a="1"/>
  <c r="AB317" i="2"/>
  <c r="Z317" i="2"/>
  <c r="X318" i="2" a="1"/>
  <c r="Y318" i="2" a="1"/>
  <c r="U318" i="2" a="1"/>
  <c r="V318" i="2" a="1"/>
  <c r="W318" i="2" a="1"/>
  <c r="Z318" i="2"/>
  <c r="AB318" i="2"/>
  <c r="Y319" i="2" a="1"/>
  <c r="U319" i="2" a="1"/>
  <c r="V319" i="2" a="1"/>
  <c r="W319" i="2" a="1"/>
  <c r="X319" i="2" a="1"/>
  <c r="AB319" i="2"/>
  <c r="Z319" i="2"/>
  <c r="V320" i="2" a="1"/>
  <c r="X320" i="2" a="1"/>
  <c r="Y320" i="2" a="1"/>
  <c r="U320" i="2" a="1"/>
  <c r="W320" i="2" a="1"/>
  <c r="Z320" i="2"/>
  <c r="AB320" i="2"/>
  <c r="W321" i="2" a="1"/>
  <c r="V321" i="2" a="1"/>
  <c r="U321" i="2" a="1"/>
  <c r="Y321" i="2" a="1"/>
  <c r="X321" i="2" a="1"/>
  <c r="Z321" i="2"/>
  <c r="AB321" i="2"/>
  <c r="U322" i="2" a="1"/>
  <c r="V322" i="2" a="1"/>
  <c r="X322" i="2" a="1"/>
  <c r="W322" i="2" a="1"/>
  <c r="Y322" i="2" a="1"/>
  <c r="Z322" i="2"/>
  <c r="AB322" i="2" s="1"/>
  <c r="U323" i="2" a="1"/>
  <c r="V323" i="2" a="1"/>
  <c r="W323" i="2" a="1"/>
  <c r="X323" i="2" a="1"/>
  <c r="Y323" i="2" a="1"/>
  <c r="AB323" i="2"/>
  <c r="Z323" i="2"/>
  <c r="U324" i="2" a="1"/>
  <c r="V324" i="2" a="1"/>
  <c r="W324" i="2" a="1"/>
  <c r="X324" i="2" a="1"/>
  <c r="Y324" i="2" a="1"/>
  <c r="AB324" i="2"/>
  <c r="Z324" i="2"/>
  <c r="U325" i="2" a="1"/>
  <c r="V325" i="2" a="1"/>
  <c r="W325" i="2" a="1"/>
  <c r="X325" i="2" a="1"/>
  <c r="Y325" i="2" a="1"/>
  <c r="Z325" i="2"/>
  <c r="AB325" i="2" s="1"/>
  <c r="U326" i="2" a="1"/>
  <c r="Y326" i="2" a="1"/>
  <c r="X326" i="2" a="1"/>
  <c r="W326" i="2" a="1"/>
  <c r="V326" i="2" a="1"/>
  <c r="Z326" i="2"/>
  <c r="AB326" i="2"/>
  <c r="X327" i="2" a="1"/>
  <c r="W327" i="2" a="1"/>
  <c r="V327" i="2" a="1"/>
  <c r="U327" i="2" a="1"/>
  <c r="Y327" i="2" a="1"/>
  <c r="AB327" i="2"/>
  <c r="Z327" i="2"/>
  <c r="V328" i="2" a="1"/>
  <c r="U328" i="2" a="1"/>
  <c r="W328" i="2" a="1"/>
  <c r="X328" i="2" a="1"/>
  <c r="Y328" i="2" a="1"/>
  <c r="Z328" i="2"/>
  <c r="AB328" i="2"/>
  <c r="U329" i="2" a="1"/>
  <c r="V329" i="2" a="1"/>
  <c r="W329" i="2" a="1"/>
  <c r="X329" i="2" a="1"/>
  <c r="Y329" i="2" a="1"/>
  <c r="Z329" i="2"/>
  <c r="AB329" i="2"/>
  <c r="U330" i="2" a="1"/>
  <c r="V330" i="2" a="1"/>
  <c r="W330" i="2" a="1"/>
  <c r="X330" i="2" a="1"/>
  <c r="Y330" i="2" a="1"/>
  <c r="Z330" i="2"/>
  <c r="AB330" i="2"/>
  <c r="U331" i="2" a="1"/>
  <c r="V331" i="2" a="1"/>
  <c r="W331" i="2" a="1"/>
  <c r="X331" i="2" a="1"/>
  <c r="Y331" i="2" a="1"/>
  <c r="Z331" i="2"/>
  <c r="AB331" i="2"/>
  <c r="U332" i="2" a="1"/>
  <c r="V332" i="2" a="1"/>
  <c r="W332" i="2" a="1"/>
  <c r="X332" i="2" a="1"/>
  <c r="Y332" i="2" a="1"/>
  <c r="Z332" i="2"/>
  <c r="AB332" i="2"/>
  <c r="U333" i="2" a="1"/>
  <c r="V333" i="2" a="1"/>
  <c r="W333" i="2" a="1"/>
  <c r="X333" i="2" a="1"/>
  <c r="Y333" i="2" a="1"/>
  <c r="Z333" i="2"/>
  <c r="AB333" i="2"/>
  <c r="U334" i="2" a="1"/>
  <c r="V334" i="2" a="1"/>
  <c r="W334" i="2" a="1"/>
  <c r="X334" i="2" a="1"/>
  <c r="Y334" i="2" a="1"/>
  <c r="Z334" i="2"/>
  <c r="AB334" i="2"/>
  <c r="U335" i="2" a="1"/>
  <c r="V335" i="2" a="1"/>
  <c r="W335" i="2" a="1"/>
  <c r="X335" i="2" a="1"/>
  <c r="Y335" i="2" a="1"/>
  <c r="Z335" i="2"/>
  <c r="AB335" i="2" s="1"/>
  <c r="U336" i="2" a="1"/>
  <c r="V336" i="2" a="1"/>
  <c r="W336" i="2" a="1"/>
  <c r="X336" i="2" a="1"/>
  <c r="Y336" i="2" a="1"/>
  <c r="Z336" i="2"/>
  <c r="AB336" i="2"/>
  <c r="U337" i="2" a="1"/>
  <c r="V337" i="2" a="1"/>
  <c r="W337" i="2" a="1"/>
  <c r="X337" i="2" a="1"/>
  <c r="Y337" i="2" a="1"/>
  <c r="Z337" i="2"/>
  <c r="AB337" i="2"/>
  <c r="U338" i="2" a="1"/>
  <c r="V338" i="2" a="1"/>
  <c r="W338" i="2" a="1"/>
  <c r="X338" i="2" a="1"/>
  <c r="Y338" i="2" a="1"/>
  <c r="Z338" i="2"/>
  <c r="AB338" i="2" s="1"/>
  <c r="U339" i="2" a="1"/>
  <c r="V339" i="2" a="1"/>
  <c r="W339" i="2" a="1"/>
  <c r="X339" i="2" a="1"/>
  <c r="Y339" i="2" a="1"/>
  <c r="Z339" i="2"/>
  <c r="AB339" i="2"/>
  <c r="X15" i="2" a="1"/>
  <c r="Y15" i="2" a="1"/>
  <c r="U12" i="2" a="1"/>
  <c r="V12" i="2" a="1"/>
  <c r="V15" i="2" a="1"/>
  <c r="W15" i="2" a="1"/>
  <c r="U15" i="2" a="1"/>
  <c r="U90" i="2" a="1"/>
  <c r="V90" i="2" a="1"/>
  <c r="W90" i="2" a="1"/>
  <c r="X90" i="2" a="1"/>
  <c r="Y90" i="2" a="1"/>
  <c r="U132" i="2" a="1"/>
  <c r="V132" i="2" a="1"/>
  <c r="W132" i="2" a="1"/>
  <c r="X132" i="2" a="1"/>
  <c r="Y132" i="2" a="1"/>
  <c r="U174" i="2" a="1"/>
  <c r="V174" i="2" a="1"/>
  <c r="W174" i="2" a="1"/>
  <c r="X174" i="2" a="1"/>
  <c r="Y174" i="2" a="1"/>
  <c r="Z174" i="2"/>
  <c r="AB174" i="2"/>
  <c r="Y216" i="2" a="1"/>
  <c r="X216" i="2" a="1"/>
  <c r="W216" i="2" a="1"/>
  <c r="V216" i="2" a="1"/>
  <c r="U216" i="2" a="1"/>
  <c r="AB216" i="2"/>
  <c r="Z216" i="2"/>
  <c r="Y258" i="2" a="1"/>
  <c r="X258" i="2" a="1"/>
  <c r="W258" i="2" a="1"/>
  <c r="V258" i="2" a="1"/>
  <c r="U258" i="2" a="1"/>
  <c r="AB258" i="2"/>
  <c r="Z258" i="2"/>
  <c r="U300" i="2" a="1"/>
  <c r="V300" i="2" a="1"/>
  <c r="W300" i="2" a="1"/>
  <c r="X300" i="2" a="1"/>
  <c r="Y300" i="2" a="1"/>
  <c r="Z300" i="2"/>
  <c r="AB300" i="2"/>
  <c r="V342" i="2" a="1"/>
  <c r="W342" i="2" a="1"/>
  <c r="X342" i="2" a="1"/>
  <c r="Y342" i="2" a="1"/>
  <c r="U342" i="2" a="1"/>
  <c r="Z342" i="2"/>
  <c r="AB342" i="2"/>
  <c r="Z5" i="2"/>
  <c r="AB5" i="2"/>
  <c r="U5" i="2" a="1"/>
  <c r="V5" i="2" a="1"/>
  <c r="Y5" i="2" a="1"/>
  <c r="W5" i="2" a="1"/>
  <c r="X5" i="2" a="1"/>
  <c r="F10" i="5" l="1"/>
  <c r="F6" i="5"/>
  <c r="F7" i="5"/>
  <c r="F24" i="5"/>
  <c r="F19" i="5"/>
  <c r="F14" i="5"/>
  <c r="F13" i="5"/>
  <c r="F12" i="5"/>
  <c r="F8" i="5"/>
  <c r="F22" i="5"/>
  <c r="F23" i="5"/>
  <c r="F21" i="5"/>
  <c r="F5" i="5"/>
  <c r="F20" i="5"/>
  <c r="F17" i="5"/>
  <c r="F18" i="5"/>
  <c r="F16" i="5"/>
  <c r="F9" i="5"/>
  <c r="F11" i="5"/>
  <c r="F15" i="5"/>
  <c r="D10" i="5" l="1"/>
  <c r="E10" i="5"/>
  <c r="E6" i="5"/>
  <c r="D6" i="5"/>
  <c r="E7" i="5"/>
  <c r="D7" i="5"/>
  <c r="D24" i="5"/>
  <c r="E24" i="5"/>
  <c r="E19" i="5"/>
  <c r="D19" i="5"/>
  <c r="E14" i="5"/>
  <c r="D14" i="5"/>
  <c r="D13" i="5"/>
  <c r="E13" i="5"/>
  <c r="D12" i="5"/>
  <c r="E12" i="5"/>
  <c r="D8" i="5"/>
  <c r="E8" i="5"/>
  <c r="D11" i="5"/>
  <c r="E11" i="5"/>
  <c r="D22" i="5"/>
  <c r="E22" i="5"/>
  <c r="E23" i="5"/>
  <c r="D23" i="5"/>
  <c r="D21" i="5"/>
  <c r="E21" i="5"/>
  <c r="E5" i="5"/>
  <c r="D5" i="5"/>
  <c r="D20" i="5"/>
  <c r="E20" i="5"/>
  <c r="E17" i="5"/>
  <c r="D17" i="5"/>
  <c r="E18" i="5"/>
  <c r="D18" i="5"/>
  <c r="E16" i="5"/>
  <c r="D16" i="5"/>
  <c r="D9" i="5"/>
  <c r="E9" i="5"/>
  <c r="E15" i="5"/>
  <c r="D15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GACHON</author>
  </authors>
  <commentList>
    <comment ref="J4" authorId="0" shapeId="0" xr:uid="{DB245989-F453-4CE7-9ED8-DE37F8F5A99C}">
      <text>
        <r>
          <rPr>
            <b/>
            <sz val="9"/>
            <color indexed="81"/>
            <rFont val="Tahoma"/>
            <family val="2"/>
          </rPr>
          <t>GACHON:</t>
        </r>
        <r>
          <rPr>
            <b/>
            <sz val="9"/>
            <color indexed="81"/>
            <rFont val="돋움"/>
            <family val="3"/>
            <charset val="129"/>
          </rPr>
          <t>대량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처치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쾌감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제공
</t>
        </r>
      </text>
    </comment>
    <comment ref="J5" authorId="0" shapeId="0" xr:uid="{2C36EEF6-53A1-462E-BD60-E11EB9234760}">
      <text>
        <r>
          <rPr>
            <b/>
            <sz val="9"/>
            <color indexed="81"/>
            <rFont val="Tahoma"/>
            <family val="2"/>
          </rPr>
          <t>GACHON: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진로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방해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목적
</t>
        </r>
      </text>
    </comment>
    <comment ref="J6" authorId="0" shapeId="0" xr:uid="{D0126A34-FAC6-48EC-A636-B50E354ED04D}">
      <text>
        <r>
          <rPr>
            <b/>
            <sz val="9"/>
            <color indexed="81"/>
            <rFont val="Tahoma"/>
            <family val="2"/>
          </rPr>
          <t>GACHON: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위기감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조성
</t>
        </r>
      </text>
    </comment>
    <comment ref="J7" authorId="0" shapeId="0" xr:uid="{AA8EBCFF-47AC-4E2A-91E0-D0A769130EE0}">
      <text>
        <r>
          <rPr>
            <b/>
            <sz val="9"/>
            <color indexed="81"/>
            <rFont val="Tahoma"/>
            <family val="2"/>
          </rPr>
          <t>GACHON: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특정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목적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없음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<sst xmlns="http://schemas.openxmlformats.org/spreadsheetml/2006/main" count="4538" uniqueCount="418">
  <si>
    <t>Monster_data</t>
  </si>
  <si>
    <t>column명</t>
  </si>
  <si>
    <t>한글 명칭</t>
  </si>
  <si>
    <t>형식 설명</t>
  </si>
  <si>
    <t>설명</t>
  </si>
  <si>
    <t>monsterId</t>
  </si>
  <si>
    <t>string</t>
  </si>
  <si>
    <t>몬스터 ID 저장</t>
  </si>
  <si>
    <t>monsterName</t>
  </si>
  <si>
    <t>몬스터의 이름 저장</t>
  </si>
  <si>
    <t>monsterGrade</t>
  </si>
  <si>
    <t>몬스터의 등급 저장, "Alpha", "Bravo", "Charlie", "Delta", "Echo" 다섯개 중 하나의 값이 들어갈 수 있다.</t>
  </si>
  <si>
    <t>monsterFaction</t>
  </si>
  <si>
    <t>monsterPower</t>
  </si>
  <si>
    <t>int</t>
  </si>
  <si>
    <t>몬스터의 위력(공격력)수치 저장</t>
  </si>
  <si>
    <t>monsterHp</t>
  </si>
  <si>
    <t>몬스터의 체력수치 저장</t>
  </si>
  <si>
    <t>monsterDef</t>
  </si>
  <si>
    <t>몬스터의 방어력수치 저장</t>
  </si>
  <si>
    <t>monsterAtkcycle</t>
  </si>
  <si>
    <t>float</t>
  </si>
  <si>
    <t>몬스터의 공격 주기 수치 저장</t>
  </si>
  <si>
    <t>monsterRange</t>
  </si>
  <si>
    <t>몬스터의 공격 사거리 범위 수치 저장</t>
  </si>
  <si>
    <t>monsterSpeed</t>
  </si>
  <si>
    <t>몬스터의 이동 속도 수치 저장</t>
  </si>
  <si>
    <t>monsterRangeType</t>
  </si>
  <si>
    <t>몬스터의 사거리 속성 저장(설정집에서 표시용), "근접", "원거리" 2가지 값중 1개가 들어간다.</t>
  </si>
  <si>
    <t>monsterLandType</t>
  </si>
  <si>
    <t>monsterDefType</t>
  </si>
  <si>
    <t>monsterHitboxSize</t>
  </si>
  <si>
    <t>몬스터의 히트박스 크기 저장</t>
  </si>
  <si>
    <t>monsterModelId</t>
  </si>
  <si>
    <t>몬스터가 사용할 모델링의 ID 저장</t>
  </si>
  <si>
    <t>라바</t>
  </si>
  <si>
    <t>Small</t>
  </si>
  <si>
    <t>Midium</t>
  </si>
  <si>
    <t>앤틸리온</t>
  </si>
  <si>
    <t>님프</t>
  </si>
  <si>
    <t>골렘</t>
  </si>
  <si>
    <t>Big</t>
  </si>
  <si>
    <t>밴시</t>
  </si>
  <si>
    <t>타이탄</t>
  </si>
  <si>
    <t>타이탄의 코어</t>
  </si>
  <si>
    <t>바위</t>
  </si>
  <si>
    <t>코쿤</t>
    <phoneticPr fontId="3" type="noConversion"/>
  </si>
  <si>
    <t>HP</t>
    <phoneticPr fontId="3" type="noConversion"/>
  </si>
  <si>
    <t>DEF</t>
    <phoneticPr fontId="3" type="noConversion"/>
  </si>
  <si>
    <t>Range</t>
    <phoneticPr fontId="3" type="noConversion"/>
  </si>
  <si>
    <t>Attack</t>
    <phoneticPr fontId="3" type="noConversion"/>
  </si>
  <si>
    <t>Atkcycle</t>
    <phoneticPr fontId="3" type="noConversion"/>
  </si>
  <si>
    <t>Speed</t>
    <phoneticPr fontId="3" type="noConversion"/>
  </si>
  <si>
    <t>지형요소 보정</t>
    <phoneticPr fontId="3" type="noConversion"/>
  </si>
  <si>
    <t>Hack_and_slash</t>
    <phoneticPr fontId="3" type="noConversion"/>
  </si>
  <si>
    <t>None</t>
    <phoneticPr fontId="3" type="noConversion"/>
  </si>
  <si>
    <t>Dangerous</t>
    <phoneticPr fontId="3" type="noConversion"/>
  </si>
  <si>
    <t>disturbance</t>
    <phoneticPr fontId="3" type="noConversion"/>
  </si>
  <si>
    <t>사거리 구별</t>
    <phoneticPr fontId="3" type="noConversion"/>
  </si>
  <si>
    <t>등급 구별</t>
    <phoneticPr fontId="3" type="noConversion"/>
  </si>
  <si>
    <t>목적 구분</t>
    <phoneticPr fontId="3" type="noConversion"/>
  </si>
  <si>
    <t>지형 구분</t>
    <phoneticPr fontId="3" type="noConversion"/>
  </si>
  <si>
    <t>변이체 ID</t>
    <phoneticPr fontId="3" type="noConversion"/>
  </si>
  <si>
    <r>
      <t>변이체</t>
    </r>
    <r>
      <rPr>
        <sz val="10"/>
        <color rgb="FF000000"/>
        <rFont val="맑은 고딕"/>
        <family val="3"/>
        <charset val="129"/>
      </rPr>
      <t xml:space="preserve"> 등급</t>
    </r>
    <phoneticPr fontId="3" type="noConversion"/>
  </si>
  <si>
    <t>변이체 팩션</t>
    <phoneticPr fontId="3" type="noConversion"/>
  </si>
  <si>
    <t>공격력보정치</t>
    <phoneticPr fontId="3" type="noConversion"/>
  </si>
  <si>
    <t>체력보정치</t>
    <phoneticPr fontId="3" type="noConversion"/>
  </si>
  <si>
    <t>방어력보정치</t>
    <phoneticPr fontId="3" type="noConversion"/>
  </si>
  <si>
    <t>공격주기 보정치</t>
    <phoneticPr fontId="3" type="noConversion"/>
  </si>
  <si>
    <t>사거리 보정치</t>
    <phoneticPr fontId="3" type="noConversion"/>
  </si>
  <si>
    <t>이동속도 보정치</t>
    <phoneticPr fontId="3" type="noConversion"/>
  </si>
  <si>
    <t>스테이지 구분</t>
    <phoneticPr fontId="3" type="noConversion"/>
  </si>
  <si>
    <t>등장지역</t>
    <phoneticPr fontId="3" type="noConversion"/>
  </si>
  <si>
    <t>Hack_and_slash</t>
    <phoneticPr fontId="3" type="noConversion"/>
  </si>
  <si>
    <t>string</t>
    <phoneticPr fontId="3" type="noConversion"/>
  </si>
  <si>
    <r>
      <t>변이체</t>
    </r>
    <r>
      <rPr>
        <sz val="10"/>
        <color rgb="FF000000"/>
        <rFont val="맑은 고딕"/>
        <family val="3"/>
        <charset val="129"/>
      </rPr>
      <t xml:space="preserve"> 방어형식</t>
    </r>
    <phoneticPr fontId="3" type="noConversion"/>
  </si>
  <si>
    <t>변이체 히트박스 사이즈</t>
    <phoneticPr fontId="3" type="noConversion"/>
  </si>
  <si>
    <t>변이체 모델ID</t>
    <phoneticPr fontId="3" type="noConversion"/>
  </si>
  <si>
    <t>변이체 사거리타입</t>
    <phoneticPr fontId="3" type="noConversion"/>
  </si>
  <si>
    <t>변이체 지형타입</t>
    <phoneticPr fontId="3" type="noConversion"/>
  </si>
  <si>
    <t>변이체 체력</t>
    <phoneticPr fontId="3" type="noConversion"/>
  </si>
  <si>
    <t>변이체 방어력</t>
    <phoneticPr fontId="3" type="noConversion"/>
  </si>
  <si>
    <t>변이체 공격력</t>
    <phoneticPr fontId="3" type="noConversion"/>
  </si>
  <si>
    <t>변이체 공격주기</t>
    <phoneticPr fontId="3" type="noConversion"/>
  </si>
  <si>
    <t>변이체 이동속도</t>
    <phoneticPr fontId="3" type="noConversion"/>
  </si>
  <si>
    <t>변이체 사거리</t>
    <phoneticPr fontId="3" type="noConversion"/>
  </si>
  <si>
    <t>S</t>
    <phoneticPr fontId="3" type="noConversion"/>
  </si>
  <si>
    <t>M</t>
    <phoneticPr fontId="3" type="noConversion"/>
  </si>
  <si>
    <t>Monster_model_00001.fbx</t>
    <phoneticPr fontId="3" type="noConversion"/>
  </si>
  <si>
    <t>F01</t>
    <phoneticPr fontId="3" type="noConversion"/>
  </si>
  <si>
    <t>몬스터 성향</t>
    <phoneticPr fontId="3" type="noConversion"/>
  </si>
  <si>
    <t>A</t>
    <phoneticPr fontId="3" type="noConversion"/>
  </si>
  <si>
    <t>ml</t>
    <phoneticPr fontId="3" type="noConversion"/>
  </si>
  <si>
    <t>ra</t>
    <phoneticPr fontId="3" type="noConversion"/>
  </si>
  <si>
    <t>L</t>
    <phoneticPr fontId="3" type="noConversion"/>
  </si>
  <si>
    <t>F</t>
    <phoneticPr fontId="3" type="noConversion"/>
  </si>
  <si>
    <t>레벨</t>
    <phoneticPr fontId="3" type="noConversion"/>
  </si>
  <si>
    <t>발사체 속도</t>
    <phoneticPr fontId="3" type="noConversion"/>
  </si>
  <si>
    <t>사용 스킬</t>
    <phoneticPr fontId="3" type="noConversion"/>
  </si>
  <si>
    <t>B</t>
    <phoneticPr fontId="3" type="noConversion"/>
  </si>
  <si>
    <t>C</t>
    <phoneticPr fontId="3" type="noConversion"/>
  </si>
  <si>
    <t>B</t>
    <phoneticPr fontId="3" type="noConversion"/>
  </si>
  <si>
    <t>C</t>
    <phoneticPr fontId="3" type="noConversion"/>
  </si>
  <si>
    <t>D</t>
    <phoneticPr fontId="3" type="noConversion"/>
  </si>
  <si>
    <t>E</t>
    <phoneticPr fontId="3" type="noConversion"/>
  </si>
  <si>
    <t>ml</t>
    <phoneticPr fontId="3" type="noConversion"/>
  </si>
  <si>
    <t>ra</t>
    <phoneticPr fontId="3" type="noConversion"/>
  </si>
  <si>
    <t>L</t>
    <phoneticPr fontId="3" type="noConversion"/>
  </si>
  <si>
    <t>F</t>
    <phoneticPr fontId="3" type="noConversion"/>
  </si>
  <si>
    <t>F01</t>
    <phoneticPr fontId="3" type="noConversion"/>
  </si>
  <si>
    <t>F02</t>
    <phoneticPr fontId="3" type="noConversion"/>
  </si>
  <si>
    <t>F03</t>
  </si>
  <si>
    <t>F04</t>
  </si>
  <si>
    <t>F05</t>
  </si>
  <si>
    <t>F06</t>
  </si>
  <si>
    <t>F07</t>
  </si>
  <si>
    <t>F08</t>
  </si>
  <si>
    <t>F09</t>
  </si>
  <si>
    <t>F10</t>
  </si>
  <si>
    <t>F11</t>
  </si>
  <si>
    <t>F12</t>
  </si>
  <si>
    <t>레벨구분(해당 값 이하)</t>
    <phoneticPr fontId="3" type="noConversion"/>
  </si>
  <si>
    <t>Vector3</t>
  </si>
  <si>
    <t>levelId</t>
  </si>
  <si>
    <t>levelInnerId</t>
  </si>
  <si>
    <t>levelSpawnSpawnpoint</t>
  </si>
  <si>
    <t>levelSpawnPos</t>
  </si>
  <si>
    <t>levelSpawnMonsterId</t>
  </si>
  <si>
    <t>levelSpawnCooltime</t>
    <phoneticPr fontId="3" type="noConversion"/>
  </si>
  <si>
    <t>battleAreaId</t>
  </si>
  <si>
    <t>battleLevelId</t>
  </si>
  <si>
    <t>battleAreaType</t>
  </si>
  <si>
    <t>battleAreaGoldReword</t>
    <phoneticPr fontId="3" type="noConversion"/>
  </si>
  <si>
    <t>battleAreaExpReword</t>
    <phoneticPr fontId="3" type="noConversion"/>
  </si>
  <si>
    <t>{"type":"always","id":""}</t>
  </si>
  <si>
    <t>보상 배율</t>
    <phoneticPr fontId="3" type="noConversion"/>
  </si>
  <si>
    <t>monsterLv</t>
    <phoneticPr fontId="3" type="noConversion"/>
  </si>
  <si>
    <t>int</t>
    <phoneticPr fontId="3" type="noConversion"/>
  </si>
  <si>
    <t>보정치</t>
    <phoneticPr fontId="3" type="noConversion"/>
  </si>
  <si>
    <t>null</t>
    <phoneticPr fontId="3" type="noConversion"/>
  </si>
  <si>
    <t>skill_Enpc_B_001</t>
    <phoneticPr fontId="3" type="noConversion"/>
  </si>
  <si>
    <t>skill_Enpc_B_002, skill_Enpc_B_003</t>
    <phoneticPr fontId="3" type="noConversion"/>
  </si>
  <si>
    <t>enpc_Ai_Basic_001</t>
    <phoneticPr fontId="3" type="noConversion"/>
  </si>
  <si>
    <t>enpc_Ai_Golem_001</t>
    <phoneticPr fontId="3" type="noConversion"/>
  </si>
  <si>
    <t>enpc_Ai_Banshee_001</t>
    <phoneticPr fontId="3" type="noConversion"/>
  </si>
  <si>
    <t>skill_Enpc_C_001, skill_Enpc_C_002, skill_Enpc_C_003</t>
    <phoneticPr fontId="3" type="noConversion"/>
  </si>
  <si>
    <t>enpc_Ai_Titan_001</t>
    <phoneticPr fontId="3" type="noConversion"/>
  </si>
  <si>
    <t>float</t>
    <phoneticPr fontId="3" type="noConversion"/>
  </si>
  <si>
    <t>shootSpeed</t>
    <phoneticPr fontId="3" type="noConversion"/>
  </si>
  <si>
    <t>monsterUseSkill</t>
    <phoneticPr fontId="3" type="noConversion"/>
  </si>
  <si>
    <t>monsterAi</t>
    <phoneticPr fontId="3" type="noConversion"/>
  </si>
  <si>
    <t>경험치</t>
    <phoneticPr fontId="3" type="noConversion"/>
  </si>
  <si>
    <t>골드</t>
    <phoneticPr fontId="3" type="noConversion"/>
  </si>
  <si>
    <t>levelAverage</t>
    <phoneticPr fontId="3" type="noConversion"/>
  </si>
  <si>
    <t>battle_Area_F01_00001</t>
    <phoneticPr fontId="3" type="noConversion"/>
  </si>
  <si>
    <t>level_Data_F01_00001</t>
    <phoneticPr fontId="3" type="noConversion"/>
  </si>
  <si>
    <t>battle_Area_F01_00002</t>
  </si>
  <si>
    <t>level_Data_F01_00002</t>
  </si>
  <si>
    <t>battle_Area_F01_00003</t>
  </si>
  <si>
    <t>level_Data_F01_00003</t>
  </si>
  <si>
    <t>battle_Area_F01_00004</t>
  </si>
  <si>
    <t>level_Data_F01_00004</t>
  </si>
  <si>
    <t>battle_Area_F01_00005</t>
  </si>
  <si>
    <t>level_Data_F01_00005</t>
  </si>
  <si>
    <t>battle_Area_F01_00006</t>
  </si>
  <si>
    <t>level_Data_F01_00006</t>
  </si>
  <si>
    <t>battle_Area_F01_00007</t>
  </si>
  <si>
    <t>level_Data_F01_00007</t>
  </si>
  <si>
    <t>battle_Area_F01_00008</t>
  </si>
  <si>
    <t>level_Data_F01_00008</t>
  </si>
  <si>
    <t>battle_Area_F01_00009</t>
  </si>
  <si>
    <t>level_Data_F01_00009</t>
  </si>
  <si>
    <t>battle_Area_F01_00010</t>
  </si>
  <si>
    <t>level_Data_F01_00010</t>
  </si>
  <si>
    <t>battle_Area_F01_00011</t>
  </si>
  <si>
    <t>level_Data_F01_00011</t>
  </si>
  <si>
    <t>battle_Area_F01_00012</t>
  </si>
  <si>
    <t>level_Data_F01_00012</t>
  </si>
  <si>
    <t>battle_Area_F01_00013</t>
  </si>
  <si>
    <t>level_Data_F01_00013</t>
  </si>
  <si>
    <t>battle_Area_F01_00014</t>
  </si>
  <si>
    <t>level_Data_F01_00014</t>
  </si>
  <si>
    <t>battle_Area_F01_00015</t>
  </si>
  <si>
    <t>level_Data_F01_00015</t>
  </si>
  <si>
    <t>battle_Area_F01_00016</t>
  </si>
  <si>
    <t>level_Data_F01_00016</t>
  </si>
  <si>
    <t>battle_Area_F01_00017</t>
  </si>
  <si>
    <t>level_Data_F01_00017</t>
  </si>
  <si>
    <t>battle_Area_F01_00018</t>
  </si>
  <si>
    <t>level_Data_F01_00018</t>
  </si>
  <si>
    <t>battle_Area_F01_00019</t>
  </si>
  <si>
    <t>level_Data_F01_00019</t>
  </si>
  <si>
    <t>battle_Area_F01_00020</t>
  </si>
  <si>
    <t>level_Data_F01_00020</t>
  </si>
  <si>
    <t>monsterUseArea</t>
    <phoneticPr fontId="3" type="noConversion"/>
  </si>
  <si>
    <t>색인용 표시</t>
    <phoneticPr fontId="3" type="noConversion"/>
  </si>
  <si>
    <t>Monster_model_00002.fbx</t>
  </si>
  <si>
    <t>Monster_model_00004.fbx</t>
  </si>
  <si>
    <t>Monster_model_00006.fbx</t>
  </si>
  <si>
    <t>Monster_model_00008.fbx</t>
  </si>
  <si>
    <t>monsterTendency</t>
    <phoneticPr fontId="3" type="noConversion"/>
  </si>
  <si>
    <t>전투구역 평균레벨</t>
    <phoneticPr fontId="3" type="noConversion"/>
  </si>
  <si>
    <t>level_Data_F01_00001</t>
  </si>
  <si>
    <t>spawner</t>
  </si>
  <si>
    <t>{"X":0.0,"Y":0.0,"Z":0.0}</t>
  </si>
  <si>
    <t>enpc_F01_A_Lava_001</t>
  </si>
  <si>
    <t>enpc_F01_A_Cocoon_001</t>
  </si>
  <si>
    <t>enpc_F01_A_Antlion_001</t>
  </si>
  <si>
    <t>enpc_F01_A_Nymphe_001</t>
  </si>
  <si>
    <t>level_Data_F01_00002</t>
    <phoneticPr fontId="3" type="noConversion"/>
  </si>
  <si>
    <t>level_Data_F01_00003</t>
    <phoneticPr fontId="3" type="noConversion"/>
  </si>
  <si>
    <t>level_Data_F01_00004</t>
    <phoneticPr fontId="3" type="noConversion"/>
  </si>
  <si>
    <t>level_Data_F01_00005</t>
    <phoneticPr fontId="3" type="noConversion"/>
  </si>
  <si>
    <t>level_Data_F01_00006</t>
    <phoneticPr fontId="3" type="noConversion"/>
  </si>
  <si>
    <t>level_Data_F01_00007</t>
    <phoneticPr fontId="3" type="noConversion"/>
  </si>
  <si>
    <t>level_Data_F01_00008</t>
    <phoneticPr fontId="3" type="noConversion"/>
  </si>
  <si>
    <t>level_Data_F01_00009</t>
    <phoneticPr fontId="3" type="noConversion"/>
  </si>
  <si>
    <t>level_Data_F01_00010</t>
    <phoneticPr fontId="3" type="noConversion"/>
  </si>
  <si>
    <t>level_Data_F01_00011</t>
    <phoneticPr fontId="3" type="noConversion"/>
  </si>
  <si>
    <t>level_Data_F01_00012</t>
    <phoneticPr fontId="3" type="noConversion"/>
  </si>
  <si>
    <t>level_Data_F01_00013</t>
    <phoneticPr fontId="3" type="noConversion"/>
  </si>
  <si>
    <t>level_Data_F01_00014</t>
    <phoneticPr fontId="3" type="noConversion"/>
  </si>
  <si>
    <t>level_Data_F01_00015</t>
    <phoneticPr fontId="3" type="noConversion"/>
  </si>
  <si>
    <t>level_Data_F01_00016</t>
    <phoneticPr fontId="3" type="noConversion"/>
  </si>
  <si>
    <t>level_Data_F01_00017</t>
    <phoneticPr fontId="3" type="noConversion"/>
  </si>
  <si>
    <t>level_Data_F01_00018</t>
    <phoneticPr fontId="3" type="noConversion"/>
  </si>
  <si>
    <t>level_Data_F01_00019</t>
    <phoneticPr fontId="3" type="noConversion"/>
  </si>
  <si>
    <t>level_Data_F01_00020</t>
    <phoneticPr fontId="3" type="noConversion"/>
  </si>
  <si>
    <t>spawnStandard</t>
    <phoneticPr fontId="3" type="noConversion"/>
  </si>
  <si>
    <t>BattleArea</t>
  </si>
  <si>
    <t>데이터 형식</t>
  </si>
  <si>
    <t>전투구역 ID</t>
  </si>
  <si>
    <t>"Battle_area_merbin_00001"</t>
  </si>
  <si>
    <t>전투구역 ID 저장</t>
  </si>
  <si>
    <t>사용할 레벨디자인 데이터 ID</t>
  </si>
  <si>
    <t>"Level_data_merbin_00001"</t>
  </si>
  <si>
    <t>레벨디자인 데이터 ID 저장</t>
  </si>
  <si>
    <t>전투구역 형식</t>
  </si>
  <si>
    <t>json</t>
  </si>
  <si>
    <t>{"type" : "always", "id" : ""}</t>
  </si>
  <si>
    <t>battleAreaReword</t>
  </si>
  <si>
    <t>전투구역 보상</t>
  </si>
  <si>
    <t>{"experience":00, "mile":00}</t>
  </si>
  <si>
    <t>{경험치:제공수치, 마일(돈):제공수치}</t>
  </si>
  <si>
    <t>LeveldesignData</t>
  </si>
  <si>
    <t>형식 설명(예시)</t>
  </si>
  <si>
    <t>소환 순서 표기</t>
  </si>
  <si>
    <t>"world"</t>
  </si>
  <si>
    <t>"world", "spawner" 2가지 값중 1개가 들어간다.</t>
  </si>
  <si>
    <t>{"X":0.0, "Y":0.0, "Z":0.0f}</t>
  </si>
  <si>
    <t>생성할 위치의 좌표값을 적는다.</t>
  </si>
  <si>
    <t>"Monster_alpha_00001"</t>
  </si>
  <si>
    <t>levelSpawnCooltime</t>
  </si>
  <si>
    <t>"ml"</t>
    <phoneticPr fontId="3" type="noConversion"/>
  </si>
  <si>
    <t>"L"</t>
    <phoneticPr fontId="3" type="noConversion"/>
  </si>
  <si>
    <t>"S"</t>
    <phoneticPr fontId="3" type="noConversion"/>
  </si>
  <si>
    <t>"Small"</t>
    <phoneticPr fontId="3" type="noConversion"/>
  </si>
  <si>
    <t>"Monster_model_00001.fbx"</t>
    <phoneticPr fontId="3" type="noConversion"/>
  </si>
  <si>
    <t>"enpc_F01_A_Lava_001"</t>
    <phoneticPr fontId="3" type="noConversion"/>
  </si>
  <si>
    <t>"A"</t>
    <phoneticPr fontId="3" type="noConversion"/>
  </si>
  <si>
    <t>"Enpc"</t>
    <phoneticPr fontId="3" type="noConversion"/>
  </si>
  <si>
    <t>사거리별 보정치</t>
    <phoneticPr fontId="3" type="noConversion"/>
  </si>
  <si>
    <t>몬스터 성향 요소 보정치</t>
    <phoneticPr fontId="3" type="noConversion"/>
  </si>
  <si>
    <t>등장지역 보정치</t>
    <phoneticPr fontId="3" type="noConversion"/>
  </si>
  <si>
    <r>
      <t>레벨 보정</t>
    </r>
    <r>
      <rPr>
        <sz val="10"/>
        <color rgb="FF000000"/>
        <rFont val="맑은 고딕"/>
        <family val="2"/>
        <charset val="129"/>
      </rPr>
      <t>치</t>
    </r>
    <phoneticPr fontId="3" type="noConversion"/>
  </si>
  <si>
    <t>이전 레벨 배율</t>
    <phoneticPr fontId="3" type="noConversion"/>
  </si>
  <si>
    <t>발사체속도 보정치</t>
    <phoneticPr fontId="3" type="noConversion"/>
  </si>
  <si>
    <r>
      <t xml:space="preserve">● </t>
    </r>
    <r>
      <rPr>
        <sz val="10"/>
        <color rgb="FF000000"/>
        <rFont val="&quot;맑은 고딕&quot;"/>
        <family val="2"/>
        <charset val="129"/>
      </rPr>
      <t>해당</t>
    </r>
    <r>
      <rPr>
        <sz val="10"/>
        <color rgb="FF000000"/>
        <rFont val="Segoe UI Symbol"/>
        <family val="2"/>
      </rPr>
      <t xml:space="preserve"> </t>
    </r>
    <r>
      <rPr>
        <sz val="10"/>
        <color rgb="FF000000"/>
        <rFont val="&quot;맑은 고딕&quot;"/>
        <family val="2"/>
        <charset val="129"/>
      </rPr>
      <t>페이지는</t>
    </r>
    <r>
      <rPr>
        <sz val="10"/>
        <color rgb="FF000000"/>
        <rFont val="Segoe UI Symbol"/>
        <family val="2"/>
      </rPr>
      <t xml:space="preserve"> </t>
    </r>
    <r>
      <rPr>
        <sz val="10"/>
        <color rgb="FF000000"/>
        <rFont val="&quot;맑은 고딕&quot;"/>
        <family val="2"/>
        <charset val="129"/>
      </rPr>
      <t>실제</t>
    </r>
    <r>
      <rPr>
        <sz val="10"/>
        <color rgb="FF000000"/>
        <rFont val="Segoe UI Symbol"/>
        <family val="2"/>
      </rPr>
      <t xml:space="preserve"> </t>
    </r>
    <r>
      <rPr>
        <sz val="10"/>
        <color rgb="FF000000"/>
        <rFont val="&quot;맑은 고딕&quot;"/>
        <family val="2"/>
        <charset val="129"/>
      </rPr>
      <t>사용할</t>
    </r>
    <r>
      <rPr>
        <sz val="10"/>
        <color rgb="FF000000"/>
        <rFont val="Segoe UI Symbol"/>
        <family val="2"/>
      </rPr>
      <t xml:space="preserve"> </t>
    </r>
    <r>
      <rPr>
        <sz val="10"/>
        <color rgb="FF000000"/>
        <rFont val="&quot;맑은 고딕&quot;"/>
        <family val="2"/>
        <charset val="129"/>
      </rPr>
      <t>데이터에</t>
    </r>
    <r>
      <rPr>
        <sz val="10"/>
        <color rgb="FF000000"/>
        <rFont val="Segoe UI Symbol"/>
        <family val="2"/>
      </rPr>
      <t xml:space="preserve"> </t>
    </r>
    <r>
      <rPr>
        <sz val="10"/>
        <color rgb="FF000000"/>
        <rFont val="&quot;맑은 고딕&quot;"/>
        <family val="2"/>
        <charset val="129"/>
      </rPr>
      <t>대한</t>
    </r>
    <r>
      <rPr>
        <sz val="10"/>
        <color rgb="FF000000"/>
        <rFont val="Segoe UI Symbol"/>
        <family val="2"/>
      </rPr>
      <t xml:space="preserve"> </t>
    </r>
    <r>
      <rPr>
        <sz val="10"/>
        <color rgb="FF000000"/>
        <rFont val="&quot;맑은 고딕&quot;"/>
        <family val="2"/>
        <charset val="129"/>
      </rPr>
      <t>내용이</t>
    </r>
    <r>
      <rPr>
        <sz val="10"/>
        <color rgb="FF000000"/>
        <rFont val="Segoe UI Symbol"/>
        <family val="2"/>
      </rPr>
      <t xml:space="preserve"> </t>
    </r>
    <r>
      <rPr>
        <sz val="10"/>
        <color rgb="FF000000"/>
        <rFont val="&quot;맑은 고딕&quot;"/>
        <family val="2"/>
        <charset val="129"/>
      </rPr>
      <t>적힌</t>
    </r>
    <r>
      <rPr>
        <sz val="10"/>
        <color rgb="FF000000"/>
        <rFont val="Segoe UI Symbol"/>
        <family val="2"/>
      </rPr>
      <t xml:space="preserve"> </t>
    </r>
    <r>
      <rPr>
        <sz val="10"/>
        <color rgb="FF000000"/>
        <rFont val="&quot;맑은 고딕&quot;"/>
        <family val="2"/>
        <charset val="129"/>
      </rPr>
      <t>테이블이다</t>
    </r>
    <r>
      <rPr>
        <sz val="10"/>
        <color rgb="FF000000"/>
        <rFont val="Segoe UI Symbol"/>
        <family val="2"/>
      </rPr>
      <t>.
● 3</t>
    </r>
    <r>
      <rPr>
        <sz val="10"/>
        <color rgb="FF000000"/>
        <rFont val="&quot;맑은 고딕&quot;"/>
        <family val="2"/>
        <charset val="129"/>
      </rPr>
      <t>열은</t>
    </r>
    <r>
      <rPr>
        <sz val="10"/>
        <color rgb="FF000000"/>
        <rFont val="Segoe UI Symbol"/>
        <family val="2"/>
      </rPr>
      <t xml:space="preserve"> </t>
    </r>
    <r>
      <rPr>
        <sz val="10"/>
        <color rgb="FF000000"/>
        <rFont val="&quot;맑은 고딕&quot;"/>
        <family val="2"/>
        <charset val="129"/>
      </rPr>
      <t>데이터의</t>
    </r>
    <r>
      <rPr>
        <sz val="10"/>
        <color rgb="FF000000"/>
        <rFont val="Segoe UI Symbol"/>
        <family val="2"/>
      </rPr>
      <t xml:space="preserve"> </t>
    </r>
    <r>
      <rPr>
        <sz val="10"/>
        <color rgb="FF000000"/>
        <rFont val="&quot;맑은 고딕&quot;"/>
        <family val="2"/>
        <charset val="129"/>
      </rPr>
      <t>자료형이며</t>
    </r>
    <r>
      <rPr>
        <sz val="10"/>
        <color rgb="FF000000"/>
        <rFont val="Segoe UI Symbol"/>
        <family val="2"/>
      </rPr>
      <t xml:space="preserve"> </t>
    </r>
    <r>
      <rPr>
        <sz val="10"/>
        <color rgb="FF000000"/>
        <rFont val="&quot;맑은 고딕&quot;"/>
        <family val="2"/>
        <charset val="129"/>
      </rPr>
      <t>자료형이</t>
    </r>
    <r>
      <rPr>
        <sz val="10"/>
        <color rgb="FF000000"/>
        <rFont val="Segoe UI Symbol"/>
        <family val="2"/>
      </rPr>
      <t xml:space="preserve"> </t>
    </r>
    <r>
      <rPr>
        <sz val="10"/>
        <color rgb="FF000000"/>
        <rFont val="&quot;맑은 고딕&quot;"/>
        <family val="2"/>
        <charset val="129"/>
      </rPr>
      <t>한글로</t>
    </r>
    <r>
      <rPr>
        <sz val="10"/>
        <color rgb="FF000000"/>
        <rFont val="Segoe UI Symbol"/>
        <family val="2"/>
      </rPr>
      <t xml:space="preserve"> </t>
    </r>
    <r>
      <rPr>
        <sz val="10"/>
        <color rgb="FF000000"/>
        <rFont val="&quot;맑은 고딕&quot;"/>
        <family val="2"/>
        <charset val="129"/>
      </rPr>
      <t>되어있는</t>
    </r>
    <r>
      <rPr>
        <sz val="10"/>
        <color rgb="FF000000"/>
        <rFont val="Segoe UI Symbol"/>
        <family val="2"/>
      </rPr>
      <t xml:space="preserve"> </t>
    </r>
    <r>
      <rPr>
        <sz val="10"/>
        <color rgb="FF000000"/>
        <rFont val="&quot;맑은 고딕&quot;"/>
        <family val="2"/>
        <charset val="129"/>
      </rPr>
      <t>경우</t>
    </r>
    <r>
      <rPr>
        <sz val="10"/>
        <color rgb="FF000000"/>
        <rFont val="Segoe UI Symbol"/>
        <family val="2"/>
      </rPr>
      <t xml:space="preserve"> </t>
    </r>
    <r>
      <rPr>
        <sz val="10"/>
        <color rgb="FF000000"/>
        <rFont val="&quot;맑은 고딕&quot;"/>
        <family val="2"/>
        <charset val="129"/>
      </rPr>
      <t>인게임에서</t>
    </r>
    <r>
      <rPr>
        <sz val="10"/>
        <color rgb="FF000000"/>
        <rFont val="Segoe UI Symbol"/>
        <family val="2"/>
      </rPr>
      <t xml:space="preserve"> </t>
    </r>
    <r>
      <rPr>
        <sz val="10"/>
        <color rgb="FF000000"/>
        <rFont val="&quot;맑은 고딕&quot;"/>
        <family val="2"/>
        <charset val="129"/>
      </rPr>
      <t>사용하지</t>
    </r>
    <r>
      <rPr>
        <sz val="10"/>
        <color rgb="FF000000"/>
        <rFont val="Segoe UI Symbol"/>
        <family val="2"/>
      </rPr>
      <t xml:space="preserve"> </t>
    </r>
    <r>
      <rPr>
        <sz val="10"/>
        <color rgb="FF000000"/>
        <rFont val="&quot;맑은 고딕&quot;"/>
        <family val="2"/>
        <charset val="129"/>
      </rPr>
      <t>않는</t>
    </r>
    <r>
      <rPr>
        <sz val="10"/>
        <color rgb="FF000000"/>
        <rFont val="Segoe UI Symbol"/>
        <family val="2"/>
      </rPr>
      <t xml:space="preserve"> </t>
    </r>
    <r>
      <rPr>
        <sz val="10"/>
        <color rgb="FF000000"/>
        <rFont val="&quot;맑은 고딕&quot;"/>
        <family val="2"/>
        <charset val="129"/>
      </rPr>
      <t>데이터지만</t>
    </r>
    <r>
      <rPr>
        <sz val="10"/>
        <color rgb="FF000000"/>
        <rFont val="Segoe UI Symbol"/>
        <family val="2"/>
      </rPr>
      <t xml:space="preserve"> </t>
    </r>
    <r>
      <rPr>
        <sz val="10"/>
        <color rgb="FF000000"/>
        <rFont val="&quot;맑은 고딕&quot;"/>
        <family val="2"/>
        <charset val="129"/>
      </rPr>
      <t>테이블에서</t>
    </r>
    <r>
      <rPr>
        <sz val="10"/>
        <color rgb="FF000000"/>
        <rFont val="Segoe UI Symbol"/>
        <family val="2"/>
      </rPr>
      <t xml:space="preserve"> </t>
    </r>
    <r>
      <rPr>
        <sz val="10"/>
        <color rgb="FF000000"/>
        <rFont val="&quot;맑은 고딕&quot;"/>
        <family val="2"/>
        <charset val="129"/>
      </rPr>
      <t>수치조정</t>
    </r>
    <r>
      <rPr>
        <sz val="10"/>
        <color rgb="FF000000"/>
        <rFont val="Segoe UI Symbol"/>
        <family val="2"/>
      </rPr>
      <t xml:space="preserve"> </t>
    </r>
    <r>
      <rPr>
        <sz val="10"/>
        <color rgb="FF000000"/>
        <rFont val="&quot;맑은 고딕&quot;"/>
        <family val="2"/>
        <charset val="129"/>
      </rPr>
      <t>또는</t>
    </r>
    <r>
      <rPr>
        <sz val="10"/>
        <color rgb="FF000000"/>
        <rFont val="Segoe UI Symbol"/>
        <family val="2"/>
      </rPr>
      <t xml:space="preserve"> </t>
    </r>
    <r>
      <rPr>
        <sz val="10"/>
        <color rgb="FF000000"/>
        <rFont val="&quot;맑은 고딕&quot;"/>
        <family val="2"/>
        <charset val="129"/>
      </rPr>
      <t>색인을</t>
    </r>
    <r>
      <rPr>
        <sz val="10"/>
        <color rgb="FF000000"/>
        <rFont val="Segoe UI Symbol"/>
        <family val="2"/>
      </rPr>
      <t xml:space="preserve"> </t>
    </r>
    <r>
      <rPr>
        <sz val="10"/>
        <color rgb="FF000000"/>
        <rFont val="&quot;맑은 고딕&quot;"/>
        <family val="2"/>
        <charset val="129"/>
      </rPr>
      <t>위해</t>
    </r>
    <r>
      <rPr>
        <sz val="10"/>
        <color rgb="FF000000"/>
        <rFont val="Segoe UI Symbol"/>
        <family val="2"/>
      </rPr>
      <t xml:space="preserve"> </t>
    </r>
    <r>
      <rPr>
        <sz val="10"/>
        <color rgb="FF000000"/>
        <rFont val="&quot;맑은 고딕&quot;"/>
        <family val="2"/>
        <charset val="129"/>
      </rPr>
      <t>넣은</t>
    </r>
    <r>
      <rPr>
        <sz val="10"/>
        <color rgb="FF000000"/>
        <rFont val="Segoe UI Symbol"/>
        <family val="2"/>
      </rPr>
      <t xml:space="preserve"> </t>
    </r>
    <r>
      <rPr>
        <sz val="10"/>
        <color rgb="FF000000"/>
        <rFont val="&quot;맑은 고딕&quot;"/>
        <family val="2"/>
        <charset val="129"/>
      </rPr>
      <t>데이터이다</t>
    </r>
    <r>
      <rPr>
        <sz val="10"/>
        <color rgb="FF000000"/>
        <rFont val="Segoe UI Symbol"/>
        <family val="2"/>
      </rPr>
      <t xml:space="preserve">.
● </t>
    </r>
    <r>
      <rPr>
        <sz val="10"/>
        <color rgb="FF000000"/>
        <rFont val="&quot;맑은 고딕&quot;"/>
        <family val="2"/>
        <charset val="129"/>
      </rPr>
      <t>보정치의</t>
    </r>
    <r>
      <rPr>
        <sz val="10"/>
        <color rgb="FF000000"/>
        <rFont val="Segoe UI Symbol"/>
        <family val="2"/>
      </rPr>
      <t xml:space="preserve"> </t>
    </r>
    <r>
      <rPr>
        <sz val="10"/>
        <color rgb="FF000000"/>
        <rFont val="&quot;맑은 고딕&quot;"/>
        <family val="2"/>
        <charset val="129"/>
      </rPr>
      <t>수치를</t>
    </r>
    <r>
      <rPr>
        <sz val="10"/>
        <color rgb="FF000000"/>
        <rFont val="Segoe UI Symbol"/>
        <family val="2"/>
      </rPr>
      <t xml:space="preserve"> </t>
    </r>
    <r>
      <rPr>
        <sz val="10"/>
        <color rgb="FF000000"/>
        <rFont val="&quot;맑은 고딕&quot;"/>
        <family val="2"/>
        <charset val="129"/>
      </rPr>
      <t>조정해</t>
    </r>
    <r>
      <rPr>
        <sz val="10"/>
        <color rgb="FF000000"/>
        <rFont val="Segoe UI Symbol"/>
        <family val="2"/>
      </rPr>
      <t xml:space="preserve"> </t>
    </r>
    <r>
      <rPr>
        <sz val="10"/>
        <color rgb="FF000000"/>
        <rFont val="&quot;맑은 고딕&quot;"/>
        <family val="2"/>
        <charset val="129"/>
      </rPr>
      <t>각</t>
    </r>
    <r>
      <rPr>
        <sz val="10"/>
        <color rgb="FF000000"/>
        <rFont val="Segoe UI Symbol"/>
        <family val="2"/>
      </rPr>
      <t xml:space="preserve"> </t>
    </r>
    <r>
      <rPr>
        <sz val="10"/>
        <color rgb="FF000000"/>
        <rFont val="맑은 고딕"/>
        <family val="2"/>
        <charset val="129"/>
      </rPr>
      <t xml:space="preserve">몬스터 </t>
    </r>
    <r>
      <rPr>
        <sz val="10"/>
        <color rgb="FF000000"/>
        <rFont val="&quot;맑은 고딕&quot;"/>
        <family val="2"/>
        <charset val="129"/>
      </rPr>
      <t>별로</t>
    </r>
    <r>
      <rPr>
        <sz val="10"/>
        <color rgb="FF000000"/>
        <rFont val="Segoe UI Symbol"/>
        <family val="2"/>
      </rPr>
      <t xml:space="preserve"> </t>
    </r>
    <r>
      <rPr>
        <sz val="10"/>
        <color rgb="FF000000"/>
        <rFont val="&quot;맑은 고딕&quot;"/>
        <family val="2"/>
        <charset val="129"/>
      </rPr>
      <t>상세</t>
    </r>
    <r>
      <rPr>
        <sz val="10"/>
        <color rgb="FF000000"/>
        <rFont val="Segoe UI Symbol"/>
        <family val="2"/>
      </rPr>
      <t xml:space="preserve"> </t>
    </r>
    <r>
      <rPr>
        <sz val="10"/>
        <color rgb="FF000000"/>
        <rFont val="&quot;맑은 고딕&quot;"/>
        <family val="2"/>
        <charset val="129"/>
      </rPr>
      <t>능력치를</t>
    </r>
    <r>
      <rPr>
        <sz val="10"/>
        <color rgb="FF000000"/>
        <rFont val="Segoe UI Symbol"/>
        <family val="2"/>
      </rPr>
      <t xml:space="preserve"> </t>
    </r>
    <r>
      <rPr>
        <sz val="10"/>
        <color rgb="FF000000"/>
        <rFont val="&quot;맑은 고딕&quot;"/>
        <family val="2"/>
        <charset val="129"/>
      </rPr>
      <t>조정할</t>
    </r>
    <r>
      <rPr>
        <sz val="10"/>
        <color rgb="FF000000"/>
        <rFont val="Segoe UI Symbol"/>
        <family val="2"/>
      </rPr>
      <t xml:space="preserve"> </t>
    </r>
    <r>
      <rPr>
        <sz val="10"/>
        <color rgb="FF000000"/>
        <rFont val="&quot;맑은 고딕&quot;"/>
        <family val="2"/>
        <charset val="129"/>
      </rPr>
      <t>수</t>
    </r>
    <r>
      <rPr>
        <sz val="10"/>
        <color rgb="FF000000"/>
        <rFont val="Segoe UI Symbol"/>
        <family val="2"/>
      </rPr>
      <t xml:space="preserve"> </t>
    </r>
    <r>
      <rPr>
        <sz val="10"/>
        <color rgb="FF000000"/>
        <rFont val="&quot;맑은 고딕&quot;"/>
        <family val="2"/>
        <charset val="129"/>
      </rPr>
      <t>있다</t>
    </r>
    <r>
      <rPr>
        <sz val="10"/>
        <color rgb="FF000000"/>
        <rFont val="Segoe UI Symbol"/>
        <family val="2"/>
      </rPr>
      <t xml:space="preserve">.
● </t>
    </r>
    <r>
      <rPr>
        <sz val="10"/>
        <color rgb="FF000000"/>
        <rFont val="맑은 고딕"/>
        <family val="2"/>
        <charset val="129"/>
      </rPr>
      <t>보정값의 경우 수치 조정의도가 없는 경우 1을 유지한다.</t>
    </r>
    <r>
      <rPr>
        <sz val="10"/>
        <color rgb="FF000000"/>
        <rFont val="Segoe UI Symbol"/>
        <family val="2"/>
      </rPr>
      <t xml:space="preserve">
● </t>
    </r>
    <r>
      <rPr>
        <sz val="10"/>
        <color rgb="FF000000"/>
        <rFont val="맑은 고딕"/>
        <family val="2"/>
        <charset val="129"/>
      </rPr>
      <t xml:space="preserve">플레이어에게만 적대적일경우 </t>
    </r>
    <r>
      <rPr>
        <sz val="10"/>
        <color rgb="FF000000"/>
        <rFont val="Segoe UI Symbol"/>
        <family val="2"/>
      </rPr>
      <t>Enpc</t>
    </r>
    <r>
      <rPr>
        <sz val="10"/>
        <color rgb="FF000000"/>
        <rFont val="맑은 고딕"/>
        <family val="2"/>
        <charset val="129"/>
      </rPr>
      <t xml:space="preserve">로 표시하며 반대로 몬스터에게 적대적일경우 </t>
    </r>
    <r>
      <rPr>
        <sz val="10"/>
        <color rgb="FF000000"/>
        <rFont val="Segoe UI Symbol"/>
        <family val="2"/>
      </rPr>
      <t>Fnpc</t>
    </r>
    <r>
      <rPr>
        <sz val="10"/>
        <color rgb="FF000000"/>
        <rFont val="맑은 고딕"/>
        <family val="2"/>
        <charset val="129"/>
      </rPr>
      <t>로 설정한다.</t>
    </r>
    <r>
      <rPr>
        <sz val="10"/>
        <color rgb="FF000000"/>
        <rFont val="Segoe UI Symbol"/>
        <family val="2"/>
      </rPr>
      <t xml:space="preserve">
●</t>
    </r>
    <r>
      <rPr>
        <sz val="10"/>
        <color rgb="FF000000"/>
        <rFont val="맑은 고딕"/>
        <family val="2"/>
        <charset val="129"/>
      </rPr>
      <t xml:space="preserve"> 변이체 방어형식은 S, M, B가 있으며 각각 소형, 중형, 대형이다.</t>
    </r>
    <r>
      <rPr>
        <sz val="10"/>
        <color rgb="FF000000"/>
        <rFont val="Segoe UI Symbol"/>
        <family val="2"/>
      </rPr>
      <t xml:space="preserve">
● ID</t>
    </r>
    <r>
      <rPr>
        <sz val="10"/>
        <color rgb="FF000000"/>
        <rFont val="맑은 고딕"/>
        <family val="2"/>
        <charset val="129"/>
      </rPr>
      <t>는 변이체구분</t>
    </r>
    <r>
      <rPr>
        <sz val="10"/>
        <color rgb="FF000000"/>
        <rFont val="Segoe UI Symbol"/>
        <family val="2"/>
      </rPr>
      <t>_</t>
    </r>
    <r>
      <rPr>
        <sz val="10"/>
        <color rgb="FF000000"/>
        <rFont val="맑은 고딕"/>
        <family val="2"/>
        <charset val="129"/>
      </rPr>
      <t>등장지역</t>
    </r>
    <r>
      <rPr>
        <sz val="10"/>
        <color rgb="FF000000"/>
        <rFont val="Segoe UI Symbol"/>
        <family val="2"/>
      </rPr>
      <t>_</t>
    </r>
    <r>
      <rPr>
        <sz val="10"/>
        <color rgb="FF000000"/>
        <rFont val="맑은 고딕"/>
        <family val="2"/>
        <charset val="129"/>
      </rPr>
      <t>변이체등급</t>
    </r>
    <r>
      <rPr>
        <sz val="10"/>
        <color rgb="FF000000"/>
        <rFont val="Segoe UI Symbol"/>
        <family val="2"/>
      </rPr>
      <t>_</t>
    </r>
    <r>
      <rPr>
        <sz val="10"/>
        <color rgb="FF000000"/>
        <rFont val="맑은 고딕"/>
        <family val="2"/>
        <charset val="129"/>
      </rPr>
      <t>변이체영문명</t>
    </r>
    <r>
      <rPr>
        <sz val="10"/>
        <color rgb="FF000000"/>
        <rFont val="Segoe UI Symbol"/>
        <family val="2"/>
      </rPr>
      <t>_</t>
    </r>
    <r>
      <rPr>
        <sz val="10"/>
        <color rgb="FF000000"/>
        <rFont val="맑은 고딕"/>
        <family val="2"/>
        <charset val="129"/>
      </rPr>
      <t xml:space="preserve">숫자 형태로 구성된다.
</t>
    </r>
    <r>
      <rPr>
        <sz val="10"/>
        <color rgb="FF000000"/>
        <rFont val="Segoe UI Symbol"/>
        <family val="2"/>
      </rPr>
      <t>●</t>
    </r>
    <r>
      <rPr>
        <sz val="10"/>
        <color rgb="FF000000"/>
        <rFont val="맑은 고딕"/>
        <family val="2"/>
        <charset val="129"/>
      </rPr>
      <t>enpc는 적, einc는 부위가 존재하는 적 부위, ecre는 적이 생성하는 방해형 오브젝트를 뜻한다.</t>
    </r>
    <phoneticPr fontId="3" type="noConversion"/>
  </si>
  <si>
    <t>enpc_F01_B_Golem_001</t>
    <phoneticPr fontId="3" type="noConversion"/>
  </si>
  <si>
    <t>enpc_F01_B_Banshee_001</t>
    <phoneticPr fontId="3" type="noConversion"/>
  </si>
  <si>
    <t>코쿤</t>
  </si>
  <si>
    <r>
      <t xml:space="preserve">● </t>
    </r>
    <r>
      <rPr>
        <sz val="10"/>
        <color rgb="FF000000"/>
        <rFont val="맑은 고딕"/>
        <family val="2"/>
        <charset val="129"/>
      </rPr>
      <t>해당</t>
    </r>
    <r>
      <rPr>
        <sz val="10"/>
        <color rgb="FF000000"/>
        <rFont val="Segoe UI Symbol"/>
        <family val="2"/>
      </rPr>
      <t xml:space="preserve"> </t>
    </r>
    <r>
      <rPr>
        <sz val="10"/>
        <color rgb="FF000000"/>
        <rFont val="맑은 고딕"/>
        <family val="2"/>
        <charset val="129"/>
      </rPr>
      <t>페이지에서</t>
    </r>
    <r>
      <rPr>
        <sz val="10"/>
        <color rgb="FF000000"/>
        <rFont val="Segoe UI Symbol"/>
        <family val="2"/>
      </rPr>
      <t xml:space="preserve"> </t>
    </r>
    <r>
      <rPr>
        <sz val="10"/>
        <color rgb="FF000000"/>
        <rFont val="맑은 고딕"/>
        <family val="2"/>
        <charset val="129"/>
      </rPr>
      <t>모든</t>
    </r>
    <r>
      <rPr>
        <sz val="10"/>
        <color rgb="FF000000"/>
        <rFont val="Segoe UI Symbol"/>
        <family val="2"/>
      </rPr>
      <t xml:space="preserve"> </t>
    </r>
    <r>
      <rPr>
        <sz val="10"/>
        <color rgb="FF000000"/>
        <rFont val="맑은 고딕"/>
        <family val="2"/>
        <charset val="129"/>
      </rPr>
      <t>또는</t>
    </r>
    <r>
      <rPr>
        <sz val="10"/>
        <color rgb="FF000000"/>
        <rFont val="Segoe UI Symbol"/>
        <family val="2"/>
      </rPr>
      <t xml:space="preserve"> </t>
    </r>
    <r>
      <rPr>
        <sz val="10"/>
        <color rgb="FF000000"/>
        <rFont val="맑은 고딕"/>
        <family val="2"/>
        <charset val="129"/>
      </rPr>
      <t>특정</t>
    </r>
    <r>
      <rPr>
        <sz val="10"/>
        <color rgb="FF000000"/>
        <rFont val="Segoe UI Symbol"/>
        <family val="2"/>
      </rPr>
      <t xml:space="preserve"> </t>
    </r>
    <r>
      <rPr>
        <sz val="10"/>
        <color rgb="FF000000"/>
        <rFont val="맑은 고딕"/>
        <family val="2"/>
        <charset val="129"/>
      </rPr>
      <t>종류의</t>
    </r>
    <r>
      <rPr>
        <sz val="10"/>
        <color rgb="FF000000"/>
        <rFont val="Segoe UI Symbol"/>
        <family val="2"/>
      </rPr>
      <t xml:space="preserve"> </t>
    </r>
    <r>
      <rPr>
        <sz val="10"/>
        <color rgb="FF000000"/>
        <rFont val="맑은 고딕"/>
        <family val="2"/>
        <charset val="129"/>
      </rPr>
      <t>몬스터의</t>
    </r>
    <r>
      <rPr>
        <sz val="10"/>
        <color rgb="FF000000"/>
        <rFont val="Segoe UI Symbol"/>
        <family val="2"/>
      </rPr>
      <t xml:space="preserve"> </t>
    </r>
    <r>
      <rPr>
        <sz val="10"/>
        <color rgb="FF000000"/>
        <rFont val="맑은 고딕"/>
        <family val="2"/>
        <charset val="129"/>
      </rPr>
      <t>능력치를</t>
    </r>
    <r>
      <rPr>
        <sz val="10"/>
        <color rgb="FF000000"/>
        <rFont val="Segoe UI Symbol"/>
        <family val="2"/>
      </rPr>
      <t xml:space="preserve"> </t>
    </r>
    <r>
      <rPr>
        <sz val="10"/>
        <color rgb="FF000000"/>
        <rFont val="맑은 고딕"/>
        <family val="2"/>
        <charset val="129"/>
      </rPr>
      <t>조절할</t>
    </r>
    <r>
      <rPr>
        <sz val="10"/>
        <color rgb="FF000000"/>
        <rFont val="Segoe UI Symbol"/>
        <family val="2"/>
      </rPr>
      <t xml:space="preserve"> </t>
    </r>
    <r>
      <rPr>
        <sz val="10"/>
        <color rgb="FF000000"/>
        <rFont val="맑은 고딕"/>
        <family val="2"/>
        <charset val="129"/>
      </rPr>
      <t>수</t>
    </r>
    <r>
      <rPr>
        <sz val="10"/>
        <color rgb="FF000000"/>
        <rFont val="Segoe UI Symbol"/>
        <family val="2"/>
      </rPr>
      <t xml:space="preserve"> </t>
    </r>
    <r>
      <rPr>
        <sz val="10"/>
        <color rgb="FF000000"/>
        <rFont val="맑은 고딕"/>
        <family val="2"/>
        <charset val="129"/>
      </rPr>
      <t>있다</t>
    </r>
    <r>
      <rPr>
        <sz val="10"/>
        <color rgb="FF000000"/>
        <rFont val="Segoe UI Symbol"/>
        <family val="2"/>
      </rPr>
      <t xml:space="preserve">.
● </t>
    </r>
    <r>
      <rPr>
        <sz val="10"/>
        <color rgb="FF000000"/>
        <rFont val="맑은 고딕"/>
        <family val="2"/>
        <charset val="129"/>
      </rPr>
      <t>전투구역</t>
    </r>
    <r>
      <rPr>
        <sz val="10"/>
        <color rgb="FF000000"/>
        <rFont val="Segoe UI Symbol"/>
        <family val="2"/>
      </rPr>
      <t xml:space="preserve"> </t>
    </r>
    <r>
      <rPr>
        <sz val="10"/>
        <color rgb="FF000000"/>
        <rFont val="맑은 고딕"/>
        <family val="2"/>
        <charset val="129"/>
      </rPr>
      <t>클리어시</t>
    </r>
    <r>
      <rPr>
        <sz val="10"/>
        <color rgb="FF000000"/>
        <rFont val="Segoe UI Symbol"/>
        <family val="2"/>
      </rPr>
      <t xml:space="preserve"> </t>
    </r>
    <r>
      <rPr>
        <sz val="10"/>
        <color rgb="FF000000"/>
        <rFont val="맑은 고딕"/>
        <family val="2"/>
        <charset val="129"/>
      </rPr>
      <t>제공하는</t>
    </r>
    <r>
      <rPr>
        <sz val="10"/>
        <color rgb="FF000000"/>
        <rFont val="Segoe UI Symbol"/>
        <family val="2"/>
      </rPr>
      <t xml:space="preserve"> </t>
    </r>
    <r>
      <rPr>
        <sz val="10"/>
        <color rgb="FF000000"/>
        <rFont val="맑은 고딕"/>
        <family val="2"/>
        <charset val="129"/>
      </rPr>
      <t xml:space="preserve">보상의 배율도 조절할 수 있다.
</t>
    </r>
    <r>
      <rPr>
        <sz val="10"/>
        <color rgb="FF000000"/>
        <rFont val="Segoe UI Symbol"/>
        <family val="2"/>
      </rPr>
      <t>●</t>
    </r>
    <r>
      <rPr>
        <sz val="10"/>
        <color rgb="FF000000"/>
        <rFont val="맑은 고딕"/>
        <family val="2"/>
        <charset val="129"/>
      </rPr>
      <t xml:space="preserve"> 기본능력치가 몬스터 능력치의 기준이 되며 보정치는 특정 조건을 만족한 몬스터의 스탯을 배율로 증가시킨다.
</t>
    </r>
    <r>
      <rPr>
        <sz val="10"/>
        <color rgb="FF000000"/>
        <rFont val="Segoe UI Symbol"/>
        <family val="2"/>
      </rPr>
      <t>●</t>
    </r>
    <r>
      <rPr>
        <sz val="10"/>
        <color rgb="FF000000"/>
        <rFont val="맑은 고딕"/>
        <family val="2"/>
        <charset val="129"/>
      </rPr>
      <t xml:space="preserve"> 레벨 보정치는 표기된 레벨 이하일 때를 기준으로 1 레벨당 표시 값*레벨만큼 배율을 적용한다.
</t>
    </r>
    <r>
      <rPr>
        <sz val="10"/>
        <color rgb="FF000000"/>
        <rFont val="Segoe UI Symbol"/>
        <family val="2"/>
      </rPr>
      <t>●</t>
    </r>
    <r>
      <rPr>
        <sz val="10"/>
        <color rgb="FF000000"/>
        <rFont val="맑은 고딕"/>
        <family val="2"/>
        <charset val="129"/>
      </rPr>
      <t xml:space="preserve"> 공격주기 값이 짧을수록 빠르게 공격한다.
</t>
    </r>
    <phoneticPr fontId="3" type="noConversion"/>
  </si>
  <si>
    <t>enpc</t>
    <phoneticPr fontId="3" type="noConversion"/>
  </si>
  <si>
    <t>einc</t>
    <phoneticPr fontId="3" type="noConversion"/>
  </si>
  <si>
    <t>ecre</t>
    <phoneticPr fontId="3" type="noConversion"/>
  </si>
  <si>
    <t>enpc_F01_B_Golem_001</t>
  </si>
  <si>
    <t>enpc_F01_B_Banshee_001</t>
  </si>
  <si>
    <r>
      <t xml:space="preserve">ID </t>
    </r>
    <r>
      <rPr>
        <sz val="10"/>
        <color rgb="FF000000"/>
        <rFont val="맑은 고딕"/>
        <family val="3"/>
        <charset val="129"/>
      </rPr>
      <t>생성 팩터</t>
    </r>
    <phoneticPr fontId="3" type="noConversion"/>
  </si>
  <si>
    <t>변이체 구성요소 표준</t>
    <phoneticPr fontId="3" type="noConversion"/>
  </si>
  <si>
    <t>변이체 이름(구별용)</t>
    <phoneticPr fontId="3" type="noConversion"/>
  </si>
  <si>
    <t>변이체 이름(특수 명칭 추가용)</t>
    <phoneticPr fontId="3" type="noConversion"/>
  </si>
  <si>
    <t>변이체 이름(실제 사용)</t>
    <phoneticPr fontId="3" type="noConversion"/>
  </si>
  <si>
    <t>라바</t>
    <phoneticPr fontId="3" type="noConversion"/>
  </si>
  <si>
    <t>앤틸리온</t>
    <phoneticPr fontId="3" type="noConversion"/>
  </si>
  <si>
    <t>님프</t>
    <phoneticPr fontId="3" type="noConversion"/>
  </si>
  <si>
    <t>골렘</t>
    <phoneticPr fontId="3" type="noConversion"/>
  </si>
  <si>
    <t>밴시</t>
    <phoneticPr fontId="3" type="noConversion"/>
  </si>
  <si>
    <t>타이탄</t>
    <phoneticPr fontId="3" type="noConversion"/>
  </si>
  <si>
    <t>타이탄의 코어</t>
    <phoneticPr fontId="3" type="noConversion"/>
  </si>
  <si>
    <t>바위</t>
    <phoneticPr fontId="3" type="noConversion"/>
  </si>
  <si>
    <r>
      <t xml:space="preserve">ID </t>
    </r>
    <r>
      <rPr>
        <sz val="10"/>
        <color rgb="FF000000"/>
        <rFont val="맑은 고딕"/>
        <family val="2"/>
        <charset val="129"/>
      </rPr>
      <t>중간 명칭</t>
    </r>
    <phoneticPr fontId="3" type="noConversion"/>
  </si>
  <si>
    <r>
      <rPr>
        <sz val="10"/>
        <color rgb="FF000000"/>
        <rFont val="맑은 고딕"/>
        <family val="3"/>
        <charset val="129"/>
      </rPr>
      <t>변이체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맑은 고딕"/>
        <family val="2"/>
        <charset val="129"/>
      </rPr>
      <t>방어형식</t>
    </r>
    <phoneticPr fontId="3" type="noConversion"/>
  </si>
  <si>
    <t>색인용 표시(없으면 빈칸)</t>
    <phoneticPr fontId="3" type="noConversion"/>
  </si>
  <si>
    <t>_A_Lava_</t>
    <phoneticPr fontId="3" type="noConversion"/>
  </si>
  <si>
    <t>_A_Cocoon_</t>
  </si>
  <si>
    <t>_A_Antlion_</t>
  </si>
  <si>
    <t>_B_Golem_</t>
  </si>
  <si>
    <t>_B_Banshee_</t>
  </si>
  <si>
    <t>_C_Titan_</t>
  </si>
  <si>
    <t>_A_Nymphe_</t>
  </si>
  <si>
    <t>_C_Titancore_</t>
  </si>
  <si>
    <t>_A_Rock_</t>
  </si>
  <si>
    <t>변이체 AI</t>
    <phoneticPr fontId="3" type="noConversion"/>
  </si>
  <si>
    <t>변이체 사용 스킬</t>
    <phoneticPr fontId="3" type="noConversion"/>
  </si>
  <si>
    <t>"F01"</t>
    <phoneticPr fontId="3" type="noConversion"/>
  </si>
  <si>
    <r>
      <rPr>
        <sz val="11"/>
        <color rgb="FF000000"/>
        <rFont val="Arial"/>
        <family val="3"/>
        <charset val="129"/>
        <scheme val="minor"/>
      </rPr>
      <t>변이체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이름</t>
    </r>
    <phoneticPr fontId="3" type="noConversion"/>
  </si>
  <si>
    <r>
      <t>"</t>
    </r>
    <r>
      <rPr>
        <sz val="10"/>
        <color rgb="FF000000"/>
        <rFont val="Arial"/>
        <family val="2"/>
        <charset val="129"/>
        <scheme val="minor"/>
      </rPr>
      <t>라바</t>
    </r>
    <r>
      <rPr>
        <sz val="10"/>
        <color rgb="FF000000"/>
        <rFont val="Arial"/>
        <family val="2"/>
        <scheme val="minor"/>
      </rPr>
      <t>"</t>
    </r>
    <phoneticPr fontId="3" type="noConversion"/>
  </si>
  <si>
    <r>
      <rPr>
        <sz val="11"/>
        <color rgb="FF000000"/>
        <rFont val="Arial"/>
        <family val="3"/>
        <charset val="129"/>
        <scheme val="minor"/>
      </rPr>
      <t>변이체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등급</t>
    </r>
    <phoneticPr fontId="3" type="noConversion"/>
  </si>
  <si>
    <r>
      <rPr>
        <sz val="11"/>
        <color rgb="FF000000"/>
        <rFont val="Arial"/>
        <family val="3"/>
        <charset val="129"/>
        <scheme val="minor"/>
      </rPr>
      <t>변이체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팩션</t>
    </r>
    <phoneticPr fontId="3" type="noConversion"/>
  </si>
  <si>
    <r>
      <rPr>
        <sz val="10"/>
        <color theme="1"/>
        <rFont val="Arial"/>
        <family val="3"/>
        <charset val="129"/>
        <scheme val="minor"/>
      </rPr>
      <t>몬스터의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Arial"/>
        <family val="3"/>
        <charset val="129"/>
        <scheme val="minor"/>
      </rPr>
      <t>팩션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Arial"/>
        <family val="3"/>
        <charset val="129"/>
        <scheme val="minor"/>
      </rPr>
      <t>저장</t>
    </r>
    <r>
      <rPr>
        <sz val="10"/>
        <color theme="1"/>
        <rFont val="Arial"/>
        <family val="2"/>
        <scheme val="minor"/>
      </rPr>
      <t xml:space="preserve">  "Fnpc", "Enpc" 2</t>
    </r>
    <r>
      <rPr>
        <sz val="10"/>
        <color theme="1"/>
        <rFont val="Arial"/>
        <family val="3"/>
        <charset val="129"/>
        <scheme val="minor"/>
      </rPr>
      <t>가지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Arial"/>
        <family val="3"/>
        <charset val="129"/>
        <scheme val="minor"/>
      </rPr>
      <t>값중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Arial"/>
        <family val="3"/>
        <charset val="129"/>
        <scheme val="minor"/>
      </rPr>
      <t>하나가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Arial"/>
        <family val="3"/>
        <charset val="129"/>
        <scheme val="minor"/>
      </rPr>
      <t>들어갈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Arial"/>
        <family val="3"/>
        <charset val="129"/>
        <scheme val="minor"/>
      </rPr>
      <t>수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Arial"/>
        <family val="3"/>
        <charset val="129"/>
        <scheme val="minor"/>
      </rPr>
      <t>있다</t>
    </r>
    <r>
      <rPr>
        <sz val="10"/>
        <color theme="1"/>
        <rFont val="Arial"/>
        <family val="2"/>
        <scheme val="minor"/>
      </rPr>
      <t>.</t>
    </r>
    <phoneticPr fontId="3" type="noConversion"/>
  </si>
  <si>
    <r>
      <rPr>
        <sz val="11"/>
        <color rgb="FF000000"/>
        <rFont val="Arial"/>
        <family val="3"/>
        <charset val="129"/>
        <scheme val="minor"/>
      </rPr>
      <t>위력</t>
    </r>
  </si>
  <si>
    <r>
      <rPr>
        <sz val="11"/>
        <color rgb="FF000000"/>
        <rFont val="Arial"/>
        <family val="3"/>
        <charset val="129"/>
        <scheme val="minor"/>
      </rPr>
      <t>체력</t>
    </r>
  </si>
  <si>
    <r>
      <rPr>
        <sz val="11"/>
        <color rgb="FF000000"/>
        <rFont val="Arial"/>
        <family val="3"/>
        <charset val="129"/>
        <scheme val="minor"/>
      </rPr>
      <t>방어력</t>
    </r>
  </si>
  <si>
    <r>
      <rPr>
        <sz val="11"/>
        <color rgb="FF000000"/>
        <rFont val="Arial"/>
        <family val="3"/>
        <charset val="129"/>
        <scheme val="minor"/>
      </rPr>
      <t>공격주기</t>
    </r>
  </si>
  <si>
    <r>
      <rPr>
        <sz val="11"/>
        <color rgb="FF000000"/>
        <rFont val="Arial"/>
        <family val="3"/>
        <charset val="129"/>
        <scheme val="minor"/>
      </rPr>
      <t>공격사거리</t>
    </r>
  </si>
  <si>
    <r>
      <rPr>
        <sz val="11"/>
        <color rgb="FF000000"/>
        <rFont val="Arial"/>
        <family val="3"/>
        <charset val="129"/>
        <scheme val="minor"/>
      </rPr>
      <t>이동속도</t>
    </r>
  </si>
  <si>
    <r>
      <rPr>
        <sz val="11"/>
        <color rgb="FF000000"/>
        <rFont val="Arial"/>
        <family val="3"/>
        <charset val="129"/>
        <scheme val="minor"/>
      </rPr>
      <t>사거리속성</t>
    </r>
  </si>
  <si>
    <r>
      <rPr>
        <sz val="11"/>
        <color rgb="FF000000"/>
        <rFont val="Arial"/>
        <family val="3"/>
        <charset val="129"/>
        <scheme val="minor"/>
      </rPr>
      <t>지형속성</t>
    </r>
  </si>
  <si>
    <r>
      <rPr>
        <sz val="10"/>
        <color theme="1"/>
        <rFont val="Arial"/>
        <family val="3"/>
        <charset val="129"/>
        <scheme val="minor"/>
      </rPr>
      <t>몬스터의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Arial"/>
        <family val="3"/>
        <charset val="129"/>
        <scheme val="minor"/>
      </rPr>
      <t>지형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Arial"/>
        <family val="3"/>
        <charset val="129"/>
        <scheme val="minor"/>
      </rPr>
      <t>속성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Arial"/>
        <family val="3"/>
        <charset val="129"/>
        <scheme val="minor"/>
      </rPr>
      <t>저장</t>
    </r>
    <r>
      <rPr>
        <sz val="10"/>
        <color theme="1"/>
        <rFont val="Arial"/>
        <family val="2"/>
        <scheme val="minor"/>
      </rPr>
      <t xml:space="preserve"> "L", "F" 2</t>
    </r>
    <r>
      <rPr>
        <sz val="10"/>
        <color theme="1"/>
        <rFont val="Arial"/>
        <family val="3"/>
        <charset val="129"/>
        <scheme val="minor"/>
      </rPr>
      <t>가지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Arial"/>
        <family val="3"/>
        <charset val="129"/>
        <scheme val="minor"/>
      </rPr>
      <t>값중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Arial"/>
        <family val="3"/>
        <charset val="129"/>
        <scheme val="minor"/>
      </rPr>
      <t>하나가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Arial"/>
        <family val="3"/>
        <charset val="129"/>
        <scheme val="minor"/>
      </rPr>
      <t>들어갈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Arial"/>
        <family val="3"/>
        <charset val="129"/>
        <scheme val="minor"/>
      </rPr>
      <t>수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Arial"/>
        <family val="3"/>
        <charset val="129"/>
        <scheme val="minor"/>
      </rPr>
      <t>있다</t>
    </r>
    <r>
      <rPr>
        <sz val="10"/>
        <color theme="1"/>
        <rFont val="Arial"/>
        <family val="2"/>
        <scheme val="minor"/>
      </rPr>
      <t>.</t>
    </r>
    <phoneticPr fontId="3" type="noConversion"/>
  </si>
  <si>
    <r>
      <rPr>
        <sz val="11"/>
        <color rgb="FF000000"/>
        <rFont val="Arial"/>
        <family val="3"/>
        <charset val="129"/>
        <scheme val="minor"/>
      </rPr>
      <t>방어속성</t>
    </r>
  </si>
  <si>
    <r>
      <rPr>
        <sz val="10"/>
        <color theme="1"/>
        <rFont val="Arial"/>
        <family val="3"/>
        <charset val="129"/>
        <scheme val="minor"/>
      </rPr>
      <t>몬스터의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Arial"/>
        <family val="3"/>
        <charset val="129"/>
        <scheme val="minor"/>
      </rPr>
      <t>방어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Arial"/>
        <family val="3"/>
        <charset val="129"/>
        <scheme val="minor"/>
      </rPr>
      <t>속성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Arial"/>
        <family val="3"/>
        <charset val="129"/>
        <scheme val="minor"/>
      </rPr>
      <t>저장</t>
    </r>
    <r>
      <rPr>
        <sz val="10"/>
        <color theme="1"/>
        <rFont val="Arial"/>
        <family val="2"/>
        <scheme val="minor"/>
      </rPr>
      <t>, "S", "M", "B" 3</t>
    </r>
    <r>
      <rPr>
        <sz val="10"/>
        <color theme="1"/>
        <rFont val="Arial"/>
        <family val="3"/>
        <charset val="129"/>
        <scheme val="minor"/>
      </rPr>
      <t>가지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Arial"/>
        <family val="3"/>
        <charset val="129"/>
        <scheme val="minor"/>
      </rPr>
      <t>값중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Arial"/>
        <family val="3"/>
        <charset val="129"/>
        <scheme val="minor"/>
      </rPr>
      <t>하나가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Arial"/>
        <family val="3"/>
        <charset val="129"/>
        <scheme val="minor"/>
      </rPr>
      <t>들어갈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Arial"/>
        <family val="3"/>
        <charset val="129"/>
        <scheme val="minor"/>
      </rPr>
      <t>수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Arial"/>
        <family val="3"/>
        <charset val="129"/>
        <scheme val="minor"/>
      </rPr>
      <t>있다</t>
    </r>
    <r>
      <rPr>
        <sz val="10"/>
        <color theme="1"/>
        <rFont val="Arial"/>
        <family val="2"/>
        <scheme val="minor"/>
      </rPr>
      <t>.</t>
    </r>
    <phoneticPr fontId="3" type="noConversion"/>
  </si>
  <si>
    <r>
      <rPr>
        <sz val="11"/>
        <color rgb="FF000000"/>
        <rFont val="Arial"/>
        <family val="3"/>
        <charset val="129"/>
        <scheme val="minor"/>
      </rPr>
      <t>히트박스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크기</t>
    </r>
  </si>
  <si>
    <r>
      <rPr>
        <sz val="11"/>
        <color rgb="FF000000"/>
        <rFont val="Arial"/>
        <family val="3"/>
        <charset val="129"/>
        <scheme val="minor"/>
      </rPr>
      <t>모델링</t>
    </r>
    <r>
      <rPr>
        <sz val="11"/>
        <color rgb="FF000000"/>
        <rFont val="Arial"/>
        <family val="2"/>
        <scheme val="minor"/>
      </rPr>
      <t xml:space="preserve"> ID</t>
    </r>
  </si>
  <si>
    <r>
      <rPr>
        <sz val="11"/>
        <color rgb="FF000000"/>
        <rFont val="Arial"/>
        <family val="3"/>
        <charset val="129"/>
        <scheme val="minor"/>
      </rPr>
      <t>변이체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등장지역</t>
    </r>
    <phoneticPr fontId="3" type="noConversion"/>
  </si>
  <si>
    <r>
      <rPr>
        <sz val="10"/>
        <color theme="1"/>
        <rFont val="Arial"/>
        <family val="2"/>
        <charset val="129"/>
        <scheme val="minor"/>
      </rPr>
      <t>몬스터가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Arial"/>
        <family val="2"/>
        <charset val="129"/>
        <scheme val="minor"/>
      </rPr>
      <t>나오는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Arial"/>
        <family val="2"/>
        <charset val="129"/>
        <scheme val="minor"/>
      </rPr>
      <t>지역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Arial"/>
        <family val="2"/>
        <charset val="129"/>
        <scheme val="minor"/>
      </rPr>
      <t>코드값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Arial"/>
        <family val="2"/>
        <charset val="129"/>
        <scheme val="minor"/>
      </rPr>
      <t>저장</t>
    </r>
    <phoneticPr fontId="3" type="noConversion"/>
  </si>
  <si>
    <r>
      <rPr>
        <sz val="11"/>
        <color rgb="FF000000"/>
        <rFont val="Arial"/>
        <family val="3"/>
        <charset val="129"/>
        <scheme val="minor"/>
      </rPr>
      <t>변이체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레벨</t>
    </r>
    <phoneticPr fontId="3" type="noConversion"/>
  </si>
  <si>
    <r>
      <rPr>
        <sz val="10"/>
        <color theme="1"/>
        <rFont val="Arial"/>
        <family val="3"/>
        <charset val="129"/>
        <scheme val="minor"/>
      </rPr>
      <t>몬스터의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Arial"/>
        <family val="3"/>
        <charset val="129"/>
        <scheme val="minor"/>
      </rPr>
      <t>레벨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Arial"/>
        <family val="3"/>
        <charset val="129"/>
        <scheme val="minor"/>
      </rPr>
      <t>값을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Arial"/>
        <family val="3"/>
        <charset val="129"/>
        <scheme val="minor"/>
      </rPr>
      <t>저장</t>
    </r>
    <phoneticPr fontId="3" type="noConversion"/>
  </si>
  <si>
    <r>
      <rPr>
        <sz val="10"/>
        <color theme="1"/>
        <rFont val="Arial"/>
        <family val="3"/>
        <charset val="129"/>
        <scheme val="minor"/>
      </rPr>
      <t>원거리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Arial"/>
        <family val="3"/>
        <charset val="129"/>
        <scheme val="minor"/>
      </rPr>
      <t>몬스터일경우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Arial"/>
        <family val="3"/>
        <charset val="129"/>
        <scheme val="minor"/>
      </rPr>
      <t>발사하는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Arial"/>
        <family val="3"/>
        <charset val="129"/>
        <scheme val="minor"/>
      </rPr>
      <t>발사체의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Arial"/>
        <family val="3"/>
        <charset val="129"/>
        <scheme val="minor"/>
      </rPr>
      <t>속도값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Arial"/>
        <family val="3"/>
        <charset val="129"/>
        <scheme val="minor"/>
      </rPr>
      <t>저장</t>
    </r>
    <phoneticPr fontId="3" type="noConversion"/>
  </si>
  <si>
    <r>
      <rPr>
        <sz val="10"/>
        <color theme="1"/>
        <rFont val="Arial"/>
        <family val="3"/>
        <charset val="129"/>
        <scheme val="minor"/>
      </rPr>
      <t>몬스터가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Arial"/>
        <family val="3"/>
        <charset val="129"/>
        <scheme val="minor"/>
      </rPr>
      <t>사용하는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Arial"/>
        <family val="3"/>
        <charset val="129"/>
        <scheme val="minor"/>
      </rPr>
      <t>스킬의</t>
    </r>
    <r>
      <rPr>
        <sz val="10"/>
        <color theme="1"/>
        <rFont val="Arial"/>
        <family val="2"/>
        <scheme val="minor"/>
      </rPr>
      <t xml:space="preserve"> ID</t>
    </r>
    <r>
      <rPr>
        <sz val="10"/>
        <color theme="1"/>
        <rFont val="Arial"/>
        <family val="3"/>
        <charset val="129"/>
        <scheme val="minor"/>
      </rPr>
      <t>값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Arial"/>
        <family val="3"/>
        <charset val="129"/>
        <scheme val="minor"/>
      </rPr>
      <t>저장</t>
    </r>
    <phoneticPr fontId="3" type="noConversion"/>
  </si>
  <si>
    <r>
      <rPr>
        <sz val="11"/>
        <color rgb="FF000000"/>
        <rFont val="Arial"/>
        <family val="2"/>
        <charset val="129"/>
        <scheme val="minor"/>
      </rPr>
      <t>변이체</t>
    </r>
    <r>
      <rPr>
        <sz val="11"/>
        <color rgb="FF000000"/>
        <rFont val="Arial"/>
        <family val="2"/>
        <scheme val="minor"/>
      </rPr>
      <t xml:space="preserve"> AI</t>
    </r>
    <phoneticPr fontId="3" type="noConversion"/>
  </si>
  <si>
    <r>
      <rPr>
        <sz val="10"/>
        <color theme="1"/>
        <rFont val="Arial"/>
        <family val="3"/>
        <charset val="129"/>
        <scheme val="minor"/>
      </rPr>
      <t>몬스터의</t>
    </r>
    <r>
      <rPr>
        <sz val="10"/>
        <color theme="1"/>
        <rFont val="Arial"/>
        <family val="2"/>
        <scheme val="minor"/>
      </rPr>
      <t xml:space="preserve"> AI ID</t>
    </r>
    <r>
      <rPr>
        <sz val="10"/>
        <color theme="1"/>
        <rFont val="Arial"/>
        <family val="3"/>
        <charset val="129"/>
        <scheme val="minor"/>
      </rPr>
      <t>값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Arial"/>
        <family val="3"/>
        <charset val="129"/>
        <scheme val="minor"/>
      </rPr>
      <t>저장</t>
    </r>
    <phoneticPr fontId="3" type="noConversion"/>
  </si>
  <si>
    <r>
      <t>type</t>
    </r>
    <r>
      <rPr>
        <sz val="10"/>
        <color theme="1"/>
        <rFont val="Arial"/>
        <family val="3"/>
        <charset val="129"/>
        <scheme val="minor"/>
      </rPr>
      <t>에는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Arial"/>
        <family val="3"/>
        <charset val="129"/>
        <scheme val="minor"/>
      </rPr>
      <t>다음</t>
    </r>
    <r>
      <rPr>
        <sz val="10"/>
        <color theme="1"/>
        <rFont val="Arial"/>
        <family val="2"/>
        <scheme val="minor"/>
      </rPr>
      <t xml:space="preserve"> 3</t>
    </r>
    <r>
      <rPr>
        <sz val="10"/>
        <color theme="1"/>
        <rFont val="Arial"/>
        <family val="3"/>
        <charset val="129"/>
        <scheme val="minor"/>
      </rPr>
      <t>가지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Arial"/>
        <family val="3"/>
        <charset val="129"/>
        <scheme val="minor"/>
      </rPr>
      <t>값중</t>
    </r>
    <r>
      <rPr>
        <sz val="10"/>
        <color theme="1"/>
        <rFont val="Arial"/>
        <family val="2"/>
        <scheme val="minor"/>
      </rPr>
      <t xml:space="preserve"> 1</t>
    </r>
    <r>
      <rPr>
        <sz val="10"/>
        <color theme="1"/>
        <rFont val="Arial"/>
        <family val="3"/>
        <charset val="129"/>
        <scheme val="minor"/>
      </rPr>
      <t>개가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Arial"/>
        <family val="3"/>
        <charset val="129"/>
        <scheme val="minor"/>
      </rPr>
      <t>들어간다</t>
    </r>
    <r>
      <rPr>
        <sz val="10"/>
        <color theme="1"/>
        <rFont val="Arial"/>
        <family val="2"/>
        <scheme val="minor"/>
      </rPr>
      <t>.
- "always"</t>
    </r>
    <r>
      <rPr>
        <sz val="10"/>
        <color theme="1"/>
        <rFont val="Arial"/>
        <family val="3"/>
        <charset val="129"/>
        <scheme val="minor"/>
      </rPr>
      <t>는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Arial"/>
        <family val="3"/>
        <charset val="129"/>
        <scheme val="minor"/>
      </rPr>
      <t>이전에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Arial"/>
        <family val="3"/>
        <charset val="129"/>
        <scheme val="minor"/>
      </rPr>
      <t>클리어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Arial"/>
        <family val="3"/>
        <charset val="129"/>
        <scheme val="minor"/>
      </rPr>
      <t>했더라도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Arial"/>
        <family val="3"/>
        <charset val="129"/>
        <scheme val="minor"/>
      </rPr>
      <t>인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Arial"/>
        <family val="3"/>
        <charset val="129"/>
        <scheme val="minor"/>
      </rPr>
      <t>게임에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Arial"/>
        <family val="3"/>
        <charset val="129"/>
        <scheme val="minor"/>
      </rPr>
      <t>진입시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Arial"/>
        <family val="3"/>
        <charset val="129"/>
        <scheme val="minor"/>
      </rPr>
      <t>활성화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Arial"/>
        <family val="3"/>
        <charset val="129"/>
        <scheme val="minor"/>
      </rPr>
      <t>되는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Arial"/>
        <family val="3"/>
        <charset val="129"/>
        <scheme val="minor"/>
      </rPr>
      <t>전투구역이다</t>
    </r>
    <r>
      <rPr>
        <sz val="10"/>
        <color theme="1"/>
        <rFont val="Arial"/>
        <family val="2"/>
        <scheme val="minor"/>
      </rPr>
      <t>.
- "playing"</t>
    </r>
    <r>
      <rPr>
        <sz val="10"/>
        <color theme="1"/>
        <rFont val="Arial"/>
        <family val="3"/>
        <charset val="129"/>
        <scheme val="minor"/>
      </rPr>
      <t>은</t>
    </r>
    <r>
      <rPr>
        <sz val="10"/>
        <color theme="1"/>
        <rFont val="Arial"/>
        <family val="2"/>
        <scheme val="minor"/>
      </rPr>
      <t xml:space="preserve"> ID</t>
    </r>
    <r>
      <rPr>
        <sz val="10"/>
        <color theme="1"/>
        <rFont val="Arial"/>
        <family val="3"/>
        <charset val="129"/>
        <scheme val="minor"/>
      </rPr>
      <t>에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Arial"/>
        <family val="3"/>
        <charset val="129"/>
        <scheme val="minor"/>
      </rPr>
      <t>해당하는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Arial"/>
        <family val="3"/>
        <charset val="129"/>
        <scheme val="minor"/>
      </rPr>
      <t>퀘스트가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Arial"/>
        <family val="3"/>
        <charset val="129"/>
        <scheme val="minor"/>
      </rPr>
      <t>진행중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Arial"/>
        <family val="3"/>
        <charset val="129"/>
        <scheme val="minor"/>
      </rPr>
      <t>상태면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Arial"/>
        <family val="3"/>
        <charset val="129"/>
        <scheme val="minor"/>
      </rPr>
      <t>활성화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Arial"/>
        <family val="3"/>
        <charset val="129"/>
        <scheme val="minor"/>
      </rPr>
      <t>되는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Arial"/>
        <family val="3"/>
        <charset val="129"/>
        <scheme val="minor"/>
      </rPr>
      <t>전투구역이다</t>
    </r>
    <r>
      <rPr>
        <sz val="10"/>
        <color theme="1"/>
        <rFont val="Arial"/>
        <family val="2"/>
        <scheme val="minor"/>
      </rPr>
      <t>.
- "after"</t>
    </r>
    <r>
      <rPr>
        <sz val="10"/>
        <color theme="1"/>
        <rFont val="Arial"/>
        <family val="3"/>
        <charset val="129"/>
        <scheme val="minor"/>
      </rPr>
      <t>는</t>
    </r>
    <r>
      <rPr>
        <sz val="10"/>
        <color theme="1"/>
        <rFont val="Arial"/>
        <family val="2"/>
        <scheme val="minor"/>
      </rPr>
      <t xml:space="preserve"> ID</t>
    </r>
    <r>
      <rPr>
        <sz val="10"/>
        <color theme="1"/>
        <rFont val="Arial"/>
        <family val="3"/>
        <charset val="129"/>
        <scheme val="minor"/>
      </rPr>
      <t>에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Arial"/>
        <family val="3"/>
        <charset val="129"/>
        <scheme val="minor"/>
      </rPr>
      <t>해당하는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Arial"/>
        <family val="3"/>
        <charset val="129"/>
        <scheme val="minor"/>
      </rPr>
      <t>퀘스트가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Arial"/>
        <family val="3"/>
        <charset val="129"/>
        <scheme val="minor"/>
      </rPr>
      <t>완료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Arial"/>
        <family val="3"/>
        <charset val="129"/>
        <scheme val="minor"/>
      </rPr>
      <t>상태면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Arial"/>
        <family val="3"/>
        <charset val="129"/>
        <scheme val="minor"/>
      </rPr>
      <t>활성화되는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Arial"/>
        <family val="3"/>
        <charset val="129"/>
        <scheme val="minor"/>
      </rPr>
      <t>전투구역이다</t>
    </r>
    <r>
      <rPr>
        <sz val="10"/>
        <color theme="1"/>
        <rFont val="Arial"/>
        <family val="2"/>
        <scheme val="minor"/>
      </rPr>
      <t>.
ID</t>
    </r>
    <r>
      <rPr>
        <sz val="10"/>
        <color theme="1"/>
        <rFont val="Arial"/>
        <family val="3"/>
        <charset val="129"/>
        <scheme val="minor"/>
      </rPr>
      <t>에는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Arial"/>
        <family val="3"/>
        <charset val="129"/>
        <scheme val="minor"/>
      </rPr>
      <t>원하는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Arial"/>
        <family val="3"/>
        <charset val="129"/>
        <scheme val="minor"/>
      </rPr>
      <t>퀘스트의</t>
    </r>
    <r>
      <rPr>
        <sz val="10"/>
        <color theme="1"/>
        <rFont val="Arial"/>
        <family val="2"/>
        <scheme val="minor"/>
      </rPr>
      <t xml:space="preserve"> ID</t>
    </r>
    <r>
      <rPr>
        <sz val="10"/>
        <color theme="1"/>
        <rFont val="Arial"/>
        <family val="3"/>
        <charset val="129"/>
        <scheme val="minor"/>
      </rPr>
      <t>를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Arial"/>
        <family val="3"/>
        <charset val="129"/>
        <scheme val="minor"/>
      </rPr>
      <t>입력한다</t>
    </r>
    <r>
      <rPr>
        <sz val="10"/>
        <color theme="1"/>
        <rFont val="Arial"/>
        <family val="2"/>
        <scheme val="minor"/>
      </rPr>
      <t>.
type</t>
    </r>
    <r>
      <rPr>
        <sz val="10"/>
        <color theme="1"/>
        <rFont val="Arial"/>
        <family val="3"/>
        <charset val="129"/>
        <scheme val="minor"/>
      </rPr>
      <t>이</t>
    </r>
    <r>
      <rPr>
        <sz val="10"/>
        <color theme="1"/>
        <rFont val="Arial"/>
        <family val="2"/>
        <scheme val="minor"/>
      </rPr>
      <t xml:space="preserve"> always</t>
    </r>
    <r>
      <rPr>
        <sz val="10"/>
        <color theme="1"/>
        <rFont val="Arial"/>
        <family val="3"/>
        <charset val="129"/>
        <scheme val="minor"/>
      </rPr>
      <t>일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Arial"/>
        <family val="3"/>
        <charset val="129"/>
        <scheme val="minor"/>
      </rPr>
      <t>경우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Arial"/>
        <family val="3"/>
        <charset val="129"/>
        <scheme val="minor"/>
      </rPr>
      <t>값을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Arial"/>
        <family val="3"/>
        <charset val="129"/>
        <scheme val="minor"/>
      </rPr>
      <t>가지지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Arial"/>
        <family val="3"/>
        <charset val="129"/>
        <scheme val="minor"/>
      </rPr>
      <t>않는다</t>
    </r>
    <r>
      <rPr>
        <sz val="10"/>
        <color theme="1"/>
        <rFont val="Arial"/>
        <family val="2"/>
        <scheme val="minor"/>
      </rPr>
      <t>.</t>
    </r>
    <phoneticPr fontId="3" type="noConversion"/>
  </si>
  <si>
    <r>
      <rPr>
        <sz val="11"/>
        <color rgb="FF000000"/>
        <rFont val="Arial"/>
        <family val="3"/>
        <charset val="129"/>
        <scheme val="minor"/>
      </rPr>
      <t>레벨디자인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데이터</t>
    </r>
    <r>
      <rPr>
        <sz val="11"/>
        <color rgb="FF000000"/>
        <rFont val="Arial"/>
        <family val="2"/>
        <scheme val="minor"/>
      </rPr>
      <t xml:space="preserve"> ID</t>
    </r>
  </si>
  <si>
    <r>
      <rPr>
        <sz val="11"/>
        <color rgb="FF000000"/>
        <rFont val="Arial"/>
        <family val="3"/>
        <charset val="129"/>
        <scheme val="minor"/>
      </rPr>
      <t>내부</t>
    </r>
    <r>
      <rPr>
        <sz val="11"/>
        <color rgb="FF000000"/>
        <rFont val="Arial"/>
        <family val="2"/>
        <scheme val="minor"/>
      </rPr>
      <t xml:space="preserve"> ID(</t>
    </r>
    <r>
      <rPr>
        <sz val="11"/>
        <color rgb="FF000000"/>
        <rFont val="Arial"/>
        <family val="3"/>
        <charset val="129"/>
        <scheme val="minor"/>
      </rPr>
      <t>번호</t>
    </r>
    <r>
      <rPr>
        <sz val="11"/>
        <color rgb="FF000000"/>
        <rFont val="Arial"/>
        <family val="2"/>
        <scheme val="minor"/>
      </rPr>
      <t>)</t>
    </r>
  </si>
  <si>
    <r>
      <rPr>
        <sz val="11"/>
        <color rgb="FF000000"/>
        <rFont val="Arial"/>
        <family val="3"/>
        <charset val="129"/>
        <scheme val="minor"/>
      </rPr>
      <t>생성위치</t>
    </r>
  </si>
  <si>
    <r>
      <rPr>
        <sz val="11"/>
        <color rgb="FF000000"/>
        <rFont val="Arial"/>
        <family val="3"/>
        <charset val="129"/>
        <scheme val="minor"/>
      </rPr>
      <t>생성좌표</t>
    </r>
  </si>
  <si>
    <r>
      <rPr>
        <sz val="11"/>
        <color rgb="FF000000"/>
        <rFont val="Arial"/>
        <family val="3"/>
        <charset val="129"/>
        <scheme val="minor"/>
      </rPr>
      <t>스폰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대기시간</t>
    </r>
  </si>
  <si>
    <r>
      <t xml:space="preserve">● </t>
    </r>
    <r>
      <rPr>
        <sz val="10"/>
        <color rgb="FF000000"/>
        <rFont val="Arial"/>
        <family val="3"/>
        <charset val="129"/>
        <scheme val="minor"/>
      </rPr>
      <t>전투구역에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대한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데이터를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담는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테이블이다</t>
    </r>
    <r>
      <rPr>
        <sz val="10"/>
        <color rgb="FF000000"/>
        <rFont val="Arial"/>
        <family val="2"/>
        <scheme val="minor"/>
      </rPr>
      <t xml:space="preserve">.
● </t>
    </r>
    <r>
      <rPr>
        <sz val="10"/>
        <color rgb="FF000000"/>
        <rFont val="Arial"/>
        <family val="3"/>
        <charset val="129"/>
        <scheme val="minor"/>
      </rPr>
      <t>전투구역</t>
    </r>
    <r>
      <rPr>
        <sz val="10"/>
        <color rgb="FF000000"/>
        <rFont val="Arial"/>
        <family val="2"/>
        <scheme val="minor"/>
      </rPr>
      <t xml:space="preserve"> ID</t>
    </r>
    <r>
      <rPr>
        <sz val="10"/>
        <color rgb="FF000000"/>
        <rFont val="Arial"/>
        <family val="3"/>
        <charset val="129"/>
        <scheme val="minor"/>
      </rPr>
      <t>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스폰할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레벨디자인</t>
    </r>
    <r>
      <rPr>
        <sz val="10"/>
        <color rgb="FF000000"/>
        <rFont val="Arial"/>
        <family val="2"/>
        <scheme val="minor"/>
      </rPr>
      <t xml:space="preserve"> ID</t>
    </r>
    <r>
      <rPr>
        <sz val="10"/>
        <color rgb="FF000000"/>
        <rFont val="Arial"/>
        <family val="3"/>
        <charset val="129"/>
        <scheme val="minor"/>
      </rPr>
      <t>를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저장하고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맵에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계속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존재할지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특정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퀘스트가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있을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때만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존재할지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여부를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저장한다</t>
    </r>
    <r>
      <rPr>
        <sz val="10"/>
        <color rgb="FF000000"/>
        <rFont val="Arial"/>
        <family val="2"/>
        <scheme val="minor"/>
      </rPr>
      <t xml:space="preserve">.
</t>
    </r>
    <r>
      <rPr>
        <sz val="10"/>
        <color rgb="FF000000"/>
        <rFont val="Arial"/>
        <family val="3"/>
        <scheme val="minor"/>
      </rPr>
      <t>●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클리어시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제공할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보상에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대한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데이터를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저장합니다</t>
    </r>
    <r>
      <rPr>
        <sz val="10"/>
        <color rgb="FF000000"/>
        <rFont val="Arial"/>
        <family val="2"/>
        <scheme val="minor"/>
      </rPr>
      <t xml:space="preserve">. </t>
    </r>
    <r>
      <rPr>
        <sz val="10"/>
        <color rgb="FF000000"/>
        <rFont val="Arial"/>
        <family val="3"/>
        <charset val="129"/>
        <scheme val="minor"/>
      </rPr>
      <t>데이터에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오류가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있다면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데이터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없음으로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표시된다</t>
    </r>
    <r>
      <rPr>
        <sz val="10"/>
        <color rgb="FF000000"/>
        <rFont val="Arial"/>
        <family val="2"/>
        <scheme val="minor"/>
      </rPr>
      <t>.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</si>
  <si>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전투구역</t>
    </r>
    <r>
      <rPr>
        <sz val="10"/>
        <color rgb="FF000000"/>
        <rFont val="Arial"/>
        <family val="2"/>
        <scheme val="minor"/>
      </rPr>
      <t xml:space="preserve"> ID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</si>
  <si>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전투구역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레벨디자인</t>
    </r>
    <r>
      <rPr>
        <sz val="10"/>
        <color rgb="FF000000"/>
        <rFont val="Arial"/>
        <family val="2"/>
        <scheme val="minor"/>
      </rPr>
      <t xml:space="preserve"> ID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</si>
  <si>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전투구역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속성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</si>
  <si>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전투구역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골드보상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</si>
  <si>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전투구역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경험치보상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</si>
  <si>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전투구역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평균레벨</t>
    </r>
    <phoneticPr fontId="3" type="noConversion"/>
  </si>
  <si>
    <r>
      <t xml:space="preserve">● </t>
    </r>
    <r>
      <rPr>
        <sz val="10"/>
        <color rgb="FF000000"/>
        <rFont val="Arial"/>
        <family val="2"/>
        <charset val="129"/>
        <scheme val="minor"/>
      </rPr>
      <t>전투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구역에서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스폰할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몬스터들의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데이터를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저장하는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테이블이다</t>
    </r>
    <r>
      <rPr>
        <sz val="10"/>
        <color rgb="FF000000"/>
        <rFont val="Arial"/>
        <family val="2"/>
        <scheme val="minor"/>
      </rPr>
      <t xml:space="preserve">.
● InnerId </t>
    </r>
    <r>
      <rPr>
        <sz val="10"/>
        <color rgb="FF000000"/>
        <rFont val="Arial"/>
        <family val="2"/>
        <charset val="129"/>
        <scheme val="minor"/>
      </rPr>
      <t>순서대로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몬스터가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스폰된다</t>
    </r>
    <r>
      <rPr>
        <sz val="10"/>
        <color rgb="FF000000"/>
        <rFont val="Arial"/>
        <family val="2"/>
        <scheme val="minor"/>
      </rPr>
      <t>.
● spawnStandard</t>
    </r>
    <r>
      <rPr>
        <sz val="10"/>
        <color rgb="FF000000"/>
        <rFont val="Arial"/>
        <family val="2"/>
        <charset val="129"/>
        <scheme val="minor"/>
      </rPr>
      <t>가</t>
    </r>
    <r>
      <rPr>
        <sz val="10"/>
        <color rgb="FF000000"/>
        <rFont val="Arial"/>
        <family val="2"/>
        <scheme val="minor"/>
      </rPr>
      <t xml:space="preserve"> spawner</t>
    </r>
    <r>
      <rPr>
        <sz val="10"/>
        <color rgb="FF000000"/>
        <rFont val="Arial"/>
        <family val="2"/>
        <charset val="129"/>
        <scheme val="minor"/>
      </rPr>
      <t>일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경우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좌표를</t>
    </r>
    <r>
      <rPr>
        <sz val="10"/>
        <color rgb="FF000000"/>
        <rFont val="Arial"/>
        <family val="2"/>
        <scheme val="minor"/>
      </rPr>
      <t xml:space="preserve"> 0,0,0</t>
    </r>
    <r>
      <rPr>
        <sz val="10"/>
        <color rgb="FF000000"/>
        <rFont val="Arial"/>
        <family val="2"/>
        <charset val="129"/>
        <scheme val="minor"/>
      </rPr>
      <t>으로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입력하면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랜덤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위치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스폰된다</t>
    </r>
    <r>
      <rPr>
        <sz val="10"/>
        <color rgb="FF000000"/>
        <rFont val="Arial"/>
        <family val="2"/>
        <scheme val="minor"/>
      </rPr>
      <t>.
● spawnStandard</t>
    </r>
    <r>
      <rPr>
        <sz val="10"/>
        <color rgb="FF000000"/>
        <rFont val="Arial"/>
        <family val="2"/>
        <charset val="129"/>
        <scheme val="minor"/>
      </rPr>
      <t>가</t>
    </r>
    <r>
      <rPr>
        <sz val="10"/>
        <color rgb="FF000000"/>
        <rFont val="Arial"/>
        <family val="2"/>
        <scheme val="minor"/>
      </rPr>
      <t xml:space="preserve"> spawner</t>
    </r>
    <r>
      <rPr>
        <sz val="10"/>
        <color rgb="FF000000"/>
        <rFont val="Arial"/>
        <family val="2"/>
        <charset val="129"/>
        <scheme val="minor"/>
      </rPr>
      <t>일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경우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좌표를</t>
    </r>
    <r>
      <rPr>
        <sz val="10"/>
        <color rgb="FF000000"/>
        <rFont val="Arial"/>
        <family val="2"/>
        <scheme val="minor"/>
      </rPr>
      <t xml:space="preserve"> 0,0,0</t>
    </r>
    <r>
      <rPr>
        <sz val="10"/>
        <color rgb="FF000000"/>
        <rFont val="Arial"/>
        <family val="2"/>
        <charset val="129"/>
        <scheme val="minor"/>
      </rPr>
      <t>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아니면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화면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중심기준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해당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위치에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스폰한다</t>
    </r>
    <r>
      <rPr>
        <sz val="10"/>
        <color rgb="FF000000"/>
        <rFont val="Arial"/>
        <family val="2"/>
        <scheme val="minor"/>
      </rPr>
      <t>.
● spawnStandard</t>
    </r>
    <r>
      <rPr>
        <sz val="10"/>
        <color rgb="FF000000"/>
        <rFont val="Arial"/>
        <family val="2"/>
        <charset val="129"/>
        <scheme val="minor"/>
      </rPr>
      <t>가</t>
    </r>
    <r>
      <rPr>
        <sz val="10"/>
        <color rgb="FF000000"/>
        <rFont val="Arial"/>
        <family val="2"/>
        <scheme val="minor"/>
      </rPr>
      <t xml:space="preserve"> world</t>
    </r>
    <r>
      <rPr>
        <sz val="10"/>
        <color rgb="FF000000"/>
        <rFont val="Arial"/>
        <family val="2"/>
        <charset val="129"/>
        <scheme val="minor"/>
      </rPr>
      <t>일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경우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월드의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해당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스폰위치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좌표에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스폰된다</t>
    </r>
    <r>
      <rPr>
        <sz val="10"/>
        <color rgb="FF000000"/>
        <rFont val="Arial"/>
        <family val="2"/>
        <scheme val="minor"/>
      </rPr>
      <t>.</t>
    </r>
    <phoneticPr fontId="3" type="noConversion"/>
  </si>
  <si>
    <r>
      <rPr>
        <sz val="10"/>
        <color rgb="FF000000"/>
        <rFont val="Arial"/>
        <family val="2"/>
        <charset val="129"/>
        <scheme val="minor"/>
      </rPr>
      <t>레벨디자인</t>
    </r>
    <r>
      <rPr>
        <sz val="10"/>
        <color rgb="FF000000"/>
        <rFont val="Arial"/>
        <family val="2"/>
        <scheme val="minor"/>
      </rPr>
      <t xml:space="preserve"> ID</t>
    </r>
    <phoneticPr fontId="3" type="noConversion"/>
  </si>
  <si>
    <r>
      <rPr>
        <sz val="10"/>
        <color rgb="FF000000"/>
        <rFont val="Arial"/>
        <family val="2"/>
        <charset val="129"/>
        <scheme val="minor"/>
      </rPr>
      <t>레벨디자인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내부</t>
    </r>
    <r>
      <rPr>
        <sz val="10"/>
        <color rgb="FF000000"/>
        <rFont val="Arial"/>
        <family val="2"/>
        <scheme val="minor"/>
      </rPr>
      <t xml:space="preserve"> ID</t>
    </r>
    <phoneticPr fontId="3" type="noConversion"/>
  </si>
  <si>
    <r>
      <rPr>
        <sz val="10"/>
        <color rgb="FF000000"/>
        <rFont val="Arial"/>
        <family val="2"/>
        <charset val="129"/>
        <scheme val="minor"/>
      </rPr>
      <t>스폰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기준</t>
    </r>
    <phoneticPr fontId="3" type="noConversion"/>
  </si>
  <si>
    <r>
      <rPr>
        <sz val="10"/>
        <color rgb="FF000000"/>
        <rFont val="Arial"/>
        <family val="2"/>
        <charset val="129"/>
        <scheme val="minor"/>
      </rPr>
      <t>스폰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위치</t>
    </r>
    <phoneticPr fontId="3" type="noConversion"/>
  </si>
  <si>
    <r>
      <rPr>
        <sz val="10"/>
        <color rgb="FF000000"/>
        <rFont val="Arial"/>
        <family val="2"/>
        <charset val="129"/>
        <scheme val="minor"/>
      </rPr>
      <t>스폰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몬스터</t>
    </r>
    <r>
      <rPr>
        <sz val="10"/>
        <color rgb="FF000000"/>
        <rFont val="Arial"/>
        <family val="2"/>
        <scheme val="minor"/>
      </rPr>
      <t xml:space="preserve"> ID</t>
    </r>
    <phoneticPr fontId="3" type="noConversion"/>
  </si>
  <si>
    <r>
      <rPr>
        <sz val="10"/>
        <color rgb="FF000000"/>
        <rFont val="Arial"/>
        <family val="2"/>
        <charset val="129"/>
        <scheme val="minor"/>
      </rPr>
      <t>스폰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대기시간</t>
    </r>
    <phoneticPr fontId="3" type="noConversion"/>
  </si>
  <si>
    <r>
      <rPr>
        <sz val="10"/>
        <color rgb="FF000000"/>
        <rFont val="Arial"/>
        <family val="2"/>
        <charset val="129"/>
        <scheme val="minor"/>
      </rPr>
      <t>테이블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표기용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</si>
  <si>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몬스터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레벨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표시</t>
    </r>
    <phoneticPr fontId="3" type="noConversion"/>
  </si>
  <si>
    <t>스캐럽</t>
  </si>
  <si>
    <t>스캐럽</t>
    <phoneticPr fontId="3" type="noConversion"/>
  </si>
  <si>
    <t>스웜렛</t>
  </si>
  <si>
    <t>스웜렛</t>
    <phoneticPr fontId="3" type="noConversion"/>
  </si>
  <si>
    <t>맨티스</t>
  </si>
  <si>
    <t>맨티스</t>
    <phoneticPr fontId="3" type="noConversion"/>
  </si>
  <si>
    <t>코볼트</t>
  </si>
  <si>
    <t>코볼트</t>
    <phoneticPr fontId="3" type="noConversion"/>
  </si>
  <si>
    <t>구울</t>
  </si>
  <si>
    <t>구울</t>
    <phoneticPr fontId="3" type="noConversion"/>
  </si>
  <si>
    <t>고르곤</t>
  </si>
  <si>
    <t>고르곤</t>
    <phoneticPr fontId="3" type="noConversion"/>
  </si>
  <si>
    <t>가고일</t>
  </si>
  <si>
    <t>가고일</t>
    <phoneticPr fontId="3" type="noConversion"/>
  </si>
  <si>
    <t>_A_Scarab_</t>
    <phoneticPr fontId="3" type="noConversion"/>
  </si>
  <si>
    <t>_A_Swarmlet_</t>
    <phoneticPr fontId="3" type="noConversion"/>
  </si>
  <si>
    <t>_A_Mantis_</t>
    <phoneticPr fontId="3" type="noConversion"/>
  </si>
  <si>
    <t>_B_Kobold_</t>
    <phoneticPr fontId="3" type="noConversion"/>
  </si>
  <si>
    <t>_B_Ghoul_</t>
    <phoneticPr fontId="3" type="noConversion"/>
  </si>
  <si>
    <t>_B_Gorgon_</t>
    <phoneticPr fontId="3" type="noConversion"/>
  </si>
  <si>
    <t>_B_Gargoyle_</t>
    <phoneticPr fontId="3" type="noConversion"/>
  </si>
  <si>
    <t>F02</t>
  </si>
  <si>
    <t>Monster_model_00010.fbx</t>
  </si>
  <si>
    <t>Monster_model_00011.fbx</t>
  </si>
  <si>
    <t>Monster_model_00012.fbx</t>
  </si>
  <si>
    <t>Monster_model_00013.fbx</t>
  </si>
  <si>
    <t>Monster_model_00014.fbx</t>
  </si>
  <si>
    <t>Monster_model_00015.fbx</t>
  </si>
  <si>
    <t>Monster_model_00016.fbx</t>
  </si>
  <si>
    <t>F01</t>
  </si>
  <si>
    <t>F03</t>
    <phoneticPr fontId="3" type="noConversion"/>
  </si>
  <si>
    <t>F04</t>
    <phoneticPr fontId="3" type="noConversion"/>
  </si>
  <si>
    <t>F05</t>
    <phoneticPr fontId="3" type="noConversion"/>
  </si>
  <si>
    <t>F06</t>
    <phoneticPr fontId="3" type="noConversion"/>
  </si>
  <si>
    <t>enpc_Ai_Basic_002</t>
    <phoneticPr fontId="3" type="noConversion"/>
  </si>
  <si>
    <t>enpc_Ai_Kobold_001</t>
    <phoneticPr fontId="3" type="noConversion"/>
  </si>
  <si>
    <t>enpc_Ai_Ghoul_001</t>
    <phoneticPr fontId="3" type="noConversion"/>
  </si>
  <si>
    <t>enpc_Ai_Gorgon_001</t>
    <phoneticPr fontId="3" type="noConversion"/>
  </si>
  <si>
    <t>enpc_Ai_Gargoyle_001</t>
    <phoneticPr fontId="3" type="noConversion"/>
  </si>
  <si>
    <t>skill_Enpc_C_004</t>
    <phoneticPr fontId="3" type="noConversion"/>
  </si>
  <si>
    <t>skill_Enpc_B_004</t>
    <phoneticPr fontId="3" type="noConversion"/>
  </si>
  <si>
    <t>skill_Enpc_B_005</t>
    <phoneticPr fontId="3" type="noConversion"/>
  </si>
  <si>
    <t>skill_Enpc_B_006</t>
    <phoneticPr fontId="3" type="noConversion"/>
  </si>
  <si>
    <t>skill_Enpc_B_007</t>
    <phoneticPr fontId="3" type="noConversion"/>
  </si>
  <si>
    <t>Monster_model_00003.fbx</t>
    <phoneticPr fontId="3" type="noConversion"/>
  </si>
  <si>
    <t>Monster_model_00005.fbx</t>
    <phoneticPr fontId="3" type="noConversion"/>
  </si>
  <si>
    <t>Monster_model_00010.fbx</t>
    <phoneticPr fontId="3" type="noConversion"/>
  </si>
  <si>
    <t>Monster_model_00012.fbx</t>
    <phoneticPr fontId="3" type="noConversion"/>
  </si>
  <si>
    <t>Monster_model_00014.fbx</t>
    <phoneticPr fontId="3" type="noConversion"/>
  </si>
  <si>
    <t>Monster_model_00016.fbx</t>
    <phoneticPr fontId="3" type="noConversion"/>
  </si>
  <si>
    <t>Monster_model_00007.fbx</t>
    <phoneticPr fontId="3" type="noConversion"/>
  </si>
  <si>
    <t>Monster_model_00009.fbx</t>
    <phoneticPr fontId="3" type="noConversion"/>
  </si>
  <si>
    <t>Monster_model_00011.fbx</t>
    <phoneticPr fontId="3" type="noConversion"/>
  </si>
  <si>
    <t>Monster_model_00013.fbx</t>
    <phoneticPr fontId="3" type="noConversion"/>
  </si>
  <si>
    <t>Monster_model_00015.fbx</t>
    <phoneticPr fontId="3" type="noConversion"/>
  </si>
  <si>
    <t>Monster_model_00002.fbx</t>
    <phoneticPr fontId="3" type="noConversion"/>
  </si>
  <si>
    <t>Monster_model_00004.fbx</t>
    <phoneticPr fontId="3" type="noConversion"/>
  </si>
  <si>
    <t>Monster_model_00006.fbx</t>
    <phoneticPr fontId="3" type="noConversion"/>
  </si>
  <si>
    <r>
      <rPr>
        <sz val="11"/>
        <color rgb="FF000000"/>
        <rFont val="맑은 고딕"/>
        <family val="2"/>
        <charset val="129"/>
      </rPr>
      <t>변이체</t>
    </r>
    <r>
      <rPr>
        <sz val="11"/>
        <color rgb="FF000000"/>
        <rFont val="Arial"/>
        <family val="2"/>
        <scheme val="minor"/>
      </rPr>
      <t>ID</t>
    </r>
    <phoneticPr fontId="3" type="noConversion"/>
  </si>
  <si>
    <r>
      <rPr>
        <sz val="11"/>
        <color rgb="FF000000"/>
        <rFont val="맑은 고딕"/>
        <family val="2"/>
        <charset val="129"/>
      </rPr>
      <t xml:space="preserve">변이체 </t>
    </r>
    <r>
      <rPr>
        <sz val="11"/>
        <color rgb="FF000000"/>
        <rFont val="Arial"/>
        <family val="2"/>
        <scheme val="minor"/>
      </rPr>
      <t>ID</t>
    </r>
    <phoneticPr fontId="3" type="noConversion"/>
  </si>
  <si>
    <r>
      <rPr>
        <sz val="10"/>
        <color theme="1"/>
        <rFont val="맑은 고딕"/>
        <family val="2"/>
        <charset val="129"/>
      </rPr>
      <t>변이체</t>
    </r>
    <r>
      <rPr>
        <sz val="10"/>
        <color theme="1"/>
        <rFont val="Arial"/>
        <family val="2"/>
        <scheme val="minor"/>
      </rPr>
      <t xml:space="preserve"> ID </t>
    </r>
    <r>
      <rPr>
        <sz val="10"/>
        <color theme="1"/>
        <rFont val="맑은 고딕"/>
        <family val="3"/>
        <charset val="129"/>
      </rPr>
      <t>저장</t>
    </r>
    <phoneticPr fontId="3" type="noConversion"/>
  </si>
  <si>
    <r>
      <rPr>
        <sz val="10"/>
        <color theme="1"/>
        <rFont val="맑은 고딕"/>
        <family val="3"/>
        <charset val="129"/>
      </rPr>
      <t>전투구역에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맑은 고딕"/>
        <family val="3"/>
        <charset val="129"/>
      </rPr>
      <t>등장하는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맑은 고딕"/>
        <family val="2"/>
        <charset val="129"/>
      </rPr>
      <t>변이체</t>
    </r>
    <r>
      <rPr>
        <sz val="10"/>
        <color theme="1"/>
        <rFont val="맑은 고딕"/>
        <family val="3"/>
        <charset val="129"/>
      </rPr>
      <t>의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맑은 고딕"/>
        <family val="3"/>
        <charset val="129"/>
      </rPr>
      <t>평균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맑은 고딕"/>
        <family val="3"/>
        <charset val="129"/>
      </rPr>
      <t>레벨수치이다</t>
    </r>
    <r>
      <rPr>
        <sz val="10"/>
        <color theme="1"/>
        <rFont val="Arial"/>
        <family val="2"/>
        <scheme val="minor"/>
      </rPr>
      <t>.</t>
    </r>
    <phoneticPr fontId="3" type="noConversion"/>
  </si>
  <si>
    <r>
      <rPr>
        <sz val="10"/>
        <color theme="1"/>
        <rFont val="맑은 고딕"/>
        <family val="3"/>
        <charset val="129"/>
      </rPr>
      <t>변이체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맑은 고딕"/>
        <family val="3"/>
        <charset val="129"/>
      </rPr>
      <t>소환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맑은 고딕"/>
        <family val="3"/>
        <charset val="129"/>
      </rPr>
      <t>후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맑은 고딕"/>
        <family val="3"/>
        <charset val="129"/>
      </rPr>
      <t>다음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맑은 고딕"/>
        <family val="3"/>
        <charset val="129"/>
      </rPr>
      <t>몬스터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맑은 고딕"/>
        <family val="3"/>
        <charset val="129"/>
      </rPr>
      <t>소환까지의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맑은 고딕"/>
        <family val="3"/>
        <charset val="129"/>
      </rPr>
      <t>대기시간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맑은 고딕"/>
        <family val="3"/>
        <charset val="129"/>
      </rPr>
      <t>최소값은</t>
    </r>
    <r>
      <rPr>
        <sz val="10"/>
        <color theme="1"/>
        <rFont val="Arial"/>
        <family val="2"/>
        <scheme val="minor"/>
      </rPr>
      <t xml:space="preserve"> 0.1f</t>
    </r>
    <phoneticPr fontId="3" type="noConversion"/>
  </si>
  <si>
    <t>등급별 보정치</t>
    <phoneticPr fontId="3" type="noConversion"/>
  </si>
  <si>
    <t>몬스터별 기본 능력치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</si>
</sst>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 "/>
  </numFmts>
  <fonts count="28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sz val="11"/>
      <color rgb="FF000000"/>
      <name val="&quot;맑은 고딕&quot;"/>
      <family val="3"/>
      <charset val="129"/>
    </font>
    <font>
      <sz val="8"/>
      <name val="Arial"/>
      <family val="3"/>
      <charset val="129"/>
      <scheme val="minor"/>
    </font>
    <font>
      <sz val="10"/>
      <color theme="1"/>
      <name val="Arial"/>
      <family val="2"/>
    </font>
    <font>
      <sz val="10"/>
      <color theme="1"/>
      <name val="맑은 고딕"/>
      <family val="3"/>
      <charset val="129"/>
    </font>
    <font>
      <sz val="10"/>
      <color rgb="FF000000"/>
      <name val="Arial"/>
      <family val="2"/>
      <scheme val="minor"/>
    </font>
    <font>
      <sz val="10"/>
      <color rgb="FF000000"/>
      <name val="맑은 고딕"/>
      <family val="3"/>
      <charset val="129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9"/>
      <color indexed="81"/>
      <name val="돋움"/>
      <family val="3"/>
      <charset val="129"/>
    </font>
    <font>
      <sz val="10"/>
      <color rgb="FF000000"/>
      <name val="맑은 고딕"/>
      <family val="2"/>
      <charset val="129"/>
    </font>
    <font>
      <sz val="10"/>
      <color theme="1"/>
      <name val="Arial"/>
      <family val="3"/>
    </font>
    <font>
      <sz val="10"/>
      <color rgb="FF000000"/>
      <name val="Arial"/>
      <family val="3"/>
    </font>
    <font>
      <sz val="10"/>
      <color rgb="FF000000"/>
      <name val="Segoe UI Symbol"/>
      <family val="2"/>
    </font>
    <font>
      <sz val="10"/>
      <color rgb="FF000000"/>
      <name val="&quot;맑은 고딕&quot;"/>
      <family val="2"/>
      <charset val="129"/>
    </font>
    <font>
      <sz val="12"/>
      <color theme="1"/>
      <name val="Arial"/>
      <family val="2"/>
      <scheme val="minor"/>
    </font>
    <font>
      <sz val="10"/>
      <color rgb="FF000000"/>
      <name val="Arial"/>
      <family val="3"/>
      <charset val="129"/>
      <scheme val="minor"/>
    </font>
    <font>
      <sz val="11"/>
      <color rgb="FF000000"/>
      <name val="Arial"/>
      <family val="2"/>
      <scheme val="minor"/>
    </font>
    <font>
      <sz val="11"/>
      <color rgb="FF000000"/>
      <name val="Arial"/>
      <family val="3"/>
      <charset val="129"/>
      <scheme val="minor"/>
    </font>
    <font>
      <sz val="10"/>
      <color rgb="FF000000"/>
      <name val="Arial"/>
      <family val="2"/>
      <charset val="129"/>
      <scheme val="minor"/>
    </font>
    <font>
      <sz val="10"/>
      <color theme="1"/>
      <name val="Arial"/>
      <family val="3"/>
      <charset val="129"/>
      <scheme val="minor"/>
    </font>
    <font>
      <sz val="10"/>
      <color theme="1"/>
      <name val="Arial"/>
      <family val="2"/>
      <charset val="129"/>
      <scheme val="minor"/>
    </font>
    <font>
      <sz val="11"/>
      <color rgb="FF000000"/>
      <name val="Arial"/>
      <family val="2"/>
      <charset val="129"/>
      <scheme val="minor"/>
    </font>
    <font>
      <sz val="10"/>
      <color rgb="FF000000"/>
      <name val="Arial"/>
      <family val="3"/>
      <scheme val="minor"/>
    </font>
    <font>
      <sz val="10"/>
      <color theme="1"/>
      <name val="맑은 고딕"/>
      <family val="2"/>
      <charset val="129"/>
    </font>
    <font>
      <sz val="11"/>
      <color rgb="FF000000"/>
      <name val="맑은 고딕"/>
      <family val="2"/>
      <charset val="129"/>
    </font>
  </fonts>
  <fills count="14">
    <fill>
      <patternFill patternType="none"/>
    </fill>
    <fill>
      <patternFill patternType="gray125"/>
    </fill>
    <fill>
      <patternFill patternType="solid">
        <fgColor rgb="FFD0E0E3"/>
        <bgColor rgb="FFD0E0E3"/>
      </patternFill>
    </fill>
    <fill>
      <patternFill patternType="solid">
        <fgColor rgb="FFD9EAD3"/>
        <bgColor rgb="FFD9EAD3"/>
      </patternFill>
    </fill>
    <fill>
      <patternFill patternType="solid">
        <fgColor rgb="FFD9D9D9"/>
        <bgColor rgb="FFD9D9D9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59999389629810485"/>
        <bgColor rgb="FFD9D9D9"/>
      </patternFill>
    </fill>
    <fill>
      <patternFill patternType="solid">
        <fgColor theme="2" tint="-4.9989318521683403E-2"/>
        <bgColor indexed="64"/>
      </patternFill>
    </fill>
  </fills>
  <borders count="1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6">
    <xf numFmtId="0" fontId="0" fillId="0" borderId="0" xfId="0"/>
    <xf numFmtId="0" fontId="6" fillId="0" borderId="0" xfId="0" applyFont="1"/>
    <xf numFmtId="0" fontId="7" fillId="0" borderId="4" xfId="0" applyFont="1" applyBorder="1"/>
    <xf numFmtId="0" fontId="6" fillId="0" borderId="4" xfId="0" applyFont="1" applyBorder="1"/>
    <xf numFmtId="0" fontId="0" fillId="0" borderId="4" xfId="0" applyBorder="1"/>
    <xf numFmtId="0" fontId="14" fillId="0" borderId="4" xfId="0" applyFont="1" applyBorder="1"/>
    <xf numFmtId="0" fontId="1" fillId="3" borderId="1" xfId="0" applyFont="1" applyFill="1" applyBorder="1"/>
    <xf numFmtId="0" fontId="6" fillId="3" borderId="1" xfId="0" applyFont="1" applyFill="1" applyBorder="1"/>
    <xf numFmtId="0" fontId="2" fillId="4" borderId="4" xfId="0" applyFont="1" applyFill="1" applyBorder="1"/>
    <xf numFmtId="0" fontId="2" fillId="4" borderId="4" xfId="0" applyFont="1" applyFill="1" applyBorder="1" applyAlignment="1">
      <alignment horizontal="center"/>
    </xf>
    <xf numFmtId="0" fontId="2" fillId="0" borderId="0" xfId="0" applyFont="1"/>
    <xf numFmtId="0" fontId="1" fillId="3" borderId="4" xfId="0" applyFont="1" applyFill="1" applyBorder="1"/>
    <xf numFmtId="0" fontId="1" fillId="3" borderId="4" xfId="0" applyFont="1" applyFill="1" applyBorder="1" applyAlignment="1">
      <alignment horizontal="center"/>
    </xf>
    <xf numFmtId="0" fontId="4" fillId="5" borderId="5" xfId="0" applyFont="1" applyFill="1" applyBorder="1" applyAlignment="1">
      <alignment vertical="center"/>
    </xf>
    <xf numFmtId="0" fontId="13" fillId="5" borderId="5" xfId="0" applyFont="1" applyFill="1" applyBorder="1" applyAlignment="1">
      <alignment horizontal="center" vertical="center"/>
    </xf>
    <xf numFmtId="0" fontId="4" fillId="5" borderId="6" xfId="0" applyFont="1" applyFill="1" applyBorder="1" applyAlignment="1">
      <alignment vertical="center"/>
    </xf>
    <xf numFmtId="0" fontId="5" fillId="0" borderId="2" xfId="0" applyFont="1" applyBorder="1" applyAlignment="1">
      <alignment vertical="center"/>
    </xf>
    <xf numFmtId="0" fontId="4" fillId="0" borderId="2" xfId="0" applyFont="1" applyBorder="1" applyAlignment="1">
      <alignment vertical="center"/>
    </xf>
    <xf numFmtId="0" fontId="5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5" borderId="2" xfId="0" applyFont="1" applyFill="1" applyBorder="1" applyAlignment="1">
      <alignment vertical="center"/>
    </xf>
    <xf numFmtId="0" fontId="4" fillId="5" borderId="2" xfId="0" applyFont="1" applyFill="1" applyBorder="1" applyAlignment="1">
      <alignment horizontal="center" vertical="center"/>
    </xf>
    <xf numFmtId="0" fontId="2" fillId="12" borderId="4" xfId="0" applyFont="1" applyFill="1" applyBorder="1"/>
    <xf numFmtId="0" fontId="7" fillId="11" borderId="4" xfId="0" applyFont="1" applyFill="1" applyBorder="1"/>
    <xf numFmtId="0" fontId="6" fillId="11" borderId="4" xfId="0" applyFont="1" applyFill="1" applyBorder="1"/>
    <xf numFmtId="0" fontId="12" fillId="11" borderId="4" xfId="0" applyFont="1" applyFill="1" applyBorder="1"/>
    <xf numFmtId="0" fontId="1" fillId="4" borderId="8" xfId="0" applyFont="1" applyFill="1" applyBorder="1"/>
    <xf numFmtId="0" fontId="6" fillId="4" borderId="8" xfId="0" applyFont="1" applyFill="1" applyBorder="1"/>
    <xf numFmtId="0" fontId="17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0" fontId="1" fillId="2" borderId="1" xfId="0" applyFont="1" applyFill="1" applyBorder="1" applyAlignment="1">
      <alignment vertical="center"/>
    </xf>
    <xf numFmtId="0" fontId="1" fillId="0" borderId="1" xfId="0" applyFont="1" applyBorder="1" applyAlignment="1">
      <alignment vertical="center"/>
    </xf>
    <xf numFmtId="0" fontId="1" fillId="4" borderId="1" xfId="0" applyFont="1" applyFill="1" applyBorder="1" applyAlignment="1">
      <alignment vertical="center"/>
    </xf>
    <xf numFmtId="0" fontId="1" fillId="0" borderId="1" xfId="0" applyFont="1" applyBorder="1" applyAlignment="1">
      <alignment vertical="center" wrapText="1"/>
    </xf>
    <xf numFmtId="0" fontId="6" fillId="8" borderId="4" xfId="0" applyFont="1" applyFill="1" applyBorder="1"/>
    <xf numFmtId="0" fontId="7" fillId="9" borderId="12" xfId="0" applyFont="1" applyFill="1" applyBorder="1"/>
    <xf numFmtId="0" fontId="7" fillId="9" borderId="13" xfId="0" applyFont="1" applyFill="1" applyBorder="1"/>
    <xf numFmtId="0" fontId="7" fillId="9" borderId="14" xfId="0" applyFont="1" applyFill="1" applyBorder="1"/>
    <xf numFmtId="0" fontId="18" fillId="0" borderId="4" xfId="0" applyFont="1" applyBorder="1"/>
    <xf numFmtId="0" fontId="17" fillId="0" borderId="0" xfId="0" applyFont="1"/>
    <xf numFmtId="0" fontId="1" fillId="3" borderId="1" xfId="0" applyFont="1" applyFill="1" applyBorder="1" applyAlignment="1">
      <alignment vertical="center"/>
    </xf>
    <xf numFmtId="0" fontId="1" fillId="3" borderId="11" xfId="0" applyFont="1" applyFill="1" applyBorder="1" applyAlignment="1">
      <alignment vertical="center"/>
    </xf>
    <xf numFmtId="0" fontId="1" fillId="2" borderId="1" xfId="0" applyFont="1" applyFill="1" applyBorder="1"/>
    <xf numFmtId="0" fontId="19" fillId="0" borderId="1" xfId="0" applyFont="1" applyBorder="1"/>
    <xf numFmtId="0" fontId="19" fillId="4" borderId="9" xfId="0" applyFont="1" applyFill="1" applyBorder="1"/>
    <xf numFmtId="0" fontId="1" fillId="0" borderId="10" xfId="0" applyFont="1" applyBorder="1"/>
    <xf numFmtId="0" fontId="19" fillId="2" borderId="1" xfId="0" applyFont="1" applyFill="1" applyBorder="1" applyAlignment="1">
      <alignment vertical="center"/>
    </xf>
    <xf numFmtId="0" fontId="19" fillId="0" borderId="1" xfId="0" applyFont="1" applyBorder="1" applyAlignment="1">
      <alignment vertical="center"/>
    </xf>
    <xf numFmtId="0" fontId="19" fillId="4" borderId="1" xfId="0" applyFont="1" applyFill="1" applyBorder="1"/>
    <xf numFmtId="0" fontId="1" fillId="5" borderId="7" xfId="0" applyFont="1" applyFill="1" applyBorder="1"/>
    <xf numFmtId="0" fontId="1" fillId="5" borderId="2" xfId="0" applyFont="1" applyFill="1" applyBorder="1"/>
    <xf numFmtId="176" fontId="1" fillId="5" borderId="2" xfId="0" applyNumberFormat="1" applyFont="1" applyFill="1" applyBorder="1"/>
    <xf numFmtId="176" fontId="1" fillId="5" borderId="3" xfId="0" applyNumberFormat="1" applyFont="1" applyFill="1" applyBorder="1"/>
    <xf numFmtId="0" fontId="1" fillId="0" borderId="7" xfId="0" applyFont="1" applyBorder="1"/>
    <xf numFmtId="0" fontId="1" fillId="0" borderId="2" xfId="0" applyFont="1" applyBorder="1"/>
    <xf numFmtId="176" fontId="1" fillId="0" borderId="2" xfId="0" applyNumberFormat="1" applyFont="1" applyBorder="1"/>
    <xf numFmtId="176" fontId="1" fillId="0" borderId="3" xfId="0" applyNumberFormat="1" applyFont="1" applyBorder="1"/>
    <xf numFmtId="176" fontId="6" fillId="0" borderId="0" xfId="0" applyNumberFormat="1" applyFont="1"/>
    <xf numFmtId="0" fontId="6" fillId="12" borderId="1" xfId="0" applyFont="1" applyFill="1" applyBorder="1"/>
    <xf numFmtId="0" fontId="1" fillId="5" borderId="3" xfId="0" applyFont="1" applyFill="1" applyBorder="1"/>
    <xf numFmtId="0" fontId="1" fillId="0" borderId="3" xfId="0" applyFont="1" applyBorder="1"/>
    <xf numFmtId="0" fontId="7" fillId="0" borderId="0" xfId="0" applyFont="1"/>
    <xf numFmtId="0" fontId="24" fillId="0" borderId="1" xfId="0" applyFont="1" applyBorder="1"/>
    <xf numFmtId="0" fontId="24" fillId="0" borderId="1" xfId="0" applyFont="1" applyBorder="1" applyAlignment="1">
      <alignment vertical="center"/>
    </xf>
    <xf numFmtId="0" fontId="23" fillId="0" borderId="1" xfId="0" applyFont="1" applyBorder="1" applyAlignment="1">
      <alignment vertical="center"/>
    </xf>
    <xf numFmtId="0" fontId="22" fillId="0" borderId="1" xfId="0" applyFont="1" applyBorder="1" applyAlignment="1">
      <alignment vertical="center"/>
    </xf>
    <xf numFmtId="0" fontId="7" fillId="13" borderId="4" xfId="0" applyFont="1" applyFill="1" applyBorder="1" applyAlignment="1">
      <alignment horizontal="center"/>
    </xf>
    <xf numFmtId="0" fontId="15" fillId="0" borderId="0" xfId="0" applyFont="1" applyAlignment="1">
      <alignment horizontal="left" vertical="top" wrapText="1"/>
    </xf>
    <xf numFmtId="0" fontId="0" fillId="0" borderId="0" xfId="0" applyAlignment="1">
      <alignment horizontal="left" vertical="top"/>
    </xf>
    <xf numFmtId="0" fontId="7" fillId="11" borderId="12" xfId="0" applyFont="1" applyFill="1" applyBorder="1" applyAlignment="1">
      <alignment horizontal="center"/>
    </xf>
    <xf numFmtId="0" fontId="7" fillId="11" borderId="13" xfId="0" applyFont="1" applyFill="1" applyBorder="1" applyAlignment="1">
      <alignment horizontal="center"/>
    </xf>
    <xf numFmtId="0" fontId="7" fillId="11" borderId="14" xfId="0" applyFont="1" applyFill="1" applyBorder="1" applyAlignment="1">
      <alignment horizontal="center"/>
    </xf>
    <xf numFmtId="0" fontId="7" fillId="6" borderId="4" xfId="0" applyFont="1" applyFill="1" applyBorder="1" applyAlignment="1">
      <alignment horizontal="center"/>
    </xf>
    <xf numFmtId="0" fontId="6" fillId="6" borderId="4" xfId="0" applyFont="1" applyFill="1" applyBorder="1" applyAlignment="1">
      <alignment horizontal="center"/>
    </xf>
    <xf numFmtId="0" fontId="7" fillId="6" borderId="12" xfId="0" applyFont="1" applyFill="1" applyBorder="1" applyAlignment="1">
      <alignment horizontal="center"/>
    </xf>
    <xf numFmtId="0" fontId="7" fillId="6" borderId="13" xfId="0" applyFont="1" applyFill="1" applyBorder="1" applyAlignment="1">
      <alignment horizontal="center"/>
    </xf>
    <xf numFmtId="0" fontId="7" fillId="6" borderId="14" xfId="0" applyFont="1" applyFill="1" applyBorder="1" applyAlignment="1">
      <alignment horizontal="center"/>
    </xf>
    <xf numFmtId="0" fontId="7" fillId="9" borderId="4" xfId="0" applyFont="1" applyFill="1" applyBorder="1" applyAlignment="1">
      <alignment horizontal="center"/>
    </xf>
    <xf numFmtId="0" fontId="7" fillId="8" borderId="4" xfId="0" applyFont="1" applyFill="1" applyBorder="1" applyAlignment="1">
      <alignment horizontal="center"/>
    </xf>
    <xf numFmtId="0" fontId="7" fillId="10" borderId="4" xfId="0" applyFont="1" applyFill="1" applyBorder="1" applyAlignment="1">
      <alignment horizontal="center"/>
    </xf>
    <xf numFmtId="0" fontId="7" fillId="7" borderId="4" xfId="0" applyFont="1" applyFill="1" applyBorder="1" applyAlignment="1">
      <alignment horizontal="center"/>
    </xf>
    <xf numFmtId="0" fontId="6" fillId="7" borderId="4" xfId="0" applyFont="1" applyFill="1" applyBorder="1" applyAlignment="1">
      <alignment horizontal="center"/>
    </xf>
    <xf numFmtId="0" fontId="7" fillId="11" borderId="4" xfId="0" applyFont="1" applyFill="1" applyBorder="1" applyAlignment="1">
      <alignment horizontal="center"/>
    </xf>
    <xf numFmtId="0" fontId="6" fillId="0" borderId="0" xfId="0" applyFont="1" applyAlignment="1">
      <alignment horizontal="left" vertical="top" wrapText="1"/>
    </xf>
    <xf numFmtId="0" fontId="6" fillId="0" borderId="0" xfId="0" applyFont="1" applyAlignment="1">
      <alignment horizontal="left" vertical="top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B1:G1002"/>
  <sheetViews>
    <sheetView showGridLines="0" workbookViewId="0">
      <selection activeCell="G41" sqref="G41"/>
    </sheetView>
  </sheetViews>
  <sheetFormatPr defaultColWidth="12.5703125" defaultRowHeight="15.75" customHeight="1"/>
  <cols>
    <col min="1" max="1" width="1.7109375" style="1" customWidth="1"/>
    <col min="2" max="2" width="13.42578125" style="1" customWidth="1"/>
    <col min="3" max="3" width="17.5703125" style="1" customWidth="1"/>
    <col min="4" max="4" width="29.5703125" style="1" customWidth="1"/>
    <col min="5" max="5" width="21" style="1" customWidth="1"/>
    <col min="6" max="6" width="34.5703125" style="1" customWidth="1"/>
    <col min="7" max="7" width="106.7109375" style="1" customWidth="1"/>
    <col min="8" max="16384" width="12.5703125" style="1"/>
  </cols>
  <sheetData>
    <row r="1" spans="2:7" ht="6.75" customHeight="1">
      <c r="B1" s="40"/>
    </row>
    <row r="2" spans="2:7" ht="15">
      <c r="B2" s="40" t="s">
        <v>0</v>
      </c>
    </row>
    <row r="3" spans="2:7" ht="15">
      <c r="B3" s="40"/>
      <c r="C3" s="6" t="s">
        <v>1</v>
      </c>
      <c r="D3" s="6" t="s">
        <v>2</v>
      </c>
      <c r="E3" s="41" t="s">
        <v>230</v>
      </c>
      <c r="F3" s="42" t="s">
        <v>3</v>
      </c>
      <c r="G3" s="6" t="s">
        <v>4</v>
      </c>
    </row>
    <row r="4" spans="2:7" ht="16.5">
      <c r="B4" s="40"/>
      <c r="C4" s="43" t="s">
        <v>5</v>
      </c>
      <c r="D4" s="63" t="s">
        <v>411</v>
      </c>
      <c r="E4" s="45" t="s">
        <v>6</v>
      </c>
      <c r="F4" s="3" t="s">
        <v>258</v>
      </c>
      <c r="G4" s="46" t="s">
        <v>7</v>
      </c>
    </row>
    <row r="5" spans="2:7" ht="15">
      <c r="B5" s="40"/>
      <c r="C5" s="43" t="s">
        <v>8</v>
      </c>
      <c r="D5" s="44" t="s">
        <v>305</v>
      </c>
      <c r="E5" s="45" t="s">
        <v>6</v>
      </c>
      <c r="F5" s="3" t="s">
        <v>306</v>
      </c>
      <c r="G5" s="46" t="s">
        <v>9</v>
      </c>
    </row>
    <row r="6" spans="2:7" ht="15">
      <c r="B6" s="40"/>
      <c r="C6" s="43" t="s">
        <v>10</v>
      </c>
      <c r="D6" s="44" t="s">
        <v>307</v>
      </c>
      <c r="E6" s="45" t="s">
        <v>6</v>
      </c>
      <c r="F6" s="3" t="s">
        <v>259</v>
      </c>
      <c r="G6" s="46" t="s">
        <v>11</v>
      </c>
    </row>
    <row r="7" spans="2:7" ht="15">
      <c r="B7" s="40"/>
      <c r="C7" s="43" t="s">
        <v>12</v>
      </c>
      <c r="D7" s="44" t="s">
        <v>308</v>
      </c>
      <c r="E7" s="45" t="s">
        <v>6</v>
      </c>
      <c r="F7" s="3" t="s">
        <v>260</v>
      </c>
      <c r="G7" s="46" t="s">
        <v>309</v>
      </c>
    </row>
    <row r="8" spans="2:7" ht="15">
      <c r="B8" s="40"/>
      <c r="C8" s="43" t="s">
        <v>13</v>
      </c>
      <c r="D8" s="44" t="s">
        <v>310</v>
      </c>
      <c r="E8" s="45" t="s">
        <v>14</v>
      </c>
      <c r="F8" s="3">
        <v>1</v>
      </c>
      <c r="G8" s="46" t="s">
        <v>15</v>
      </c>
    </row>
    <row r="9" spans="2:7" ht="15">
      <c r="B9" s="40"/>
      <c r="C9" s="43" t="s">
        <v>16</v>
      </c>
      <c r="D9" s="44" t="s">
        <v>311</v>
      </c>
      <c r="E9" s="45" t="s">
        <v>14</v>
      </c>
      <c r="F9" s="3">
        <v>1</v>
      </c>
      <c r="G9" s="46" t="s">
        <v>17</v>
      </c>
    </row>
    <row r="10" spans="2:7" ht="15">
      <c r="B10" s="40"/>
      <c r="C10" s="43" t="s">
        <v>18</v>
      </c>
      <c r="D10" s="44" t="s">
        <v>312</v>
      </c>
      <c r="E10" s="45" t="s">
        <v>14</v>
      </c>
      <c r="F10" s="3">
        <v>1</v>
      </c>
      <c r="G10" s="46" t="s">
        <v>19</v>
      </c>
    </row>
    <row r="11" spans="2:7" ht="15">
      <c r="B11" s="40"/>
      <c r="C11" s="43" t="s">
        <v>20</v>
      </c>
      <c r="D11" s="44" t="s">
        <v>313</v>
      </c>
      <c r="E11" s="45" t="s">
        <v>21</v>
      </c>
      <c r="F11" s="3">
        <v>1.1000000000000001</v>
      </c>
      <c r="G11" s="46" t="s">
        <v>22</v>
      </c>
    </row>
    <row r="12" spans="2:7" ht="15">
      <c r="B12" s="40"/>
      <c r="C12" s="43" t="s">
        <v>23</v>
      </c>
      <c r="D12" s="44" t="s">
        <v>314</v>
      </c>
      <c r="E12" s="45" t="s">
        <v>21</v>
      </c>
      <c r="F12" s="3">
        <v>1.1000000000000001</v>
      </c>
      <c r="G12" s="46" t="s">
        <v>24</v>
      </c>
    </row>
    <row r="13" spans="2:7" ht="15">
      <c r="B13" s="40"/>
      <c r="C13" s="43" t="s">
        <v>25</v>
      </c>
      <c r="D13" s="44" t="s">
        <v>315</v>
      </c>
      <c r="E13" s="45" t="s">
        <v>21</v>
      </c>
      <c r="F13" s="3">
        <v>1.1000000000000001</v>
      </c>
      <c r="G13" s="46" t="s">
        <v>26</v>
      </c>
    </row>
    <row r="14" spans="2:7" ht="15">
      <c r="B14" s="40"/>
      <c r="C14" s="43" t="s">
        <v>27</v>
      </c>
      <c r="D14" s="44" t="s">
        <v>316</v>
      </c>
      <c r="E14" s="45" t="s">
        <v>6</v>
      </c>
      <c r="F14" s="3" t="s">
        <v>253</v>
      </c>
      <c r="G14" s="46" t="s">
        <v>28</v>
      </c>
    </row>
    <row r="15" spans="2:7" ht="15">
      <c r="B15" s="40"/>
      <c r="C15" s="43" t="s">
        <v>29</v>
      </c>
      <c r="D15" s="44" t="s">
        <v>317</v>
      </c>
      <c r="E15" s="45" t="s">
        <v>6</v>
      </c>
      <c r="F15" s="3" t="s">
        <v>254</v>
      </c>
      <c r="G15" s="46" t="s">
        <v>318</v>
      </c>
    </row>
    <row r="16" spans="2:7" ht="15">
      <c r="B16" s="40"/>
      <c r="C16" s="43" t="s">
        <v>30</v>
      </c>
      <c r="D16" s="44" t="s">
        <v>319</v>
      </c>
      <c r="E16" s="45" t="s">
        <v>6</v>
      </c>
      <c r="F16" s="3" t="s">
        <v>255</v>
      </c>
      <c r="G16" s="46" t="s">
        <v>320</v>
      </c>
    </row>
    <row r="17" spans="2:7" ht="15">
      <c r="B17" s="40"/>
      <c r="C17" s="43" t="s">
        <v>31</v>
      </c>
      <c r="D17" s="44" t="s">
        <v>321</v>
      </c>
      <c r="E17" s="45" t="s">
        <v>6</v>
      </c>
      <c r="F17" s="3" t="s">
        <v>256</v>
      </c>
      <c r="G17" s="46" t="s">
        <v>32</v>
      </c>
    </row>
    <row r="18" spans="2:7" ht="15">
      <c r="B18" s="40"/>
      <c r="C18" s="43" t="s">
        <v>33</v>
      </c>
      <c r="D18" s="44" t="s">
        <v>322</v>
      </c>
      <c r="E18" s="45" t="s">
        <v>6</v>
      </c>
      <c r="F18" s="3" t="s">
        <v>257</v>
      </c>
      <c r="G18" s="46" t="s">
        <v>34</v>
      </c>
    </row>
    <row r="19" spans="2:7" ht="15">
      <c r="B19" s="40"/>
      <c r="C19" s="43" t="s">
        <v>194</v>
      </c>
      <c r="D19" s="44" t="s">
        <v>323</v>
      </c>
      <c r="E19" s="45" t="s">
        <v>6</v>
      </c>
      <c r="F19" s="3" t="s">
        <v>304</v>
      </c>
      <c r="G19" s="46" t="s">
        <v>324</v>
      </c>
    </row>
    <row r="20" spans="2:7" ht="15">
      <c r="B20" s="40"/>
      <c r="C20" s="43" t="s">
        <v>136</v>
      </c>
      <c r="D20" s="44" t="s">
        <v>325</v>
      </c>
      <c r="E20" s="45" t="s">
        <v>14</v>
      </c>
      <c r="F20" s="3">
        <v>1</v>
      </c>
      <c r="G20" s="46" t="s">
        <v>326</v>
      </c>
    </row>
    <row r="21" spans="2:7" ht="15">
      <c r="B21" s="40"/>
      <c r="C21" s="43" t="s">
        <v>148</v>
      </c>
      <c r="D21" s="44" t="s">
        <v>97</v>
      </c>
      <c r="E21" s="45" t="s">
        <v>21</v>
      </c>
      <c r="F21" s="3">
        <v>1.1000000000000001</v>
      </c>
      <c r="G21" s="46" t="s">
        <v>327</v>
      </c>
    </row>
    <row r="22" spans="2:7" ht="15">
      <c r="B22" s="40"/>
      <c r="C22" s="43" t="s">
        <v>149</v>
      </c>
      <c r="D22" s="44" t="s">
        <v>98</v>
      </c>
      <c r="E22" s="45" t="s">
        <v>6</v>
      </c>
      <c r="F22" s="3" t="s">
        <v>140</v>
      </c>
      <c r="G22" s="46" t="s">
        <v>328</v>
      </c>
    </row>
    <row r="23" spans="2:7" ht="15">
      <c r="B23" s="40"/>
      <c r="C23" s="43" t="s">
        <v>150</v>
      </c>
      <c r="D23" s="44" t="s">
        <v>329</v>
      </c>
      <c r="E23" s="45" t="s">
        <v>6</v>
      </c>
      <c r="F23" s="3" t="s">
        <v>143</v>
      </c>
      <c r="G23" s="46" t="s">
        <v>330</v>
      </c>
    </row>
    <row r="24" spans="2:7" ht="15">
      <c r="B24" s="40"/>
    </row>
    <row r="25" spans="2:7" ht="15">
      <c r="B25" s="29" t="s">
        <v>229</v>
      </c>
      <c r="C25" s="30"/>
      <c r="D25" s="30"/>
      <c r="E25" s="30"/>
      <c r="F25" s="30"/>
      <c r="G25" s="30"/>
    </row>
    <row r="26" spans="2:7" ht="15.75" customHeight="1">
      <c r="B26" s="29"/>
      <c r="C26" s="41" t="s">
        <v>1</v>
      </c>
      <c r="D26" s="41" t="s">
        <v>2</v>
      </c>
      <c r="E26" s="41" t="s">
        <v>230</v>
      </c>
      <c r="F26" s="41" t="s">
        <v>3</v>
      </c>
      <c r="G26" s="41" t="s">
        <v>4</v>
      </c>
    </row>
    <row r="27" spans="2:7" ht="15.75" customHeight="1">
      <c r="B27" s="29"/>
      <c r="C27" s="31" t="s">
        <v>129</v>
      </c>
      <c r="D27" s="32" t="s">
        <v>231</v>
      </c>
      <c r="E27" s="33" t="s">
        <v>6</v>
      </c>
      <c r="F27" s="32" t="s">
        <v>232</v>
      </c>
      <c r="G27" s="32" t="s">
        <v>233</v>
      </c>
    </row>
    <row r="28" spans="2:7" ht="15.75" customHeight="1">
      <c r="B28" s="29"/>
      <c r="C28" s="31" t="s">
        <v>130</v>
      </c>
      <c r="D28" s="32" t="s">
        <v>234</v>
      </c>
      <c r="E28" s="33" t="s">
        <v>6</v>
      </c>
      <c r="F28" s="32" t="s">
        <v>235</v>
      </c>
      <c r="G28" s="32" t="s">
        <v>236</v>
      </c>
    </row>
    <row r="29" spans="2:7" ht="108" customHeight="1">
      <c r="B29" s="29"/>
      <c r="C29" s="31" t="s">
        <v>131</v>
      </c>
      <c r="D29" s="32" t="s">
        <v>237</v>
      </c>
      <c r="E29" s="33" t="s">
        <v>238</v>
      </c>
      <c r="F29" s="32" t="s">
        <v>239</v>
      </c>
      <c r="G29" s="34" t="s">
        <v>331</v>
      </c>
    </row>
    <row r="30" spans="2:7" ht="15.75" customHeight="1">
      <c r="B30" s="29"/>
      <c r="C30" s="31" t="s">
        <v>240</v>
      </c>
      <c r="D30" s="32" t="s">
        <v>241</v>
      </c>
      <c r="E30" s="33" t="s">
        <v>238</v>
      </c>
      <c r="F30" s="32" t="s">
        <v>242</v>
      </c>
      <c r="G30" s="32" t="s">
        <v>243</v>
      </c>
    </row>
    <row r="31" spans="2:7" ht="15.75" customHeight="1">
      <c r="B31" s="29"/>
      <c r="C31" s="31" t="s">
        <v>153</v>
      </c>
      <c r="D31" s="32" t="s">
        <v>201</v>
      </c>
      <c r="E31" s="33" t="s">
        <v>147</v>
      </c>
      <c r="F31" s="32">
        <v>1.1000000000000001</v>
      </c>
      <c r="G31" s="66" t="s">
        <v>414</v>
      </c>
    </row>
    <row r="32" spans="2:7" ht="15.75" customHeight="1">
      <c r="B32" s="29"/>
      <c r="C32" s="29"/>
      <c r="D32" s="30"/>
      <c r="E32" s="30"/>
      <c r="F32" s="30"/>
      <c r="G32" s="30"/>
    </row>
    <row r="33" spans="2:7" ht="15.75" customHeight="1">
      <c r="B33" s="29" t="s">
        <v>244</v>
      </c>
      <c r="C33" s="30"/>
      <c r="D33" s="30"/>
      <c r="E33" s="30"/>
      <c r="F33" s="30"/>
      <c r="G33" s="30"/>
    </row>
    <row r="34" spans="2:7" ht="15.75" customHeight="1">
      <c r="B34" s="29"/>
      <c r="C34" s="41" t="s">
        <v>1</v>
      </c>
      <c r="D34" s="41" t="s">
        <v>2</v>
      </c>
      <c r="E34" s="41" t="s">
        <v>230</v>
      </c>
      <c r="F34" s="41" t="s">
        <v>245</v>
      </c>
      <c r="G34" s="41" t="s">
        <v>4</v>
      </c>
    </row>
    <row r="35" spans="2:7" ht="15.75" customHeight="1">
      <c r="B35" s="29"/>
      <c r="C35" s="47" t="s">
        <v>123</v>
      </c>
      <c r="D35" s="48" t="s">
        <v>332</v>
      </c>
      <c r="E35" s="49" t="s">
        <v>6</v>
      </c>
      <c r="F35" s="32" t="s">
        <v>235</v>
      </c>
      <c r="G35" s="32" t="s">
        <v>236</v>
      </c>
    </row>
    <row r="36" spans="2:7" ht="15.75" customHeight="1">
      <c r="B36" s="29"/>
      <c r="C36" s="47" t="s">
        <v>124</v>
      </c>
      <c r="D36" s="48" t="s">
        <v>333</v>
      </c>
      <c r="E36" s="49" t="s">
        <v>14</v>
      </c>
      <c r="F36" s="32">
        <v>0</v>
      </c>
      <c r="G36" s="32" t="s">
        <v>246</v>
      </c>
    </row>
    <row r="37" spans="2:7" ht="15.75" customHeight="1">
      <c r="B37" s="29"/>
      <c r="C37" s="47" t="s">
        <v>125</v>
      </c>
      <c r="D37" s="48" t="s">
        <v>334</v>
      </c>
      <c r="E37" s="49" t="s">
        <v>6</v>
      </c>
      <c r="F37" s="32" t="s">
        <v>247</v>
      </c>
      <c r="G37" s="32" t="s">
        <v>248</v>
      </c>
    </row>
    <row r="38" spans="2:7" ht="15.75" customHeight="1">
      <c r="B38" s="29"/>
      <c r="C38" s="47" t="s">
        <v>126</v>
      </c>
      <c r="D38" s="48" t="s">
        <v>335</v>
      </c>
      <c r="E38" s="49" t="s">
        <v>122</v>
      </c>
      <c r="F38" s="32" t="s">
        <v>249</v>
      </c>
      <c r="G38" s="32" t="s">
        <v>250</v>
      </c>
    </row>
    <row r="39" spans="2:7" ht="15.75" customHeight="1">
      <c r="B39" s="29"/>
      <c r="C39" s="47" t="s">
        <v>127</v>
      </c>
      <c r="D39" s="64" t="s">
        <v>412</v>
      </c>
      <c r="E39" s="49" t="s">
        <v>6</v>
      </c>
      <c r="F39" s="32" t="s">
        <v>251</v>
      </c>
      <c r="G39" s="65" t="s">
        <v>413</v>
      </c>
    </row>
    <row r="40" spans="2:7" ht="15.75" customHeight="1">
      <c r="B40" s="29"/>
      <c r="C40" s="47" t="s">
        <v>252</v>
      </c>
      <c r="D40" s="48" t="s">
        <v>336</v>
      </c>
      <c r="E40" s="49" t="s">
        <v>21</v>
      </c>
      <c r="F40" s="32">
        <v>0</v>
      </c>
      <c r="G40" s="66" t="s">
        <v>415</v>
      </c>
    </row>
    <row r="41" spans="2:7" ht="15.75" customHeight="1">
      <c r="B41" s="29"/>
      <c r="C41" s="30"/>
      <c r="D41" s="30"/>
      <c r="E41" s="30"/>
      <c r="F41" s="30"/>
      <c r="G41" s="30"/>
    </row>
    <row r="42" spans="2:7" ht="15">
      <c r="B42" s="40"/>
    </row>
    <row r="43" spans="2:7" ht="15">
      <c r="B43" s="40"/>
    </row>
    <row r="44" spans="2:7" ht="15">
      <c r="B44" s="40"/>
    </row>
    <row r="45" spans="2:7" ht="15">
      <c r="B45" s="40"/>
    </row>
    <row r="46" spans="2:7" ht="15">
      <c r="B46" s="40"/>
    </row>
    <row r="47" spans="2:7" ht="15">
      <c r="B47" s="40"/>
    </row>
    <row r="48" spans="2:7" ht="15">
      <c r="B48" s="40"/>
    </row>
    <row r="49" spans="2:2" ht="15">
      <c r="B49" s="40"/>
    </row>
    <row r="50" spans="2:2" ht="15">
      <c r="B50" s="40"/>
    </row>
    <row r="51" spans="2:2" ht="15">
      <c r="B51" s="40"/>
    </row>
    <row r="52" spans="2:2" ht="15">
      <c r="B52" s="40"/>
    </row>
    <row r="53" spans="2:2" ht="15">
      <c r="B53" s="40"/>
    </row>
    <row r="54" spans="2:2" ht="15">
      <c r="B54" s="40"/>
    </row>
    <row r="55" spans="2:2" ht="15">
      <c r="B55" s="40"/>
    </row>
    <row r="56" spans="2:2" ht="15">
      <c r="B56" s="40"/>
    </row>
    <row r="57" spans="2:2" ht="15">
      <c r="B57" s="40"/>
    </row>
    <row r="58" spans="2:2" ht="15">
      <c r="B58" s="40"/>
    </row>
    <row r="59" spans="2:2" ht="15">
      <c r="B59" s="40"/>
    </row>
    <row r="60" spans="2:2" ht="15">
      <c r="B60" s="40"/>
    </row>
    <row r="61" spans="2:2" ht="15">
      <c r="B61" s="40"/>
    </row>
    <row r="62" spans="2:2" ht="15">
      <c r="B62" s="40"/>
    </row>
    <row r="63" spans="2:2" ht="15">
      <c r="B63" s="40"/>
    </row>
    <row r="64" spans="2:2" ht="15">
      <c r="B64" s="40"/>
    </row>
    <row r="65" spans="2:2" ht="15">
      <c r="B65" s="40"/>
    </row>
    <row r="66" spans="2:2" ht="15">
      <c r="B66" s="40"/>
    </row>
    <row r="67" spans="2:2" ht="15">
      <c r="B67" s="40"/>
    </row>
    <row r="68" spans="2:2" ht="15">
      <c r="B68" s="40"/>
    </row>
    <row r="69" spans="2:2" ht="15">
      <c r="B69" s="40"/>
    </row>
    <row r="70" spans="2:2" ht="15">
      <c r="B70" s="40"/>
    </row>
    <row r="71" spans="2:2" ht="15">
      <c r="B71" s="40"/>
    </row>
    <row r="72" spans="2:2" ht="15">
      <c r="B72" s="40"/>
    </row>
    <row r="73" spans="2:2" ht="15">
      <c r="B73" s="40"/>
    </row>
    <row r="74" spans="2:2" ht="15">
      <c r="B74" s="40"/>
    </row>
    <row r="75" spans="2:2" ht="15">
      <c r="B75" s="40"/>
    </row>
    <row r="76" spans="2:2" ht="15">
      <c r="B76" s="40"/>
    </row>
    <row r="77" spans="2:2" ht="15">
      <c r="B77" s="40"/>
    </row>
    <row r="78" spans="2:2" ht="15">
      <c r="B78" s="40"/>
    </row>
    <row r="79" spans="2:2" ht="15">
      <c r="B79" s="40"/>
    </row>
    <row r="80" spans="2:2" ht="15">
      <c r="B80" s="40"/>
    </row>
    <row r="81" spans="2:2" ht="15">
      <c r="B81" s="40"/>
    </row>
    <row r="82" spans="2:2" ht="15">
      <c r="B82" s="40"/>
    </row>
    <row r="83" spans="2:2" ht="15">
      <c r="B83" s="40"/>
    </row>
    <row r="84" spans="2:2" ht="15">
      <c r="B84" s="40"/>
    </row>
    <row r="85" spans="2:2" ht="15">
      <c r="B85" s="40"/>
    </row>
    <row r="86" spans="2:2" ht="15">
      <c r="B86" s="40"/>
    </row>
    <row r="87" spans="2:2" ht="15">
      <c r="B87" s="40"/>
    </row>
    <row r="88" spans="2:2" ht="15">
      <c r="B88" s="40"/>
    </row>
    <row r="89" spans="2:2" ht="15">
      <c r="B89" s="40"/>
    </row>
    <row r="90" spans="2:2" ht="15">
      <c r="B90" s="40"/>
    </row>
    <row r="91" spans="2:2" ht="15">
      <c r="B91" s="40"/>
    </row>
    <row r="92" spans="2:2" ht="15">
      <c r="B92" s="40"/>
    </row>
    <row r="93" spans="2:2" ht="15">
      <c r="B93" s="40"/>
    </row>
    <row r="94" spans="2:2" ht="15">
      <c r="B94" s="40"/>
    </row>
    <row r="95" spans="2:2" ht="15">
      <c r="B95" s="40"/>
    </row>
    <row r="96" spans="2:2" ht="15">
      <c r="B96" s="40"/>
    </row>
    <row r="97" spans="2:2" ht="15">
      <c r="B97" s="40"/>
    </row>
    <row r="98" spans="2:2" ht="15">
      <c r="B98" s="40"/>
    </row>
    <row r="99" spans="2:2" ht="15">
      <c r="B99" s="40"/>
    </row>
    <row r="100" spans="2:2" ht="15">
      <c r="B100" s="40"/>
    </row>
    <row r="101" spans="2:2" ht="15">
      <c r="B101" s="40"/>
    </row>
    <row r="102" spans="2:2" ht="15">
      <c r="B102" s="40"/>
    </row>
    <row r="103" spans="2:2" ht="15">
      <c r="B103" s="40"/>
    </row>
    <row r="104" spans="2:2" ht="15">
      <c r="B104" s="40"/>
    </row>
    <row r="105" spans="2:2" ht="15">
      <c r="B105" s="40"/>
    </row>
    <row r="106" spans="2:2" ht="15">
      <c r="B106" s="40"/>
    </row>
    <row r="107" spans="2:2" ht="15">
      <c r="B107" s="40"/>
    </row>
    <row r="108" spans="2:2" ht="15">
      <c r="B108" s="40"/>
    </row>
    <row r="109" spans="2:2" ht="15">
      <c r="B109" s="40"/>
    </row>
    <row r="110" spans="2:2" ht="15">
      <c r="B110" s="40"/>
    </row>
    <row r="111" spans="2:2" ht="15">
      <c r="B111" s="40"/>
    </row>
    <row r="112" spans="2:2" ht="15">
      <c r="B112" s="40"/>
    </row>
    <row r="113" spans="2:2" ht="15">
      <c r="B113" s="40"/>
    </row>
    <row r="114" spans="2:2" ht="15">
      <c r="B114" s="40"/>
    </row>
    <row r="115" spans="2:2" ht="15">
      <c r="B115" s="40"/>
    </row>
    <row r="116" spans="2:2" ht="15">
      <c r="B116" s="40"/>
    </row>
    <row r="117" spans="2:2" ht="15">
      <c r="B117" s="40"/>
    </row>
    <row r="118" spans="2:2" ht="15">
      <c r="B118" s="40"/>
    </row>
    <row r="119" spans="2:2" ht="15">
      <c r="B119" s="40"/>
    </row>
    <row r="120" spans="2:2" ht="15">
      <c r="B120" s="40"/>
    </row>
    <row r="121" spans="2:2" ht="15">
      <c r="B121" s="40"/>
    </row>
    <row r="122" spans="2:2" ht="15">
      <c r="B122" s="40"/>
    </row>
    <row r="123" spans="2:2" ht="15">
      <c r="B123" s="40"/>
    </row>
    <row r="124" spans="2:2" ht="15">
      <c r="B124" s="40"/>
    </row>
    <row r="125" spans="2:2" ht="15">
      <c r="B125" s="40"/>
    </row>
    <row r="126" spans="2:2" ht="15">
      <c r="B126" s="40"/>
    </row>
    <row r="127" spans="2:2" ht="15">
      <c r="B127" s="40"/>
    </row>
    <row r="128" spans="2:2" ht="15">
      <c r="B128" s="40"/>
    </row>
    <row r="129" spans="2:2" ht="15">
      <c r="B129" s="40"/>
    </row>
    <row r="130" spans="2:2" ht="15">
      <c r="B130" s="40"/>
    </row>
    <row r="131" spans="2:2" ht="15">
      <c r="B131" s="40"/>
    </row>
    <row r="132" spans="2:2" ht="15">
      <c r="B132" s="40"/>
    </row>
    <row r="133" spans="2:2" ht="15">
      <c r="B133" s="40"/>
    </row>
    <row r="134" spans="2:2" ht="15">
      <c r="B134" s="40"/>
    </row>
    <row r="135" spans="2:2" ht="15">
      <c r="B135" s="40"/>
    </row>
    <row r="136" spans="2:2" ht="15">
      <c r="B136" s="40"/>
    </row>
    <row r="137" spans="2:2" ht="15">
      <c r="B137" s="40"/>
    </row>
    <row r="138" spans="2:2" ht="15">
      <c r="B138" s="40"/>
    </row>
    <row r="139" spans="2:2" ht="15">
      <c r="B139" s="40"/>
    </row>
    <row r="140" spans="2:2" ht="15">
      <c r="B140" s="40"/>
    </row>
    <row r="141" spans="2:2" ht="15">
      <c r="B141" s="40"/>
    </row>
    <row r="142" spans="2:2" ht="15">
      <c r="B142" s="40"/>
    </row>
    <row r="143" spans="2:2" ht="15">
      <c r="B143" s="40"/>
    </row>
    <row r="144" spans="2:2" ht="15">
      <c r="B144" s="40"/>
    </row>
    <row r="145" spans="2:2" ht="15">
      <c r="B145" s="40"/>
    </row>
    <row r="146" spans="2:2" ht="15">
      <c r="B146" s="40"/>
    </row>
    <row r="147" spans="2:2" ht="15">
      <c r="B147" s="40"/>
    </row>
    <row r="148" spans="2:2" ht="15">
      <c r="B148" s="40"/>
    </row>
    <row r="149" spans="2:2" ht="15">
      <c r="B149" s="40"/>
    </row>
    <row r="150" spans="2:2" ht="15">
      <c r="B150" s="40"/>
    </row>
    <row r="151" spans="2:2" ht="15">
      <c r="B151" s="40"/>
    </row>
    <row r="152" spans="2:2" ht="15">
      <c r="B152" s="40"/>
    </row>
    <row r="153" spans="2:2" ht="15">
      <c r="B153" s="40"/>
    </row>
    <row r="154" spans="2:2" ht="15">
      <c r="B154" s="40"/>
    </row>
    <row r="155" spans="2:2" ht="15">
      <c r="B155" s="40"/>
    </row>
    <row r="156" spans="2:2" ht="15">
      <c r="B156" s="40"/>
    </row>
    <row r="157" spans="2:2" ht="15">
      <c r="B157" s="40"/>
    </row>
    <row r="158" spans="2:2" ht="15">
      <c r="B158" s="40"/>
    </row>
    <row r="159" spans="2:2" ht="15">
      <c r="B159" s="40"/>
    </row>
    <row r="160" spans="2:2" ht="15">
      <c r="B160" s="40"/>
    </row>
    <row r="161" spans="2:2" ht="15">
      <c r="B161" s="40"/>
    </row>
    <row r="162" spans="2:2" ht="15">
      <c r="B162" s="40"/>
    </row>
    <row r="163" spans="2:2" ht="15">
      <c r="B163" s="40"/>
    </row>
    <row r="164" spans="2:2" ht="15">
      <c r="B164" s="40"/>
    </row>
    <row r="165" spans="2:2" ht="15">
      <c r="B165" s="40"/>
    </row>
    <row r="166" spans="2:2" ht="15">
      <c r="B166" s="40"/>
    </row>
    <row r="167" spans="2:2" ht="15">
      <c r="B167" s="40"/>
    </row>
    <row r="168" spans="2:2" ht="15">
      <c r="B168" s="40"/>
    </row>
    <row r="169" spans="2:2" ht="15">
      <c r="B169" s="40"/>
    </row>
    <row r="170" spans="2:2" ht="15">
      <c r="B170" s="40"/>
    </row>
    <row r="171" spans="2:2" ht="15">
      <c r="B171" s="40"/>
    </row>
    <row r="172" spans="2:2" ht="15">
      <c r="B172" s="40"/>
    </row>
    <row r="173" spans="2:2" ht="15">
      <c r="B173" s="40"/>
    </row>
    <row r="174" spans="2:2" ht="15">
      <c r="B174" s="40"/>
    </row>
    <row r="175" spans="2:2" ht="15">
      <c r="B175" s="40"/>
    </row>
    <row r="176" spans="2:2" ht="15">
      <c r="B176" s="40"/>
    </row>
    <row r="177" spans="2:2" ht="15">
      <c r="B177" s="40"/>
    </row>
    <row r="178" spans="2:2" ht="15">
      <c r="B178" s="40"/>
    </row>
    <row r="179" spans="2:2" ht="15">
      <c r="B179" s="40"/>
    </row>
    <row r="180" spans="2:2" ht="15">
      <c r="B180" s="40"/>
    </row>
    <row r="181" spans="2:2" ht="15">
      <c r="B181" s="40"/>
    </row>
    <row r="182" spans="2:2" ht="15">
      <c r="B182" s="40"/>
    </row>
    <row r="183" spans="2:2" ht="15">
      <c r="B183" s="40"/>
    </row>
    <row r="184" spans="2:2" ht="15">
      <c r="B184" s="40"/>
    </row>
    <row r="185" spans="2:2" ht="15">
      <c r="B185" s="40"/>
    </row>
    <row r="186" spans="2:2" ht="15">
      <c r="B186" s="40"/>
    </row>
    <row r="187" spans="2:2" ht="15">
      <c r="B187" s="40"/>
    </row>
    <row r="188" spans="2:2" ht="15">
      <c r="B188" s="40"/>
    </row>
    <row r="189" spans="2:2" ht="15">
      <c r="B189" s="40"/>
    </row>
    <row r="190" spans="2:2" ht="15">
      <c r="B190" s="40"/>
    </row>
    <row r="191" spans="2:2" ht="15">
      <c r="B191" s="40"/>
    </row>
    <row r="192" spans="2:2" ht="15">
      <c r="B192" s="40"/>
    </row>
    <row r="193" spans="2:2" ht="15">
      <c r="B193" s="40"/>
    </row>
    <row r="194" spans="2:2" ht="15">
      <c r="B194" s="40"/>
    </row>
    <row r="195" spans="2:2" ht="15">
      <c r="B195" s="40"/>
    </row>
    <row r="196" spans="2:2" ht="15">
      <c r="B196" s="40"/>
    </row>
    <row r="197" spans="2:2" ht="15">
      <c r="B197" s="40"/>
    </row>
    <row r="198" spans="2:2" ht="15">
      <c r="B198" s="40"/>
    </row>
    <row r="199" spans="2:2" ht="15">
      <c r="B199" s="40"/>
    </row>
    <row r="200" spans="2:2" ht="15">
      <c r="B200" s="40"/>
    </row>
    <row r="201" spans="2:2" ht="15">
      <c r="B201" s="40"/>
    </row>
    <row r="202" spans="2:2" ht="15">
      <c r="B202" s="40"/>
    </row>
    <row r="203" spans="2:2" ht="15">
      <c r="B203" s="40"/>
    </row>
    <row r="204" spans="2:2" ht="15">
      <c r="B204" s="40"/>
    </row>
    <row r="205" spans="2:2" ht="15">
      <c r="B205" s="40"/>
    </row>
    <row r="206" spans="2:2" ht="15">
      <c r="B206" s="40"/>
    </row>
    <row r="207" spans="2:2" ht="15">
      <c r="B207" s="40"/>
    </row>
    <row r="208" spans="2:2" ht="15">
      <c r="B208" s="40"/>
    </row>
    <row r="209" spans="2:2" ht="15">
      <c r="B209" s="40"/>
    </row>
    <row r="210" spans="2:2" ht="15">
      <c r="B210" s="40"/>
    </row>
    <row r="211" spans="2:2" ht="15">
      <c r="B211" s="40"/>
    </row>
    <row r="212" spans="2:2" ht="15">
      <c r="B212" s="40"/>
    </row>
    <row r="213" spans="2:2" ht="15">
      <c r="B213" s="40"/>
    </row>
    <row r="214" spans="2:2" ht="15">
      <c r="B214" s="40"/>
    </row>
    <row r="215" spans="2:2" ht="15">
      <c r="B215" s="40"/>
    </row>
    <row r="216" spans="2:2" ht="15">
      <c r="B216" s="40"/>
    </row>
    <row r="217" spans="2:2" ht="15">
      <c r="B217" s="40"/>
    </row>
    <row r="218" spans="2:2" ht="15">
      <c r="B218" s="40"/>
    </row>
    <row r="219" spans="2:2" ht="15">
      <c r="B219" s="40"/>
    </row>
    <row r="220" spans="2:2" ht="15">
      <c r="B220" s="40"/>
    </row>
    <row r="221" spans="2:2" ht="15">
      <c r="B221" s="40"/>
    </row>
    <row r="222" spans="2:2" ht="15">
      <c r="B222" s="40"/>
    </row>
    <row r="223" spans="2:2" ht="15">
      <c r="B223" s="40"/>
    </row>
    <row r="224" spans="2:2" ht="15">
      <c r="B224" s="40"/>
    </row>
    <row r="225" spans="2:2" ht="15">
      <c r="B225" s="40"/>
    </row>
    <row r="226" spans="2:2" ht="15">
      <c r="B226" s="40"/>
    </row>
    <row r="227" spans="2:2" ht="15">
      <c r="B227" s="40"/>
    </row>
    <row r="228" spans="2:2" ht="15">
      <c r="B228" s="40"/>
    </row>
    <row r="229" spans="2:2" ht="15">
      <c r="B229" s="40"/>
    </row>
    <row r="230" spans="2:2" ht="15">
      <c r="B230" s="40"/>
    </row>
    <row r="231" spans="2:2" ht="15">
      <c r="B231" s="40"/>
    </row>
    <row r="232" spans="2:2" ht="15">
      <c r="B232" s="40"/>
    </row>
    <row r="233" spans="2:2" ht="15">
      <c r="B233" s="40"/>
    </row>
    <row r="234" spans="2:2" ht="15">
      <c r="B234" s="40"/>
    </row>
    <row r="235" spans="2:2" ht="15">
      <c r="B235" s="40"/>
    </row>
    <row r="236" spans="2:2" ht="15">
      <c r="B236" s="40"/>
    </row>
    <row r="237" spans="2:2" ht="15">
      <c r="B237" s="40"/>
    </row>
    <row r="238" spans="2:2" ht="15">
      <c r="B238" s="40"/>
    </row>
    <row r="239" spans="2:2" ht="15">
      <c r="B239" s="40"/>
    </row>
    <row r="240" spans="2:2" ht="15">
      <c r="B240" s="40"/>
    </row>
    <row r="241" spans="2:2" ht="15">
      <c r="B241" s="40"/>
    </row>
    <row r="242" spans="2:2" ht="15">
      <c r="B242" s="40"/>
    </row>
    <row r="243" spans="2:2" ht="15">
      <c r="B243" s="40"/>
    </row>
    <row r="244" spans="2:2" ht="15">
      <c r="B244" s="40"/>
    </row>
    <row r="245" spans="2:2" ht="15">
      <c r="B245" s="40"/>
    </row>
    <row r="246" spans="2:2" ht="15">
      <c r="B246" s="40"/>
    </row>
    <row r="247" spans="2:2" ht="15">
      <c r="B247" s="40"/>
    </row>
    <row r="248" spans="2:2" ht="15">
      <c r="B248" s="40"/>
    </row>
    <row r="249" spans="2:2" ht="15">
      <c r="B249" s="40"/>
    </row>
    <row r="250" spans="2:2" ht="15">
      <c r="B250" s="40"/>
    </row>
    <row r="251" spans="2:2" ht="15">
      <c r="B251" s="40"/>
    </row>
    <row r="252" spans="2:2" ht="15">
      <c r="B252" s="40"/>
    </row>
    <row r="253" spans="2:2" ht="15">
      <c r="B253" s="40"/>
    </row>
    <row r="254" spans="2:2" ht="15">
      <c r="B254" s="40"/>
    </row>
    <row r="255" spans="2:2" ht="15">
      <c r="B255" s="40"/>
    </row>
    <row r="256" spans="2:2" ht="15">
      <c r="B256" s="40"/>
    </row>
    <row r="257" spans="2:2" ht="15">
      <c r="B257" s="40"/>
    </row>
    <row r="258" spans="2:2" ht="15">
      <c r="B258" s="40"/>
    </row>
    <row r="259" spans="2:2" ht="15">
      <c r="B259" s="40"/>
    </row>
    <row r="260" spans="2:2" ht="15">
      <c r="B260" s="40"/>
    </row>
    <row r="261" spans="2:2" ht="15">
      <c r="B261" s="40"/>
    </row>
    <row r="262" spans="2:2" ht="15">
      <c r="B262" s="40"/>
    </row>
    <row r="263" spans="2:2" ht="15">
      <c r="B263" s="40"/>
    </row>
    <row r="264" spans="2:2" ht="15">
      <c r="B264" s="40"/>
    </row>
    <row r="265" spans="2:2" ht="15">
      <c r="B265" s="40"/>
    </row>
    <row r="266" spans="2:2" ht="15">
      <c r="B266" s="40"/>
    </row>
    <row r="267" spans="2:2" ht="15">
      <c r="B267" s="40"/>
    </row>
    <row r="268" spans="2:2" ht="15">
      <c r="B268" s="40"/>
    </row>
    <row r="269" spans="2:2" ht="15">
      <c r="B269" s="40"/>
    </row>
    <row r="270" spans="2:2" ht="15">
      <c r="B270" s="40"/>
    </row>
    <row r="271" spans="2:2" ht="15">
      <c r="B271" s="40"/>
    </row>
    <row r="272" spans="2:2" ht="15">
      <c r="B272" s="40"/>
    </row>
    <row r="273" spans="2:2" ht="15">
      <c r="B273" s="40"/>
    </row>
    <row r="274" spans="2:2" ht="15">
      <c r="B274" s="40"/>
    </row>
    <row r="275" spans="2:2" ht="15">
      <c r="B275" s="40"/>
    </row>
    <row r="276" spans="2:2" ht="15">
      <c r="B276" s="40"/>
    </row>
    <row r="277" spans="2:2" ht="15">
      <c r="B277" s="40"/>
    </row>
    <row r="278" spans="2:2" ht="15">
      <c r="B278" s="40"/>
    </row>
    <row r="279" spans="2:2" ht="15">
      <c r="B279" s="40"/>
    </row>
    <row r="280" spans="2:2" ht="15">
      <c r="B280" s="40"/>
    </row>
    <row r="281" spans="2:2" ht="15">
      <c r="B281" s="40"/>
    </row>
    <row r="282" spans="2:2" ht="15">
      <c r="B282" s="40"/>
    </row>
    <row r="283" spans="2:2" ht="15">
      <c r="B283" s="40"/>
    </row>
    <row r="284" spans="2:2" ht="15">
      <c r="B284" s="40"/>
    </row>
    <row r="285" spans="2:2" ht="15">
      <c r="B285" s="40"/>
    </row>
    <row r="286" spans="2:2" ht="15">
      <c r="B286" s="40"/>
    </row>
    <row r="287" spans="2:2" ht="15">
      <c r="B287" s="40"/>
    </row>
    <row r="288" spans="2:2" ht="15">
      <c r="B288" s="40"/>
    </row>
    <row r="289" spans="2:2" ht="15">
      <c r="B289" s="40"/>
    </row>
    <row r="290" spans="2:2" ht="15">
      <c r="B290" s="40"/>
    </row>
    <row r="291" spans="2:2" ht="15">
      <c r="B291" s="40"/>
    </row>
    <row r="292" spans="2:2" ht="15">
      <c r="B292" s="40"/>
    </row>
    <row r="293" spans="2:2" ht="15">
      <c r="B293" s="40"/>
    </row>
    <row r="294" spans="2:2" ht="15">
      <c r="B294" s="40"/>
    </row>
    <row r="295" spans="2:2" ht="15">
      <c r="B295" s="40"/>
    </row>
    <row r="296" spans="2:2" ht="15">
      <c r="B296" s="40"/>
    </row>
    <row r="297" spans="2:2" ht="15">
      <c r="B297" s="40"/>
    </row>
    <row r="298" spans="2:2" ht="15">
      <c r="B298" s="40"/>
    </row>
    <row r="299" spans="2:2" ht="15">
      <c r="B299" s="40"/>
    </row>
    <row r="300" spans="2:2" ht="15">
      <c r="B300" s="40"/>
    </row>
    <row r="301" spans="2:2" ht="15">
      <c r="B301" s="40"/>
    </row>
    <row r="302" spans="2:2" ht="15">
      <c r="B302" s="40"/>
    </row>
    <row r="303" spans="2:2" ht="15">
      <c r="B303" s="40"/>
    </row>
    <row r="304" spans="2:2" ht="15">
      <c r="B304" s="40"/>
    </row>
    <row r="305" spans="2:2" ht="15">
      <c r="B305" s="40"/>
    </row>
    <row r="306" spans="2:2" ht="15">
      <c r="B306" s="40"/>
    </row>
    <row r="307" spans="2:2" ht="15">
      <c r="B307" s="40"/>
    </row>
    <row r="308" spans="2:2" ht="15">
      <c r="B308" s="40"/>
    </row>
    <row r="309" spans="2:2" ht="15">
      <c r="B309" s="40"/>
    </row>
    <row r="310" spans="2:2" ht="15">
      <c r="B310" s="40"/>
    </row>
    <row r="311" spans="2:2" ht="15">
      <c r="B311" s="40"/>
    </row>
    <row r="312" spans="2:2" ht="15">
      <c r="B312" s="40"/>
    </row>
    <row r="313" spans="2:2" ht="15">
      <c r="B313" s="40"/>
    </row>
    <row r="314" spans="2:2" ht="15">
      <c r="B314" s="40"/>
    </row>
    <row r="315" spans="2:2" ht="15">
      <c r="B315" s="40"/>
    </row>
    <row r="316" spans="2:2" ht="15">
      <c r="B316" s="40"/>
    </row>
    <row r="317" spans="2:2" ht="15">
      <c r="B317" s="40"/>
    </row>
    <row r="318" spans="2:2" ht="15">
      <c r="B318" s="40"/>
    </row>
    <row r="319" spans="2:2" ht="15">
      <c r="B319" s="40"/>
    </row>
    <row r="320" spans="2:2" ht="15">
      <c r="B320" s="40"/>
    </row>
    <row r="321" spans="2:2" ht="15">
      <c r="B321" s="40"/>
    </row>
    <row r="322" spans="2:2" ht="15">
      <c r="B322" s="40"/>
    </row>
    <row r="323" spans="2:2" ht="15">
      <c r="B323" s="40"/>
    </row>
    <row r="324" spans="2:2" ht="15">
      <c r="B324" s="40"/>
    </row>
    <row r="325" spans="2:2" ht="15">
      <c r="B325" s="40"/>
    </row>
    <row r="326" spans="2:2" ht="15">
      <c r="B326" s="40"/>
    </row>
    <row r="327" spans="2:2" ht="15">
      <c r="B327" s="40"/>
    </row>
    <row r="328" spans="2:2" ht="15">
      <c r="B328" s="40"/>
    </row>
    <row r="329" spans="2:2" ht="15">
      <c r="B329" s="40"/>
    </row>
    <row r="330" spans="2:2" ht="15">
      <c r="B330" s="40"/>
    </row>
    <row r="331" spans="2:2" ht="15">
      <c r="B331" s="40"/>
    </row>
    <row r="332" spans="2:2" ht="15">
      <c r="B332" s="40"/>
    </row>
    <row r="333" spans="2:2" ht="15">
      <c r="B333" s="40"/>
    </row>
    <row r="334" spans="2:2" ht="15">
      <c r="B334" s="40"/>
    </row>
    <row r="335" spans="2:2" ht="15">
      <c r="B335" s="40"/>
    </row>
    <row r="336" spans="2:2" ht="15">
      <c r="B336" s="40"/>
    </row>
    <row r="337" spans="2:2" ht="15">
      <c r="B337" s="40"/>
    </row>
    <row r="338" spans="2:2" ht="15">
      <c r="B338" s="40"/>
    </row>
    <row r="339" spans="2:2" ht="15">
      <c r="B339" s="40"/>
    </row>
    <row r="340" spans="2:2" ht="15">
      <c r="B340" s="40"/>
    </row>
    <row r="341" spans="2:2" ht="15">
      <c r="B341" s="40"/>
    </row>
    <row r="342" spans="2:2" ht="15">
      <c r="B342" s="40"/>
    </row>
    <row r="343" spans="2:2" ht="15">
      <c r="B343" s="40"/>
    </row>
    <row r="344" spans="2:2" ht="15">
      <c r="B344" s="40"/>
    </row>
    <row r="345" spans="2:2" ht="15">
      <c r="B345" s="40"/>
    </row>
    <row r="346" spans="2:2" ht="15">
      <c r="B346" s="40"/>
    </row>
    <row r="347" spans="2:2" ht="15">
      <c r="B347" s="40"/>
    </row>
    <row r="348" spans="2:2" ht="15">
      <c r="B348" s="40"/>
    </row>
    <row r="349" spans="2:2" ht="15">
      <c r="B349" s="40"/>
    </row>
    <row r="350" spans="2:2" ht="15">
      <c r="B350" s="40"/>
    </row>
    <row r="351" spans="2:2" ht="15">
      <c r="B351" s="40"/>
    </row>
    <row r="352" spans="2:2" ht="15">
      <c r="B352" s="40"/>
    </row>
    <row r="353" spans="2:2" ht="15">
      <c r="B353" s="40"/>
    </row>
    <row r="354" spans="2:2" ht="15">
      <c r="B354" s="40"/>
    </row>
    <row r="355" spans="2:2" ht="15">
      <c r="B355" s="40"/>
    </row>
    <row r="356" spans="2:2" ht="15">
      <c r="B356" s="40"/>
    </row>
    <row r="357" spans="2:2" ht="15">
      <c r="B357" s="40"/>
    </row>
    <row r="358" spans="2:2" ht="15">
      <c r="B358" s="40"/>
    </row>
    <row r="359" spans="2:2" ht="15">
      <c r="B359" s="40"/>
    </row>
    <row r="360" spans="2:2" ht="15">
      <c r="B360" s="40"/>
    </row>
    <row r="361" spans="2:2" ht="15">
      <c r="B361" s="40"/>
    </row>
    <row r="362" spans="2:2" ht="15">
      <c r="B362" s="40"/>
    </row>
    <row r="363" spans="2:2" ht="15">
      <c r="B363" s="40"/>
    </row>
    <row r="364" spans="2:2" ht="15">
      <c r="B364" s="40"/>
    </row>
    <row r="365" spans="2:2" ht="15">
      <c r="B365" s="40"/>
    </row>
    <row r="366" spans="2:2" ht="15">
      <c r="B366" s="40"/>
    </row>
    <row r="367" spans="2:2" ht="15">
      <c r="B367" s="40"/>
    </row>
    <row r="368" spans="2:2" ht="15">
      <c r="B368" s="40"/>
    </row>
    <row r="369" spans="2:2" ht="15">
      <c r="B369" s="40"/>
    </row>
    <row r="370" spans="2:2" ht="15">
      <c r="B370" s="40"/>
    </row>
    <row r="371" spans="2:2" ht="15">
      <c r="B371" s="40"/>
    </row>
    <row r="372" spans="2:2" ht="15">
      <c r="B372" s="40"/>
    </row>
    <row r="373" spans="2:2" ht="15">
      <c r="B373" s="40"/>
    </row>
    <row r="374" spans="2:2" ht="15">
      <c r="B374" s="40"/>
    </row>
    <row r="375" spans="2:2" ht="15">
      <c r="B375" s="40"/>
    </row>
    <row r="376" spans="2:2" ht="15">
      <c r="B376" s="40"/>
    </row>
    <row r="377" spans="2:2" ht="15">
      <c r="B377" s="40"/>
    </row>
    <row r="378" spans="2:2" ht="15">
      <c r="B378" s="40"/>
    </row>
    <row r="379" spans="2:2" ht="15">
      <c r="B379" s="40"/>
    </row>
    <row r="380" spans="2:2" ht="15">
      <c r="B380" s="40"/>
    </row>
    <row r="381" spans="2:2" ht="15">
      <c r="B381" s="40"/>
    </row>
    <row r="382" spans="2:2" ht="15">
      <c r="B382" s="40"/>
    </row>
    <row r="383" spans="2:2" ht="15">
      <c r="B383" s="40"/>
    </row>
    <row r="384" spans="2:2" ht="15">
      <c r="B384" s="40"/>
    </row>
    <row r="385" spans="2:2" ht="15">
      <c r="B385" s="40"/>
    </row>
    <row r="386" spans="2:2" ht="15">
      <c r="B386" s="40"/>
    </row>
    <row r="387" spans="2:2" ht="15">
      <c r="B387" s="40"/>
    </row>
    <row r="388" spans="2:2" ht="15">
      <c r="B388" s="40"/>
    </row>
    <row r="389" spans="2:2" ht="15">
      <c r="B389" s="40"/>
    </row>
    <row r="390" spans="2:2" ht="15">
      <c r="B390" s="40"/>
    </row>
    <row r="391" spans="2:2" ht="15">
      <c r="B391" s="40"/>
    </row>
    <row r="392" spans="2:2" ht="15">
      <c r="B392" s="40"/>
    </row>
    <row r="393" spans="2:2" ht="15">
      <c r="B393" s="40"/>
    </row>
    <row r="394" spans="2:2" ht="15">
      <c r="B394" s="40"/>
    </row>
    <row r="395" spans="2:2" ht="15">
      <c r="B395" s="40"/>
    </row>
    <row r="396" spans="2:2" ht="15">
      <c r="B396" s="40"/>
    </row>
    <row r="397" spans="2:2" ht="15">
      <c r="B397" s="40"/>
    </row>
    <row r="398" spans="2:2" ht="15">
      <c r="B398" s="40"/>
    </row>
    <row r="399" spans="2:2" ht="15">
      <c r="B399" s="40"/>
    </row>
    <row r="400" spans="2:2" ht="15">
      <c r="B400" s="40"/>
    </row>
    <row r="401" spans="2:2" ht="15">
      <c r="B401" s="40"/>
    </row>
    <row r="402" spans="2:2" ht="15">
      <c r="B402" s="40"/>
    </row>
    <row r="403" spans="2:2" ht="15">
      <c r="B403" s="40"/>
    </row>
    <row r="404" spans="2:2" ht="15">
      <c r="B404" s="40"/>
    </row>
    <row r="405" spans="2:2" ht="15">
      <c r="B405" s="40"/>
    </row>
    <row r="406" spans="2:2" ht="15">
      <c r="B406" s="40"/>
    </row>
    <row r="407" spans="2:2" ht="15">
      <c r="B407" s="40"/>
    </row>
    <row r="408" spans="2:2" ht="15">
      <c r="B408" s="40"/>
    </row>
    <row r="409" spans="2:2" ht="15">
      <c r="B409" s="40"/>
    </row>
    <row r="410" spans="2:2" ht="15">
      <c r="B410" s="40"/>
    </row>
    <row r="411" spans="2:2" ht="15">
      <c r="B411" s="40"/>
    </row>
    <row r="412" spans="2:2" ht="15">
      <c r="B412" s="40"/>
    </row>
    <row r="413" spans="2:2" ht="15">
      <c r="B413" s="40"/>
    </row>
    <row r="414" spans="2:2" ht="15">
      <c r="B414" s="40"/>
    </row>
    <row r="415" spans="2:2" ht="15">
      <c r="B415" s="40"/>
    </row>
    <row r="416" spans="2:2" ht="15">
      <c r="B416" s="40"/>
    </row>
    <row r="417" spans="2:2" ht="15">
      <c r="B417" s="40"/>
    </row>
    <row r="418" spans="2:2" ht="15">
      <c r="B418" s="40"/>
    </row>
    <row r="419" spans="2:2" ht="15">
      <c r="B419" s="40"/>
    </row>
    <row r="420" spans="2:2" ht="15">
      <c r="B420" s="40"/>
    </row>
    <row r="421" spans="2:2" ht="15">
      <c r="B421" s="40"/>
    </row>
    <row r="422" spans="2:2" ht="15">
      <c r="B422" s="40"/>
    </row>
    <row r="423" spans="2:2" ht="15">
      <c r="B423" s="40"/>
    </row>
    <row r="424" spans="2:2" ht="15">
      <c r="B424" s="40"/>
    </row>
    <row r="425" spans="2:2" ht="15">
      <c r="B425" s="40"/>
    </row>
    <row r="426" spans="2:2" ht="15">
      <c r="B426" s="40"/>
    </row>
    <row r="427" spans="2:2" ht="15">
      <c r="B427" s="40"/>
    </row>
    <row r="428" spans="2:2" ht="15">
      <c r="B428" s="40"/>
    </row>
    <row r="429" spans="2:2" ht="15">
      <c r="B429" s="40"/>
    </row>
    <row r="430" spans="2:2" ht="15">
      <c r="B430" s="40"/>
    </row>
    <row r="431" spans="2:2" ht="15">
      <c r="B431" s="40"/>
    </row>
    <row r="432" spans="2:2" ht="15">
      <c r="B432" s="40"/>
    </row>
    <row r="433" spans="2:2" ht="15">
      <c r="B433" s="40"/>
    </row>
    <row r="434" spans="2:2" ht="15">
      <c r="B434" s="40"/>
    </row>
    <row r="435" spans="2:2" ht="15">
      <c r="B435" s="40"/>
    </row>
    <row r="436" spans="2:2" ht="15">
      <c r="B436" s="40"/>
    </row>
    <row r="437" spans="2:2" ht="15">
      <c r="B437" s="40"/>
    </row>
    <row r="438" spans="2:2" ht="15">
      <c r="B438" s="40"/>
    </row>
    <row r="439" spans="2:2" ht="15">
      <c r="B439" s="40"/>
    </row>
    <row r="440" spans="2:2" ht="15">
      <c r="B440" s="40"/>
    </row>
    <row r="441" spans="2:2" ht="15">
      <c r="B441" s="40"/>
    </row>
    <row r="442" spans="2:2" ht="15">
      <c r="B442" s="40"/>
    </row>
    <row r="443" spans="2:2" ht="15">
      <c r="B443" s="40"/>
    </row>
    <row r="444" spans="2:2" ht="15">
      <c r="B444" s="40"/>
    </row>
    <row r="445" spans="2:2" ht="15">
      <c r="B445" s="40"/>
    </row>
    <row r="446" spans="2:2" ht="15">
      <c r="B446" s="40"/>
    </row>
    <row r="447" spans="2:2" ht="15">
      <c r="B447" s="40"/>
    </row>
    <row r="448" spans="2:2" ht="15">
      <c r="B448" s="40"/>
    </row>
    <row r="449" spans="2:2" ht="15">
      <c r="B449" s="40"/>
    </row>
    <row r="450" spans="2:2" ht="15">
      <c r="B450" s="40"/>
    </row>
    <row r="451" spans="2:2" ht="15">
      <c r="B451" s="40"/>
    </row>
    <row r="452" spans="2:2" ht="15">
      <c r="B452" s="40"/>
    </row>
    <row r="453" spans="2:2" ht="15">
      <c r="B453" s="40"/>
    </row>
    <row r="454" spans="2:2" ht="15">
      <c r="B454" s="40"/>
    </row>
    <row r="455" spans="2:2" ht="15">
      <c r="B455" s="40"/>
    </row>
    <row r="456" spans="2:2" ht="15">
      <c r="B456" s="40"/>
    </row>
    <row r="457" spans="2:2" ht="15">
      <c r="B457" s="40"/>
    </row>
    <row r="458" spans="2:2" ht="15">
      <c r="B458" s="40"/>
    </row>
    <row r="459" spans="2:2" ht="15">
      <c r="B459" s="40"/>
    </row>
    <row r="460" spans="2:2" ht="15">
      <c r="B460" s="40"/>
    </row>
    <row r="461" spans="2:2" ht="15">
      <c r="B461" s="40"/>
    </row>
    <row r="462" spans="2:2" ht="15">
      <c r="B462" s="40"/>
    </row>
    <row r="463" spans="2:2" ht="15">
      <c r="B463" s="40"/>
    </row>
    <row r="464" spans="2:2" ht="15">
      <c r="B464" s="40"/>
    </row>
    <row r="465" spans="2:2" ht="15">
      <c r="B465" s="40"/>
    </row>
    <row r="466" spans="2:2" ht="15">
      <c r="B466" s="40"/>
    </row>
    <row r="467" spans="2:2" ht="15">
      <c r="B467" s="40"/>
    </row>
    <row r="468" spans="2:2" ht="15">
      <c r="B468" s="40"/>
    </row>
    <row r="469" spans="2:2" ht="15">
      <c r="B469" s="40"/>
    </row>
    <row r="470" spans="2:2" ht="15">
      <c r="B470" s="40"/>
    </row>
    <row r="471" spans="2:2" ht="15">
      <c r="B471" s="40"/>
    </row>
    <row r="472" spans="2:2" ht="15">
      <c r="B472" s="40"/>
    </row>
    <row r="473" spans="2:2" ht="15">
      <c r="B473" s="40"/>
    </row>
    <row r="474" spans="2:2" ht="15">
      <c r="B474" s="40"/>
    </row>
    <row r="475" spans="2:2" ht="15">
      <c r="B475" s="40"/>
    </row>
    <row r="476" spans="2:2" ht="15">
      <c r="B476" s="40"/>
    </row>
    <row r="477" spans="2:2" ht="15">
      <c r="B477" s="40"/>
    </row>
    <row r="478" spans="2:2" ht="15">
      <c r="B478" s="40"/>
    </row>
    <row r="479" spans="2:2" ht="15">
      <c r="B479" s="40"/>
    </row>
    <row r="480" spans="2:2" ht="15">
      <c r="B480" s="40"/>
    </row>
    <row r="481" spans="2:2" ht="15">
      <c r="B481" s="40"/>
    </row>
    <row r="482" spans="2:2" ht="15">
      <c r="B482" s="40"/>
    </row>
    <row r="483" spans="2:2" ht="15">
      <c r="B483" s="40"/>
    </row>
    <row r="484" spans="2:2" ht="15">
      <c r="B484" s="40"/>
    </row>
    <row r="485" spans="2:2" ht="15">
      <c r="B485" s="40"/>
    </row>
    <row r="486" spans="2:2" ht="15">
      <c r="B486" s="40"/>
    </row>
    <row r="487" spans="2:2" ht="15">
      <c r="B487" s="40"/>
    </row>
    <row r="488" spans="2:2" ht="15">
      <c r="B488" s="40"/>
    </row>
    <row r="489" spans="2:2" ht="15">
      <c r="B489" s="40"/>
    </row>
    <row r="490" spans="2:2" ht="15">
      <c r="B490" s="40"/>
    </row>
    <row r="491" spans="2:2" ht="15">
      <c r="B491" s="40"/>
    </row>
    <row r="492" spans="2:2" ht="15">
      <c r="B492" s="40"/>
    </row>
    <row r="493" spans="2:2" ht="15">
      <c r="B493" s="40"/>
    </row>
    <row r="494" spans="2:2" ht="15">
      <c r="B494" s="40"/>
    </row>
    <row r="495" spans="2:2" ht="15">
      <c r="B495" s="40"/>
    </row>
    <row r="496" spans="2:2" ht="15">
      <c r="B496" s="40"/>
    </row>
    <row r="497" spans="2:2" ht="15">
      <c r="B497" s="40"/>
    </row>
    <row r="498" spans="2:2" ht="15">
      <c r="B498" s="40"/>
    </row>
    <row r="499" spans="2:2" ht="15">
      <c r="B499" s="40"/>
    </row>
    <row r="500" spans="2:2" ht="15">
      <c r="B500" s="40"/>
    </row>
    <row r="501" spans="2:2" ht="15">
      <c r="B501" s="40"/>
    </row>
    <row r="502" spans="2:2" ht="15">
      <c r="B502" s="40"/>
    </row>
    <row r="503" spans="2:2" ht="15">
      <c r="B503" s="40"/>
    </row>
    <row r="504" spans="2:2" ht="15">
      <c r="B504" s="40"/>
    </row>
    <row r="505" spans="2:2" ht="15">
      <c r="B505" s="40"/>
    </row>
    <row r="506" spans="2:2" ht="15">
      <c r="B506" s="40"/>
    </row>
    <row r="507" spans="2:2" ht="15">
      <c r="B507" s="40"/>
    </row>
    <row r="508" spans="2:2" ht="15">
      <c r="B508" s="40"/>
    </row>
    <row r="509" spans="2:2" ht="15">
      <c r="B509" s="40"/>
    </row>
    <row r="510" spans="2:2" ht="15">
      <c r="B510" s="40"/>
    </row>
    <row r="511" spans="2:2" ht="15">
      <c r="B511" s="40"/>
    </row>
    <row r="512" spans="2:2" ht="15">
      <c r="B512" s="40"/>
    </row>
    <row r="513" spans="2:2" ht="15">
      <c r="B513" s="40"/>
    </row>
    <row r="514" spans="2:2" ht="15">
      <c r="B514" s="40"/>
    </row>
    <row r="515" spans="2:2" ht="15">
      <c r="B515" s="40"/>
    </row>
    <row r="516" spans="2:2" ht="15">
      <c r="B516" s="40"/>
    </row>
    <row r="517" spans="2:2" ht="15">
      <c r="B517" s="40"/>
    </row>
    <row r="518" spans="2:2" ht="15">
      <c r="B518" s="40"/>
    </row>
    <row r="519" spans="2:2" ht="15">
      <c r="B519" s="40"/>
    </row>
    <row r="520" spans="2:2" ht="15">
      <c r="B520" s="40"/>
    </row>
    <row r="521" spans="2:2" ht="15">
      <c r="B521" s="40"/>
    </row>
    <row r="522" spans="2:2" ht="15">
      <c r="B522" s="40"/>
    </row>
    <row r="523" spans="2:2" ht="15">
      <c r="B523" s="40"/>
    </row>
    <row r="524" spans="2:2" ht="15">
      <c r="B524" s="40"/>
    </row>
    <row r="525" spans="2:2" ht="15">
      <c r="B525" s="40"/>
    </row>
    <row r="526" spans="2:2" ht="15">
      <c r="B526" s="40"/>
    </row>
    <row r="527" spans="2:2" ht="15">
      <c r="B527" s="40"/>
    </row>
    <row r="528" spans="2:2" ht="15">
      <c r="B528" s="40"/>
    </row>
    <row r="529" spans="2:2" ht="15">
      <c r="B529" s="40"/>
    </row>
    <row r="530" spans="2:2" ht="15">
      <c r="B530" s="40"/>
    </row>
    <row r="531" spans="2:2" ht="15">
      <c r="B531" s="40"/>
    </row>
    <row r="532" spans="2:2" ht="15">
      <c r="B532" s="40"/>
    </row>
    <row r="533" spans="2:2" ht="15">
      <c r="B533" s="40"/>
    </row>
    <row r="534" spans="2:2" ht="15">
      <c r="B534" s="40"/>
    </row>
    <row r="535" spans="2:2" ht="15">
      <c r="B535" s="40"/>
    </row>
    <row r="536" spans="2:2" ht="15">
      <c r="B536" s="40"/>
    </row>
    <row r="537" spans="2:2" ht="15">
      <c r="B537" s="40"/>
    </row>
    <row r="538" spans="2:2" ht="15">
      <c r="B538" s="40"/>
    </row>
    <row r="539" spans="2:2" ht="15">
      <c r="B539" s="40"/>
    </row>
    <row r="540" spans="2:2" ht="15">
      <c r="B540" s="40"/>
    </row>
    <row r="541" spans="2:2" ht="15">
      <c r="B541" s="40"/>
    </row>
    <row r="542" spans="2:2" ht="15">
      <c r="B542" s="40"/>
    </row>
    <row r="543" spans="2:2" ht="15">
      <c r="B543" s="40"/>
    </row>
    <row r="544" spans="2:2" ht="15">
      <c r="B544" s="40"/>
    </row>
    <row r="545" spans="2:2" ht="15">
      <c r="B545" s="40"/>
    </row>
    <row r="546" spans="2:2" ht="15">
      <c r="B546" s="40"/>
    </row>
    <row r="547" spans="2:2" ht="15">
      <c r="B547" s="40"/>
    </row>
    <row r="548" spans="2:2" ht="15">
      <c r="B548" s="40"/>
    </row>
    <row r="549" spans="2:2" ht="15">
      <c r="B549" s="40"/>
    </row>
    <row r="550" spans="2:2" ht="15">
      <c r="B550" s="40"/>
    </row>
    <row r="551" spans="2:2" ht="15">
      <c r="B551" s="40"/>
    </row>
    <row r="552" spans="2:2" ht="15">
      <c r="B552" s="40"/>
    </row>
    <row r="553" spans="2:2" ht="15">
      <c r="B553" s="40"/>
    </row>
    <row r="554" spans="2:2" ht="15">
      <c r="B554" s="40"/>
    </row>
    <row r="555" spans="2:2" ht="15">
      <c r="B555" s="40"/>
    </row>
    <row r="556" spans="2:2" ht="15">
      <c r="B556" s="40"/>
    </row>
    <row r="557" spans="2:2" ht="15">
      <c r="B557" s="40"/>
    </row>
    <row r="558" spans="2:2" ht="15">
      <c r="B558" s="40"/>
    </row>
    <row r="559" spans="2:2" ht="15">
      <c r="B559" s="40"/>
    </row>
    <row r="560" spans="2:2" ht="15">
      <c r="B560" s="40"/>
    </row>
    <row r="561" spans="2:2" ht="15">
      <c r="B561" s="40"/>
    </row>
    <row r="562" spans="2:2" ht="15">
      <c r="B562" s="40"/>
    </row>
    <row r="563" spans="2:2" ht="15">
      <c r="B563" s="40"/>
    </row>
    <row r="564" spans="2:2" ht="15">
      <c r="B564" s="40"/>
    </row>
    <row r="565" spans="2:2" ht="15">
      <c r="B565" s="40"/>
    </row>
    <row r="566" spans="2:2" ht="15">
      <c r="B566" s="40"/>
    </row>
    <row r="567" spans="2:2" ht="15">
      <c r="B567" s="40"/>
    </row>
    <row r="568" spans="2:2" ht="15">
      <c r="B568" s="40"/>
    </row>
    <row r="569" spans="2:2" ht="15">
      <c r="B569" s="40"/>
    </row>
    <row r="570" spans="2:2" ht="15">
      <c r="B570" s="40"/>
    </row>
    <row r="571" spans="2:2" ht="15">
      <c r="B571" s="40"/>
    </row>
    <row r="572" spans="2:2" ht="15">
      <c r="B572" s="40"/>
    </row>
    <row r="573" spans="2:2" ht="15">
      <c r="B573" s="40"/>
    </row>
    <row r="574" spans="2:2" ht="15">
      <c r="B574" s="40"/>
    </row>
    <row r="575" spans="2:2" ht="15">
      <c r="B575" s="40"/>
    </row>
    <row r="576" spans="2:2" ht="15">
      <c r="B576" s="40"/>
    </row>
    <row r="577" spans="2:2" ht="15">
      <c r="B577" s="40"/>
    </row>
    <row r="578" spans="2:2" ht="15">
      <c r="B578" s="40"/>
    </row>
    <row r="579" spans="2:2" ht="15">
      <c r="B579" s="40"/>
    </row>
    <row r="580" spans="2:2" ht="15">
      <c r="B580" s="40"/>
    </row>
    <row r="581" spans="2:2" ht="15">
      <c r="B581" s="40"/>
    </row>
    <row r="582" spans="2:2" ht="15">
      <c r="B582" s="40"/>
    </row>
    <row r="583" spans="2:2" ht="15">
      <c r="B583" s="40"/>
    </row>
    <row r="584" spans="2:2" ht="15">
      <c r="B584" s="40"/>
    </row>
    <row r="585" spans="2:2" ht="15">
      <c r="B585" s="40"/>
    </row>
    <row r="586" spans="2:2" ht="15">
      <c r="B586" s="40"/>
    </row>
    <row r="587" spans="2:2" ht="15">
      <c r="B587" s="40"/>
    </row>
    <row r="588" spans="2:2" ht="15">
      <c r="B588" s="40"/>
    </row>
    <row r="589" spans="2:2" ht="15">
      <c r="B589" s="40"/>
    </row>
    <row r="590" spans="2:2" ht="15">
      <c r="B590" s="40"/>
    </row>
    <row r="591" spans="2:2" ht="15">
      <c r="B591" s="40"/>
    </row>
    <row r="592" spans="2:2" ht="15">
      <c r="B592" s="40"/>
    </row>
    <row r="593" spans="2:2" ht="15">
      <c r="B593" s="40"/>
    </row>
    <row r="594" spans="2:2" ht="15">
      <c r="B594" s="40"/>
    </row>
    <row r="595" spans="2:2" ht="15">
      <c r="B595" s="40"/>
    </row>
    <row r="596" spans="2:2" ht="15">
      <c r="B596" s="40"/>
    </row>
    <row r="597" spans="2:2" ht="15">
      <c r="B597" s="40"/>
    </row>
    <row r="598" spans="2:2" ht="15">
      <c r="B598" s="40"/>
    </row>
    <row r="599" spans="2:2" ht="15">
      <c r="B599" s="40"/>
    </row>
    <row r="600" spans="2:2" ht="15">
      <c r="B600" s="40"/>
    </row>
    <row r="601" spans="2:2" ht="15">
      <c r="B601" s="40"/>
    </row>
    <row r="602" spans="2:2" ht="15">
      <c r="B602" s="40"/>
    </row>
    <row r="603" spans="2:2" ht="15">
      <c r="B603" s="40"/>
    </row>
    <row r="604" spans="2:2" ht="15">
      <c r="B604" s="40"/>
    </row>
    <row r="605" spans="2:2" ht="15">
      <c r="B605" s="40"/>
    </row>
    <row r="606" spans="2:2" ht="15">
      <c r="B606" s="40"/>
    </row>
    <row r="607" spans="2:2" ht="15">
      <c r="B607" s="40"/>
    </row>
    <row r="608" spans="2:2" ht="15">
      <c r="B608" s="40"/>
    </row>
    <row r="609" spans="2:2" ht="15">
      <c r="B609" s="40"/>
    </row>
    <row r="610" spans="2:2" ht="15">
      <c r="B610" s="40"/>
    </row>
    <row r="611" spans="2:2" ht="15">
      <c r="B611" s="40"/>
    </row>
    <row r="612" spans="2:2" ht="15">
      <c r="B612" s="40"/>
    </row>
    <row r="613" spans="2:2" ht="15">
      <c r="B613" s="40"/>
    </row>
    <row r="614" spans="2:2" ht="15">
      <c r="B614" s="40"/>
    </row>
    <row r="615" spans="2:2" ht="15">
      <c r="B615" s="40"/>
    </row>
    <row r="616" spans="2:2" ht="15">
      <c r="B616" s="40"/>
    </row>
    <row r="617" spans="2:2" ht="15">
      <c r="B617" s="40"/>
    </row>
    <row r="618" spans="2:2" ht="15">
      <c r="B618" s="40"/>
    </row>
    <row r="619" spans="2:2" ht="15">
      <c r="B619" s="40"/>
    </row>
    <row r="620" spans="2:2" ht="15">
      <c r="B620" s="40"/>
    </row>
    <row r="621" spans="2:2" ht="15">
      <c r="B621" s="40"/>
    </row>
    <row r="622" spans="2:2" ht="15">
      <c r="B622" s="40"/>
    </row>
    <row r="623" spans="2:2" ht="15">
      <c r="B623" s="40"/>
    </row>
    <row r="624" spans="2:2" ht="15">
      <c r="B624" s="40"/>
    </row>
    <row r="625" spans="2:2" ht="15">
      <c r="B625" s="40"/>
    </row>
    <row r="626" spans="2:2" ht="15">
      <c r="B626" s="40"/>
    </row>
    <row r="627" spans="2:2" ht="15">
      <c r="B627" s="40"/>
    </row>
    <row r="628" spans="2:2" ht="15">
      <c r="B628" s="40"/>
    </row>
    <row r="629" spans="2:2" ht="15">
      <c r="B629" s="40"/>
    </row>
    <row r="630" spans="2:2" ht="15">
      <c r="B630" s="40"/>
    </row>
    <row r="631" spans="2:2" ht="15">
      <c r="B631" s="40"/>
    </row>
    <row r="632" spans="2:2" ht="15">
      <c r="B632" s="40"/>
    </row>
    <row r="633" spans="2:2" ht="15">
      <c r="B633" s="40"/>
    </row>
    <row r="634" spans="2:2" ht="15">
      <c r="B634" s="40"/>
    </row>
    <row r="635" spans="2:2" ht="15">
      <c r="B635" s="40"/>
    </row>
    <row r="636" spans="2:2" ht="15">
      <c r="B636" s="40"/>
    </row>
    <row r="637" spans="2:2" ht="15">
      <c r="B637" s="40"/>
    </row>
    <row r="638" spans="2:2" ht="15">
      <c r="B638" s="40"/>
    </row>
    <row r="639" spans="2:2" ht="15">
      <c r="B639" s="40"/>
    </row>
    <row r="640" spans="2:2" ht="15">
      <c r="B640" s="40"/>
    </row>
    <row r="641" spans="2:2" ht="15">
      <c r="B641" s="40"/>
    </row>
    <row r="642" spans="2:2" ht="15">
      <c r="B642" s="40"/>
    </row>
    <row r="643" spans="2:2" ht="15">
      <c r="B643" s="40"/>
    </row>
    <row r="644" spans="2:2" ht="15">
      <c r="B644" s="40"/>
    </row>
    <row r="645" spans="2:2" ht="15">
      <c r="B645" s="40"/>
    </row>
    <row r="646" spans="2:2" ht="15">
      <c r="B646" s="40"/>
    </row>
    <row r="647" spans="2:2" ht="15">
      <c r="B647" s="40"/>
    </row>
    <row r="648" spans="2:2" ht="15">
      <c r="B648" s="40"/>
    </row>
    <row r="649" spans="2:2" ht="15">
      <c r="B649" s="40"/>
    </row>
    <row r="650" spans="2:2" ht="15">
      <c r="B650" s="40"/>
    </row>
    <row r="651" spans="2:2" ht="15">
      <c r="B651" s="40"/>
    </row>
    <row r="652" spans="2:2" ht="15">
      <c r="B652" s="40"/>
    </row>
    <row r="653" spans="2:2" ht="15">
      <c r="B653" s="40"/>
    </row>
    <row r="654" spans="2:2" ht="15">
      <c r="B654" s="40"/>
    </row>
    <row r="655" spans="2:2" ht="15">
      <c r="B655" s="40"/>
    </row>
    <row r="656" spans="2:2" ht="15">
      <c r="B656" s="40"/>
    </row>
    <row r="657" spans="2:2" ht="15">
      <c r="B657" s="40"/>
    </row>
    <row r="658" spans="2:2" ht="15">
      <c r="B658" s="40"/>
    </row>
    <row r="659" spans="2:2" ht="15">
      <c r="B659" s="40"/>
    </row>
    <row r="660" spans="2:2" ht="15">
      <c r="B660" s="40"/>
    </row>
    <row r="661" spans="2:2" ht="15">
      <c r="B661" s="40"/>
    </row>
    <row r="662" spans="2:2" ht="15">
      <c r="B662" s="40"/>
    </row>
    <row r="663" spans="2:2" ht="15">
      <c r="B663" s="40"/>
    </row>
    <row r="664" spans="2:2" ht="15">
      <c r="B664" s="40"/>
    </row>
    <row r="665" spans="2:2" ht="15">
      <c r="B665" s="40"/>
    </row>
    <row r="666" spans="2:2" ht="15">
      <c r="B666" s="40"/>
    </row>
    <row r="667" spans="2:2" ht="15">
      <c r="B667" s="40"/>
    </row>
    <row r="668" spans="2:2" ht="15">
      <c r="B668" s="40"/>
    </row>
    <row r="669" spans="2:2" ht="15">
      <c r="B669" s="40"/>
    </row>
    <row r="670" spans="2:2" ht="15">
      <c r="B670" s="40"/>
    </row>
    <row r="671" spans="2:2" ht="15">
      <c r="B671" s="40"/>
    </row>
    <row r="672" spans="2:2" ht="15">
      <c r="B672" s="40"/>
    </row>
    <row r="673" spans="2:2" ht="15">
      <c r="B673" s="40"/>
    </row>
    <row r="674" spans="2:2" ht="15">
      <c r="B674" s="40"/>
    </row>
    <row r="675" spans="2:2" ht="15">
      <c r="B675" s="40"/>
    </row>
    <row r="676" spans="2:2" ht="15">
      <c r="B676" s="40"/>
    </row>
    <row r="677" spans="2:2" ht="15">
      <c r="B677" s="40"/>
    </row>
    <row r="678" spans="2:2" ht="15">
      <c r="B678" s="40"/>
    </row>
    <row r="679" spans="2:2" ht="15">
      <c r="B679" s="40"/>
    </row>
    <row r="680" spans="2:2" ht="15">
      <c r="B680" s="40"/>
    </row>
    <row r="681" spans="2:2" ht="15">
      <c r="B681" s="40"/>
    </row>
    <row r="682" spans="2:2" ht="15">
      <c r="B682" s="40"/>
    </row>
    <row r="683" spans="2:2" ht="15">
      <c r="B683" s="40"/>
    </row>
    <row r="684" spans="2:2" ht="15">
      <c r="B684" s="40"/>
    </row>
    <row r="685" spans="2:2" ht="15">
      <c r="B685" s="40"/>
    </row>
    <row r="686" spans="2:2" ht="15">
      <c r="B686" s="40"/>
    </row>
    <row r="687" spans="2:2" ht="15">
      <c r="B687" s="40"/>
    </row>
    <row r="688" spans="2:2" ht="15">
      <c r="B688" s="40"/>
    </row>
    <row r="689" spans="2:2" ht="15">
      <c r="B689" s="40"/>
    </row>
    <row r="690" spans="2:2" ht="15">
      <c r="B690" s="40"/>
    </row>
    <row r="691" spans="2:2" ht="15">
      <c r="B691" s="40"/>
    </row>
    <row r="692" spans="2:2" ht="15">
      <c r="B692" s="40"/>
    </row>
    <row r="693" spans="2:2" ht="15">
      <c r="B693" s="40"/>
    </row>
    <row r="694" spans="2:2" ht="15">
      <c r="B694" s="40"/>
    </row>
    <row r="695" spans="2:2" ht="15">
      <c r="B695" s="40"/>
    </row>
    <row r="696" spans="2:2" ht="15">
      <c r="B696" s="40"/>
    </row>
    <row r="697" spans="2:2" ht="15">
      <c r="B697" s="40"/>
    </row>
    <row r="698" spans="2:2" ht="15">
      <c r="B698" s="40"/>
    </row>
    <row r="699" spans="2:2" ht="15">
      <c r="B699" s="40"/>
    </row>
    <row r="700" spans="2:2" ht="15">
      <c r="B700" s="40"/>
    </row>
    <row r="701" spans="2:2" ht="15">
      <c r="B701" s="40"/>
    </row>
    <row r="702" spans="2:2" ht="15">
      <c r="B702" s="40"/>
    </row>
    <row r="703" spans="2:2" ht="15">
      <c r="B703" s="40"/>
    </row>
    <row r="704" spans="2:2" ht="15">
      <c r="B704" s="40"/>
    </row>
    <row r="705" spans="2:2" ht="15">
      <c r="B705" s="40"/>
    </row>
    <row r="706" spans="2:2" ht="15">
      <c r="B706" s="40"/>
    </row>
    <row r="707" spans="2:2" ht="15">
      <c r="B707" s="40"/>
    </row>
    <row r="708" spans="2:2" ht="15">
      <c r="B708" s="40"/>
    </row>
    <row r="709" spans="2:2" ht="15">
      <c r="B709" s="40"/>
    </row>
    <row r="710" spans="2:2" ht="15">
      <c r="B710" s="40"/>
    </row>
    <row r="711" spans="2:2" ht="15">
      <c r="B711" s="40"/>
    </row>
    <row r="712" spans="2:2" ht="15">
      <c r="B712" s="40"/>
    </row>
    <row r="713" spans="2:2" ht="15">
      <c r="B713" s="40"/>
    </row>
    <row r="714" spans="2:2" ht="15">
      <c r="B714" s="40"/>
    </row>
    <row r="715" spans="2:2" ht="15">
      <c r="B715" s="40"/>
    </row>
    <row r="716" spans="2:2" ht="15">
      <c r="B716" s="40"/>
    </row>
    <row r="717" spans="2:2" ht="15">
      <c r="B717" s="40"/>
    </row>
    <row r="718" spans="2:2" ht="15">
      <c r="B718" s="40"/>
    </row>
    <row r="719" spans="2:2" ht="15">
      <c r="B719" s="40"/>
    </row>
    <row r="720" spans="2:2" ht="15">
      <c r="B720" s="40"/>
    </row>
    <row r="721" spans="2:2" ht="15">
      <c r="B721" s="40"/>
    </row>
    <row r="722" spans="2:2" ht="15">
      <c r="B722" s="40"/>
    </row>
    <row r="723" spans="2:2" ht="15">
      <c r="B723" s="40"/>
    </row>
    <row r="724" spans="2:2" ht="15">
      <c r="B724" s="40"/>
    </row>
    <row r="725" spans="2:2" ht="15">
      <c r="B725" s="40"/>
    </row>
    <row r="726" spans="2:2" ht="15">
      <c r="B726" s="40"/>
    </row>
    <row r="727" spans="2:2" ht="15">
      <c r="B727" s="40"/>
    </row>
    <row r="728" spans="2:2" ht="15">
      <c r="B728" s="40"/>
    </row>
    <row r="729" spans="2:2" ht="15">
      <c r="B729" s="40"/>
    </row>
    <row r="730" spans="2:2" ht="15">
      <c r="B730" s="40"/>
    </row>
    <row r="731" spans="2:2" ht="15">
      <c r="B731" s="40"/>
    </row>
    <row r="732" spans="2:2" ht="15">
      <c r="B732" s="40"/>
    </row>
    <row r="733" spans="2:2" ht="15">
      <c r="B733" s="40"/>
    </row>
    <row r="734" spans="2:2" ht="15">
      <c r="B734" s="40"/>
    </row>
    <row r="735" spans="2:2" ht="15">
      <c r="B735" s="40"/>
    </row>
    <row r="736" spans="2:2" ht="15">
      <c r="B736" s="40"/>
    </row>
    <row r="737" spans="2:2" ht="15">
      <c r="B737" s="40"/>
    </row>
    <row r="738" spans="2:2" ht="15">
      <c r="B738" s="40"/>
    </row>
    <row r="739" spans="2:2" ht="15">
      <c r="B739" s="40"/>
    </row>
    <row r="740" spans="2:2" ht="15">
      <c r="B740" s="40"/>
    </row>
    <row r="741" spans="2:2" ht="15">
      <c r="B741" s="40"/>
    </row>
    <row r="742" spans="2:2" ht="15">
      <c r="B742" s="40"/>
    </row>
    <row r="743" spans="2:2" ht="15">
      <c r="B743" s="40"/>
    </row>
    <row r="744" spans="2:2" ht="15">
      <c r="B744" s="40"/>
    </row>
    <row r="745" spans="2:2" ht="15">
      <c r="B745" s="40"/>
    </row>
    <row r="746" spans="2:2" ht="15">
      <c r="B746" s="40"/>
    </row>
    <row r="747" spans="2:2" ht="15">
      <c r="B747" s="40"/>
    </row>
    <row r="748" spans="2:2" ht="15">
      <c r="B748" s="40"/>
    </row>
    <row r="749" spans="2:2" ht="15">
      <c r="B749" s="40"/>
    </row>
    <row r="750" spans="2:2" ht="15">
      <c r="B750" s="40"/>
    </row>
    <row r="751" spans="2:2" ht="15">
      <c r="B751" s="40"/>
    </row>
    <row r="752" spans="2:2" ht="15">
      <c r="B752" s="40"/>
    </row>
    <row r="753" spans="2:2" ht="15">
      <c r="B753" s="40"/>
    </row>
    <row r="754" spans="2:2" ht="15">
      <c r="B754" s="40"/>
    </row>
    <row r="755" spans="2:2" ht="15">
      <c r="B755" s="40"/>
    </row>
    <row r="756" spans="2:2" ht="15">
      <c r="B756" s="40"/>
    </row>
    <row r="757" spans="2:2" ht="15">
      <c r="B757" s="40"/>
    </row>
    <row r="758" spans="2:2" ht="15">
      <c r="B758" s="40"/>
    </row>
    <row r="759" spans="2:2" ht="15">
      <c r="B759" s="40"/>
    </row>
    <row r="760" spans="2:2" ht="15">
      <c r="B760" s="40"/>
    </row>
    <row r="761" spans="2:2" ht="15">
      <c r="B761" s="40"/>
    </row>
    <row r="762" spans="2:2" ht="15">
      <c r="B762" s="40"/>
    </row>
    <row r="763" spans="2:2" ht="15">
      <c r="B763" s="40"/>
    </row>
    <row r="764" spans="2:2" ht="15">
      <c r="B764" s="40"/>
    </row>
    <row r="765" spans="2:2" ht="15">
      <c r="B765" s="40"/>
    </row>
    <row r="766" spans="2:2" ht="15">
      <c r="B766" s="40"/>
    </row>
    <row r="767" spans="2:2" ht="15">
      <c r="B767" s="40"/>
    </row>
    <row r="768" spans="2:2" ht="15">
      <c r="B768" s="40"/>
    </row>
    <row r="769" spans="2:2" ht="15">
      <c r="B769" s="40"/>
    </row>
    <row r="770" spans="2:2" ht="15">
      <c r="B770" s="40"/>
    </row>
    <row r="771" spans="2:2" ht="15">
      <c r="B771" s="40"/>
    </row>
    <row r="772" spans="2:2" ht="15">
      <c r="B772" s="40"/>
    </row>
    <row r="773" spans="2:2" ht="15">
      <c r="B773" s="40"/>
    </row>
    <row r="774" spans="2:2" ht="15">
      <c r="B774" s="40"/>
    </row>
    <row r="775" spans="2:2" ht="15">
      <c r="B775" s="40"/>
    </row>
    <row r="776" spans="2:2" ht="15">
      <c r="B776" s="40"/>
    </row>
    <row r="777" spans="2:2" ht="15">
      <c r="B777" s="40"/>
    </row>
    <row r="778" spans="2:2" ht="15">
      <c r="B778" s="40"/>
    </row>
    <row r="779" spans="2:2" ht="15">
      <c r="B779" s="40"/>
    </row>
    <row r="780" spans="2:2" ht="15">
      <c r="B780" s="40"/>
    </row>
    <row r="781" spans="2:2" ht="15">
      <c r="B781" s="40"/>
    </row>
    <row r="782" spans="2:2" ht="15">
      <c r="B782" s="40"/>
    </row>
    <row r="783" spans="2:2" ht="15">
      <c r="B783" s="40"/>
    </row>
    <row r="784" spans="2:2" ht="15">
      <c r="B784" s="40"/>
    </row>
    <row r="785" spans="2:2" ht="15">
      <c r="B785" s="40"/>
    </row>
    <row r="786" spans="2:2" ht="15">
      <c r="B786" s="40"/>
    </row>
    <row r="787" spans="2:2" ht="15">
      <c r="B787" s="40"/>
    </row>
    <row r="788" spans="2:2" ht="15">
      <c r="B788" s="40"/>
    </row>
    <row r="789" spans="2:2" ht="15">
      <c r="B789" s="40"/>
    </row>
    <row r="790" spans="2:2" ht="15">
      <c r="B790" s="40"/>
    </row>
    <row r="791" spans="2:2" ht="15">
      <c r="B791" s="40"/>
    </row>
    <row r="792" spans="2:2" ht="15">
      <c r="B792" s="40"/>
    </row>
    <row r="793" spans="2:2" ht="15">
      <c r="B793" s="40"/>
    </row>
    <row r="794" spans="2:2" ht="15">
      <c r="B794" s="40"/>
    </row>
    <row r="795" spans="2:2" ht="15">
      <c r="B795" s="40"/>
    </row>
    <row r="796" spans="2:2" ht="15">
      <c r="B796" s="40"/>
    </row>
    <row r="797" spans="2:2" ht="15">
      <c r="B797" s="40"/>
    </row>
    <row r="798" spans="2:2" ht="15">
      <c r="B798" s="40"/>
    </row>
    <row r="799" spans="2:2" ht="15">
      <c r="B799" s="40"/>
    </row>
    <row r="800" spans="2:2" ht="15">
      <c r="B800" s="40"/>
    </row>
    <row r="801" spans="2:2" ht="15">
      <c r="B801" s="40"/>
    </row>
    <row r="802" spans="2:2" ht="15">
      <c r="B802" s="40"/>
    </row>
    <row r="803" spans="2:2" ht="15">
      <c r="B803" s="40"/>
    </row>
    <row r="804" spans="2:2" ht="15">
      <c r="B804" s="40"/>
    </row>
    <row r="805" spans="2:2" ht="15">
      <c r="B805" s="40"/>
    </row>
    <row r="806" spans="2:2" ht="15">
      <c r="B806" s="40"/>
    </row>
    <row r="807" spans="2:2" ht="15">
      <c r="B807" s="40"/>
    </row>
    <row r="808" spans="2:2" ht="15">
      <c r="B808" s="40"/>
    </row>
    <row r="809" spans="2:2" ht="15">
      <c r="B809" s="40"/>
    </row>
    <row r="810" spans="2:2" ht="15">
      <c r="B810" s="40"/>
    </row>
    <row r="811" spans="2:2" ht="15">
      <c r="B811" s="40"/>
    </row>
    <row r="812" spans="2:2" ht="15">
      <c r="B812" s="40"/>
    </row>
    <row r="813" spans="2:2" ht="15">
      <c r="B813" s="40"/>
    </row>
    <row r="814" spans="2:2" ht="15">
      <c r="B814" s="40"/>
    </row>
    <row r="815" spans="2:2" ht="15">
      <c r="B815" s="40"/>
    </row>
    <row r="816" spans="2:2" ht="15">
      <c r="B816" s="40"/>
    </row>
    <row r="817" spans="2:2" ht="15">
      <c r="B817" s="40"/>
    </row>
    <row r="818" spans="2:2" ht="15">
      <c r="B818" s="40"/>
    </row>
    <row r="819" spans="2:2" ht="15">
      <c r="B819" s="40"/>
    </row>
    <row r="820" spans="2:2" ht="15">
      <c r="B820" s="40"/>
    </row>
    <row r="821" spans="2:2" ht="15">
      <c r="B821" s="40"/>
    </row>
    <row r="822" spans="2:2" ht="15">
      <c r="B822" s="40"/>
    </row>
    <row r="823" spans="2:2" ht="15">
      <c r="B823" s="40"/>
    </row>
    <row r="824" spans="2:2" ht="15">
      <c r="B824" s="40"/>
    </row>
    <row r="825" spans="2:2" ht="15">
      <c r="B825" s="40"/>
    </row>
    <row r="826" spans="2:2" ht="15">
      <c r="B826" s="40"/>
    </row>
    <row r="827" spans="2:2" ht="15">
      <c r="B827" s="40"/>
    </row>
    <row r="828" spans="2:2" ht="15">
      <c r="B828" s="40"/>
    </row>
    <row r="829" spans="2:2" ht="15">
      <c r="B829" s="40"/>
    </row>
    <row r="830" spans="2:2" ht="15">
      <c r="B830" s="40"/>
    </row>
    <row r="831" spans="2:2" ht="15">
      <c r="B831" s="40"/>
    </row>
    <row r="832" spans="2:2" ht="15">
      <c r="B832" s="40"/>
    </row>
    <row r="833" spans="2:2" ht="15">
      <c r="B833" s="40"/>
    </row>
    <row r="834" spans="2:2" ht="15">
      <c r="B834" s="40"/>
    </row>
    <row r="835" spans="2:2" ht="15">
      <c r="B835" s="40"/>
    </row>
    <row r="836" spans="2:2" ht="15">
      <c r="B836" s="40"/>
    </row>
    <row r="837" spans="2:2" ht="15">
      <c r="B837" s="40"/>
    </row>
    <row r="838" spans="2:2" ht="15">
      <c r="B838" s="40"/>
    </row>
    <row r="839" spans="2:2" ht="15">
      <c r="B839" s="40"/>
    </row>
    <row r="840" spans="2:2" ht="15">
      <c r="B840" s="40"/>
    </row>
    <row r="841" spans="2:2" ht="15">
      <c r="B841" s="40"/>
    </row>
    <row r="842" spans="2:2" ht="15">
      <c r="B842" s="40"/>
    </row>
    <row r="843" spans="2:2" ht="15">
      <c r="B843" s="40"/>
    </row>
    <row r="844" spans="2:2" ht="15">
      <c r="B844" s="40"/>
    </row>
    <row r="845" spans="2:2" ht="15">
      <c r="B845" s="40"/>
    </row>
    <row r="846" spans="2:2" ht="15">
      <c r="B846" s="40"/>
    </row>
    <row r="847" spans="2:2" ht="15">
      <c r="B847" s="40"/>
    </row>
    <row r="848" spans="2:2" ht="15">
      <c r="B848" s="40"/>
    </row>
    <row r="849" spans="2:2" ht="15">
      <c r="B849" s="40"/>
    </row>
    <row r="850" spans="2:2" ht="15">
      <c r="B850" s="40"/>
    </row>
    <row r="851" spans="2:2" ht="15">
      <c r="B851" s="40"/>
    </row>
    <row r="852" spans="2:2" ht="15">
      <c r="B852" s="40"/>
    </row>
    <row r="853" spans="2:2" ht="15">
      <c r="B853" s="40"/>
    </row>
    <row r="854" spans="2:2" ht="15">
      <c r="B854" s="40"/>
    </row>
    <row r="855" spans="2:2" ht="15">
      <c r="B855" s="40"/>
    </row>
    <row r="856" spans="2:2" ht="15">
      <c r="B856" s="40"/>
    </row>
    <row r="857" spans="2:2" ht="15">
      <c r="B857" s="40"/>
    </row>
    <row r="858" spans="2:2" ht="15">
      <c r="B858" s="40"/>
    </row>
    <row r="859" spans="2:2" ht="15">
      <c r="B859" s="40"/>
    </row>
    <row r="860" spans="2:2" ht="15">
      <c r="B860" s="40"/>
    </row>
    <row r="861" spans="2:2" ht="15">
      <c r="B861" s="40"/>
    </row>
    <row r="862" spans="2:2" ht="15">
      <c r="B862" s="40"/>
    </row>
    <row r="863" spans="2:2" ht="15">
      <c r="B863" s="40"/>
    </row>
    <row r="864" spans="2:2" ht="15">
      <c r="B864" s="40"/>
    </row>
    <row r="865" spans="2:2" ht="15">
      <c r="B865" s="40"/>
    </row>
    <row r="866" spans="2:2" ht="15">
      <c r="B866" s="40"/>
    </row>
    <row r="867" spans="2:2" ht="15">
      <c r="B867" s="40"/>
    </row>
    <row r="868" spans="2:2" ht="15">
      <c r="B868" s="40"/>
    </row>
    <row r="869" spans="2:2" ht="15">
      <c r="B869" s="40"/>
    </row>
    <row r="870" spans="2:2" ht="15">
      <c r="B870" s="40"/>
    </row>
    <row r="871" spans="2:2" ht="15">
      <c r="B871" s="40"/>
    </row>
    <row r="872" spans="2:2" ht="15">
      <c r="B872" s="40"/>
    </row>
    <row r="873" spans="2:2" ht="15">
      <c r="B873" s="40"/>
    </row>
    <row r="874" spans="2:2" ht="15">
      <c r="B874" s="40"/>
    </row>
    <row r="875" spans="2:2" ht="15">
      <c r="B875" s="40"/>
    </row>
    <row r="876" spans="2:2" ht="15">
      <c r="B876" s="40"/>
    </row>
    <row r="877" spans="2:2" ht="15">
      <c r="B877" s="40"/>
    </row>
    <row r="878" spans="2:2" ht="15">
      <c r="B878" s="40"/>
    </row>
    <row r="879" spans="2:2" ht="15">
      <c r="B879" s="40"/>
    </row>
    <row r="880" spans="2:2" ht="15">
      <c r="B880" s="40"/>
    </row>
    <row r="881" spans="2:2" ht="15">
      <c r="B881" s="40"/>
    </row>
    <row r="882" spans="2:2" ht="15">
      <c r="B882" s="40"/>
    </row>
    <row r="883" spans="2:2" ht="15">
      <c r="B883" s="40"/>
    </row>
    <row r="884" spans="2:2" ht="15">
      <c r="B884" s="40"/>
    </row>
    <row r="885" spans="2:2" ht="15">
      <c r="B885" s="40"/>
    </row>
    <row r="886" spans="2:2" ht="15">
      <c r="B886" s="40"/>
    </row>
    <row r="887" spans="2:2" ht="15">
      <c r="B887" s="40"/>
    </row>
    <row r="888" spans="2:2" ht="15">
      <c r="B888" s="40"/>
    </row>
    <row r="889" spans="2:2" ht="15">
      <c r="B889" s="40"/>
    </row>
    <row r="890" spans="2:2" ht="15">
      <c r="B890" s="40"/>
    </row>
    <row r="891" spans="2:2" ht="15">
      <c r="B891" s="40"/>
    </row>
    <row r="892" spans="2:2" ht="15">
      <c r="B892" s="40"/>
    </row>
    <row r="893" spans="2:2" ht="15">
      <c r="B893" s="40"/>
    </row>
    <row r="894" spans="2:2" ht="15">
      <c r="B894" s="40"/>
    </row>
    <row r="895" spans="2:2" ht="15">
      <c r="B895" s="40"/>
    </row>
    <row r="896" spans="2:2" ht="15">
      <c r="B896" s="40"/>
    </row>
    <row r="897" spans="2:2" ht="15">
      <c r="B897" s="40"/>
    </row>
    <row r="898" spans="2:2" ht="15">
      <c r="B898" s="40"/>
    </row>
    <row r="899" spans="2:2" ht="15">
      <c r="B899" s="40"/>
    </row>
    <row r="900" spans="2:2" ht="15">
      <c r="B900" s="40"/>
    </row>
    <row r="901" spans="2:2" ht="15">
      <c r="B901" s="40"/>
    </row>
    <row r="902" spans="2:2" ht="15">
      <c r="B902" s="40"/>
    </row>
    <row r="903" spans="2:2" ht="15">
      <c r="B903" s="40"/>
    </row>
    <row r="904" spans="2:2" ht="15">
      <c r="B904" s="40"/>
    </row>
    <row r="905" spans="2:2" ht="15">
      <c r="B905" s="40"/>
    </row>
    <row r="906" spans="2:2" ht="15">
      <c r="B906" s="40"/>
    </row>
    <row r="907" spans="2:2" ht="15">
      <c r="B907" s="40"/>
    </row>
    <row r="908" spans="2:2" ht="15">
      <c r="B908" s="40"/>
    </row>
    <row r="909" spans="2:2" ht="15">
      <c r="B909" s="40"/>
    </row>
    <row r="910" spans="2:2" ht="15">
      <c r="B910" s="40"/>
    </row>
    <row r="911" spans="2:2" ht="15">
      <c r="B911" s="40"/>
    </row>
    <row r="912" spans="2:2" ht="15">
      <c r="B912" s="40"/>
    </row>
    <row r="913" spans="2:2" ht="15">
      <c r="B913" s="40"/>
    </row>
    <row r="914" spans="2:2" ht="15">
      <c r="B914" s="40"/>
    </row>
    <row r="915" spans="2:2" ht="15">
      <c r="B915" s="40"/>
    </row>
    <row r="916" spans="2:2" ht="15">
      <c r="B916" s="40"/>
    </row>
    <row r="917" spans="2:2" ht="15">
      <c r="B917" s="40"/>
    </row>
    <row r="918" spans="2:2" ht="15">
      <c r="B918" s="40"/>
    </row>
    <row r="919" spans="2:2" ht="15">
      <c r="B919" s="40"/>
    </row>
    <row r="920" spans="2:2" ht="15">
      <c r="B920" s="40"/>
    </row>
    <row r="921" spans="2:2" ht="15">
      <c r="B921" s="40"/>
    </row>
    <row r="922" spans="2:2" ht="15">
      <c r="B922" s="40"/>
    </row>
    <row r="923" spans="2:2" ht="15">
      <c r="B923" s="40"/>
    </row>
    <row r="924" spans="2:2" ht="15">
      <c r="B924" s="40"/>
    </row>
    <row r="925" spans="2:2" ht="15">
      <c r="B925" s="40"/>
    </row>
    <row r="926" spans="2:2" ht="15">
      <c r="B926" s="40"/>
    </row>
    <row r="927" spans="2:2" ht="15">
      <c r="B927" s="40"/>
    </row>
    <row r="928" spans="2:2" ht="15">
      <c r="B928" s="40"/>
    </row>
    <row r="929" spans="2:2" ht="15">
      <c r="B929" s="40"/>
    </row>
    <row r="930" spans="2:2" ht="15">
      <c r="B930" s="40"/>
    </row>
    <row r="931" spans="2:2" ht="15">
      <c r="B931" s="40"/>
    </row>
    <row r="932" spans="2:2" ht="15">
      <c r="B932" s="40"/>
    </row>
    <row r="933" spans="2:2" ht="15">
      <c r="B933" s="40"/>
    </row>
    <row r="934" spans="2:2" ht="15">
      <c r="B934" s="40"/>
    </row>
    <row r="935" spans="2:2" ht="15">
      <c r="B935" s="40"/>
    </row>
    <row r="936" spans="2:2" ht="15">
      <c r="B936" s="40"/>
    </row>
    <row r="937" spans="2:2" ht="15">
      <c r="B937" s="40"/>
    </row>
    <row r="938" spans="2:2" ht="15">
      <c r="B938" s="40"/>
    </row>
    <row r="939" spans="2:2" ht="15">
      <c r="B939" s="40"/>
    </row>
    <row r="940" spans="2:2" ht="15">
      <c r="B940" s="40"/>
    </row>
    <row r="941" spans="2:2" ht="15">
      <c r="B941" s="40"/>
    </row>
    <row r="942" spans="2:2" ht="15">
      <c r="B942" s="40"/>
    </row>
    <row r="943" spans="2:2" ht="15">
      <c r="B943" s="40"/>
    </row>
    <row r="944" spans="2:2" ht="15">
      <c r="B944" s="40"/>
    </row>
    <row r="945" spans="2:2" ht="15">
      <c r="B945" s="40"/>
    </row>
    <row r="946" spans="2:2" ht="15">
      <c r="B946" s="40"/>
    </row>
    <row r="947" spans="2:2" ht="15">
      <c r="B947" s="40"/>
    </row>
    <row r="948" spans="2:2" ht="15">
      <c r="B948" s="40"/>
    </row>
    <row r="949" spans="2:2" ht="15">
      <c r="B949" s="40"/>
    </row>
    <row r="950" spans="2:2" ht="15">
      <c r="B950" s="40"/>
    </row>
    <row r="951" spans="2:2" ht="15">
      <c r="B951" s="40"/>
    </row>
    <row r="952" spans="2:2" ht="15">
      <c r="B952" s="40"/>
    </row>
    <row r="953" spans="2:2" ht="15">
      <c r="B953" s="40"/>
    </row>
    <row r="954" spans="2:2" ht="15">
      <c r="B954" s="40"/>
    </row>
    <row r="955" spans="2:2" ht="15">
      <c r="B955" s="40"/>
    </row>
    <row r="956" spans="2:2" ht="15">
      <c r="B956" s="40"/>
    </row>
    <row r="957" spans="2:2" ht="15">
      <c r="B957" s="40"/>
    </row>
    <row r="958" spans="2:2" ht="15">
      <c r="B958" s="40"/>
    </row>
    <row r="959" spans="2:2" ht="15">
      <c r="B959" s="40"/>
    </row>
    <row r="960" spans="2:2" ht="15">
      <c r="B960" s="40"/>
    </row>
    <row r="961" spans="2:2" ht="15">
      <c r="B961" s="40"/>
    </row>
    <row r="962" spans="2:2" ht="15">
      <c r="B962" s="40"/>
    </row>
    <row r="963" spans="2:2" ht="15">
      <c r="B963" s="40"/>
    </row>
    <row r="964" spans="2:2" ht="15">
      <c r="B964" s="40"/>
    </row>
    <row r="965" spans="2:2" ht="15">
      <c r="B965" s="40"/>
    </row>
    <row r="966" spans="2:2" ht="15">
      <c r="B966" s="40"/>
    </row>
    <row r="967" spans="2:2" ht="15">
      <c r="B967" s="40"/>
    </row>
    <row r="968" spans="2:2" ht="15">
      <c r="B968" s="40"/>
    </row>
    <row r="969" spans="2:2" ht="15">
      <c r="B969" s="40"/>
    </row>
    <row r="970" spans="2:2" ht="15">
      <c r="B970" s="40"/>
    </row>
    <row r="971" spans="2:2" ht="15">
      <c r="B971" s="40"/>
    </row>
    <row r="972" spans="2:2" ht="15">
      <c r="B972" s="40"/>
    </row>
    <row r="973" spans="2:2" ht="15">
      <c r="B973" s="40"/>
    </row>
    <row r="974" spans="2:2" ht="15">
      <c r="B974" s="40"/>
    </row>
    <row r="975" spans="2:2" ht="15">
      <c r="B975" s="40"/>
    </row>
    <row r="976" spans="2:2" ht="15">
      <c r="B976" s="40"/>
    </row>
    <row r="977" spans="2:2" ht="15">
      <c r="B977" s="40"/>
    </row>
    <row r="978" spans="2:2" ht="15">
      <c r="B978" s="40"/>
    </row>
    <row r="979" spans="2:2" ht="15">
      <c r="B979" s="40"/>
    </row>
    <row r="980" spans="2:2" ht="15">
      <c r="B980" s="40"/>
    </row>
    <row r="981" spans="2:2" ht="15">
      <c r="B981" s="40"/>
    </row>
    <row r="982" spans="2:2" ht="15">
      <c r="B982" s="40"/>
    </row>
    <row r="983" spans="2:2" ht="15">
      <c r="B983" s="40"/>
    </row>
    <row r="984" spans="2:2" ht="15">
      <c r="B984" s="40"/>
    </row>
    <row r="985" spans="2:2" ht="15">
      <c r="B985" s="40"/>
    </row>
    <row r="986" spans="2:2" ht="15">
      <c r="B986" s="40"/>
    </row>
    <row r="987" spans="2:2" ht="15">
      <c r="B987" s="40"/>
    </row>
    <row r="988" spans="2:2" ht="15">
      <c r="B988" s="40"/>
    </row>
    <row r="989" spans="2:2" ht="15">
      <c r="B989" s="40"/>
    </row>
    <row r="990" spans="2:2" ht="15">
      <c r="B990" s="40"/>
    </row>
    <row r="991" spans="2:2" ht="15">
      <c r="B991" s="40"/>
    </row>
    <row r="992" spans="2:2" ht="15">
      <c r="B992" s="40"/>
    </row>
    <row r="993" spans="2:2" ht="15">
      <c r="B993" s="40"/>
    </row>
    <row r="994" spans="2:2" ht="15">
      <c r="B994" s="40"/>
    </row>
    <row r="995" spans="2:2" ht="15">
      <c r="B995" s="40"/>
    </row>
    <row r="996" spans="2:2" ht="15">
      <c r="B996" s="40"/>
    </row>
    <row r="997" spans="2:2" ht="15">
      <c r="B997" s="40"/>
    </row>
    <row r="998" spans="2:2" ht="15">
      <c r="B998" s="40"/>
    </row>
    <row r="999" spans="2:2" ht="15">
      <c r="B999" s="40"/>
    </row>
    <row r="1000" spans="2:2" ht="15">
      <c r="B1000" s="40"/>
    </row>
    <row r="1001" spans="2:2" ht="15">
      <c r="B1001" s="40"/>
    </row>
    <row r="1002" spans="2:2" ht="15">
      <c r="B1002" s="40"/>
    </row>
  </sheetData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213A7-C8E5-4D11-BFCA-499E29E18DFD}">
  <dimension ref="B1:AY22"/>
  <sheetViews>
    <sheetView tabSelected="1" topLeftCell="AG1" zoomScale="75" zoomScaleNormal="75" workbookViewId="0">
      <pane ySplit="1" topLeftCell="A2" activePane="bottomLeft" state="frozen"/>
      <selection pane="bottomLeft" activeCell="AT23" sqref="AT23"/>
    </sheetView>
  </sheetViews>
  <sheetFormatPr defaultRowHeight="12.75"/>
  <cols>
    <col min="1" max="1" width="1" customWidth="1"/>
    <col min="2" max="2" width="13.28515625" customWidth="1"/>
    <col min="10" max="10" width="15.140625" customWidth="1"/>
    <col min="24" max="24" width="21" customWidth="1"/>
    <col min="30" max="30" width="9.140625" customWidth="1"/>
    <col min="31" max="31" width="21.7109375" customWidth="1"/>
    <col min="39" max="39" width="14.7109375" customWidth="1"/>
    <col min="40" max="41" width="13.7109375" customWidth="1"/>
    <col min="42" max="42" width="13.140625" customWidth="1"/>
    <col min="43" max="43" width="13" customWidth="1"/>
    <col min="44" max="44" width="14.85546875" customWidth="1"/>
    <col min="45" max="45" width="16.140625" customWidth="1"/>
    <col min="46" max="51" width="20.7109375" customWidth="1"/>
  </cols>
  <sheetData>
    <row r="1" spans="2:51" ht="129.94999999999999" customHeight="1">
      <c r="B1" s="68" t="s">
        <v>271</v>
      </c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  <c r="AA1" s="69"/>
      <c r="AB1" s="69"/>
      <c r="AC1" s="69"/>
    </row>
    <row r="2" spans="2:51" ht="13.5">
      <c r="B2" s="73" t="s">
        <v>416</v>
      </c>
      <c r="C2" s="74"/>
      <c r="D2" s="74"/>
      <c r="E2" s="74"/>
      <c r="F2" s="74"/>
      <c r="G2" s="74"/>
      <c r="J2" s="79" t="s">
        <v>262</v>
      </c>
      <c r="K2" s="79"/>
      <c r="L2" s="79"/>
      <c r="M2" s="79"/>
      <c r="N2" s="79"/>
      <c r="O2" s="79"/>
      <c r="Q2" s="80" t="s">
        <v>263</v>
      </c>
      <c r="R2" s="80"/>
      <c r="S2" s="80"/>
      <c r="T2" s="80"/>
      <c r="U2" s="80"/>
      <c r="V2" s="80"/>
      <c r="X2" s="70" t="s">
        <v>264</v>
      </c>
      <c r="Y2" s="71"/>
      <c r="Z2" s="71"/>
      <c r="AA2" s="71"/>
      <c r="AB2" s="71"/>
      <c r="AC2" s="72"/>
      <c r="AE2" s="83" t="s">
        <v>265</v>
      </c>
      <c r="AF2" s="83"/>
      <c r="AG2" s="83"/>
      <c r="AH2" s="83"/>
      <c r="AI2" s="83"/>
      <c r="AJ2" s="83"/>
      <c r="AM2" s="75" t="s">
        <v>417</v>
      </c>
      <c r="AN2" s="76"/>
      <c r="AO2" s="76"/>
      <c r="AP2" s="76"/>
      <c r="AQ2" s="76"/>
      <c r="AR2" s="77"/>
      <c r="AS2" s="35" t="s">
        <v>277</v>
      </c>
      <c r="AT2" s="36" t="s">
        <v>278</v>
      </c>
      <c r="AU2" s="37"/>
      <c r="AV2" s="37"/>
      <c r="AW2" s="37"/>
      <c r="AX2" s="37"/>
      <c r="AY2" s="38"/>
    </row>
    <row r="3" spans="2:51" ht="13.5">
      <c r="B3" s="2" t="s">
        <v>59</v>
      </c>
      <c r="C3" s="3" t="s">
        <v>47</v>
      </c>
      <c r="D3" s="3" t="s">
        <v>48</v>
      </c>
      <c r="E3" s="3" t="s">
        <v>50</v>
      </c>
      <c r="F3" s="3" t="s">
        <v>51</v>
      </c>
      <c r="G3" s="3" t="s">
        <v>52</v>
      </c>
      <c r="J3" s="2" t="s">
        <v>60</v>
      </c>
      <c r="K3" s="3" t="s">
        <v>47</v>
      </c>
      <c r="L3" s="3" t="s">
        <v>48</v>
      </c>
      <c r="M3" s="3" t="s">
        <v>50</v>
      </c>
      <c r="N3" s="3" t="s">
        <v>51</v>
      </c>
      <c r="O3" s="3" t="s">
        <v>52</v>
      </c>
      <c r="Q3" s="2" t="s">
        <v>71</v>
      </c>
      <c r="R3" s="3" t="s">
        <v>47</v>
      </c>
      <c r="S3" s="3" t="s">
        <v>48</v>
      </c>
      <c r="T3" s="3" t="s">
        <v>50</v>
      </c>
      <c r="U3" s="3" t="s">
        <v>51</v>
      </c>
      <c r="V3" s="3" t="s">
        <v>52</v>
      </c>
      <c r="X3" s="2" t="s">
        <v>121</v>
      </c>
      <c r="Y3" s="3" t="s">
        <v>47</v>
      </c>
      <c r="Z3" s="3" t="s">
        <v>48</v>
      </c>
      <c r="AA3" s="3" t="s">
        <v>50</v>
      </c>
      <c r="AB3" s="3" t="s">
        <v>51</v>
      </c>
      <c r="AC3" s="3" t="s">
        <v>52</v>
      </c>
      <c r="AE3" s="2" t="s">
        <v>121</v>
      </c>
      <c r="AF3" s="3" t="s">
        <v>47</v>
      </c>
      <c r="AG3" s="3" t="s">
        <v>48</v>
      </c>
      <c r="AH3" s="3" t="s">
        <v>50</v>
      </c>
      <c r="AI3" s="3" t="s">
        <v>51</v>
      </c>
      <c r="AJ3" s="3" t="s">
        <v>52</v>
      </c>
      <c r="AM3" s="4" t="s">
        <v>59</v>
      </c>
      <c r="AN3" s="4" t="s">
        <v>47</v>
      </c>
      <c r="AO3" s="4" t="s">
        <v>48</v>
      </c>
      <c r="AP3" s="4" t="s">
        <v>50</v>
      </c>
      <c r="AQ3" s="4" t="s">
        <v>51</v>
      </c>
      <c r="AR3" s="4" t="s">
        <v>52</v>
      </c>
      <c r="AS3" s="4" t="s">
        <v>290</v>
      </c>
      <c r="AT3" s="39" t="s">
        <v>291</v>
      </c>
      <c r="AU3" s="4" t="s">
        <v>76</v>
      </c>
      <c r="AV3" s="4" t="s">
        <v>64</v>
      </c>
      <c r="AW3" s="4" t="s">
        <v>63</v>
      </c>
      <c r="AX3" s="4" t="s">
        <v>78</v>
      </c>
      <c r="AY3" s="4" t="s">
        <v>79</v>
      </c>
    </row>
    <row r="4" spans="2:51" ht="13.5">
      <c r="B4" s="3" t="s">
        <v>91</v>
      </c>
      <c r="C4" s="4">
        <v>100</v>
      </c>
      <c r="D4" s="4">
        <v>5</v>
      </c>
      <c r="E4" s="4">
        <v>3</v>
      </c>
      <c r="F4" s="4">
        <v>1</v>
      </c>
      <c r="G4" s="4">
        <v>5</v>
      </c>
      <c r="J4" s="2" t="s">
        <v>54</v>
      </c>
      <c r="K4" s="4">
        <v>0.8</v>
      </c>
      <c r="L4" s="4">
        <v>0.8</v>
      </c>
      <c r="M4" s="4">
        <v>0.8</v>
      </c>
      <c r="N4" s="4">
        <v>1</v>
      </c>
      <c r="O4" s="4">
        <v>1</v>
      </c>
      <c r="Q4" s="2" t="s">
        <v>109</v>
      </c>
      <c r="R4" s="4">
        <v>1</v>
      </c>
      <c r="S4" s="4">
        <v>1</v>
      </c>
      <c r="T4" s="4">
        <v>1</v>
      </c>
      <c r="U4" s="4">
        <v>1</v>
      </c>
      <c r="V4" s="4">
        <v>1</v>
      </c>
      <c r="X4" s="2">
        <v>10</v>
      </c>
      <c r="Y4" s="4">
        <v>0.1</v>
      </c>
      <c r="Z4" s="4">
        <v>0.1</v>
      </c>
      <c r="AA4" s="4">
        <v>0.1</v>
      </c>
      <c r="AB4" s="4">
        <v>0.1</v>
      </c>
      <c r="AC4" s="4">
        <v>0.1</v>
      </c>
      <c r="AE4" s="2">
        <v>10</v>
      </c>
      <c r="AF4" s="4">
        <v>0</v>
      </c>
      <c r="AG4" s="4">
        <v>0</v>
      </c>
      <c r="AH4" s="4">
        <v>0</v>
      </c>
      <c r="AI4" s="4">
        <v>0</v>
      </c>
      <c r="AJ4" s="4">
        <v>0</v>
      </c>
      <c r="AM4" s="4" t="s">
        <v>282</v>
      </c>
      <c r="AN4" s="4">
        <v>100</v>
      </c>
      <c r="AO4" s="4">
        <v>5</v>
      </c>
      <c r="AP4" s="4">
        <v>10</v>
      </c>
      <c r="AQ4" s="4">
        <v>1</v>
      </c>
      <c r="AR4" s="4">
        <v>5</v>
      </c>
      <c r="AS4" s="3" t="s">
        <v>293</v>
      </c>
      <c r="AT4" s="4" t="s">
        <v>86</v>
      </c>
      <c r="AU4" s="4" t="s">
        <v>36</v>
      </c>
      <c r="AV4" s="4" t="s">
        <v>272</v>
      </c>
      <c r="AW4" s="4" t="s">
        <v>91</v>
      </c>
      <c r="AX4" s="4" t="s">
        <v>92</v>
      </c>
      <c r="AY4" s="4" t="s">
        <v>94</v>
      </c>
    </row>
    <row r="5" spans="2:51" ht="13.5">
      <c r="B5" s="3" t="s">
        <v>101</v>
      </c>
      <c r="C5" s="4">
        <v>500</v>
      </c>
      <c r="D5" s="4">
        <v>25</v>
      </c>
      <c r="E5" s="4">
        <v>25</v>
      </c>
      <c r="F5" s="4">
        <v>2</v>
      </c>
      <c r="G5" s="4">
        <v>4</v>
      </c>
      <c r="J5" s="2" t="s">
        <v>57</v>
      </c>
      <c r="K5" s="4">
        <v>2</v>
      </c>
      <c r="L5" s="4">
        <v>2</v>
      </c>
      <c r="M5" s="4">
        <v>0.1</v>
      </c>
      <c r="N5" s="4">
        <v>2</v>
      </c>
      <c r="O5" s="4">
        <v>0.1</v>
      </c>
      <c r="Q5" s="2" t="s">
        <v>110</v>
      </c>
      <c r="R5" s="4">
        <v>1.2</v>
      </c>
      <c r="S5" s="4">
        <v>1.2</v>
      </c>
      <c r="T5" s="4">
        <v>1.2</v>
      </c>
      <c r="U5" s="4">
        <v>1.2</v>
      </c>
      <c r="V5" s="4">
        <v>1.2</v>
      </c>
      <c r="X5" s="2">
        <v>20</v>
      </c>
      <c r="Y5" s="4">
        <v>0.2</v>
      </c>
      <c r="Z5" s="4">
        <v>0.2</v>
      </c>
      <c r="AA5" s="4">
        <v>0.2</v>
      </c>
      <c r="AB5" s="4">
        <v>0.2</v>
      </c>
      <c r="AC5" s="4">
        <v>0.2</v>
      </c>
      <c r="AE5" s="2">
        <v>20</v>
      </c>
      <c r="AF5" s="4">
        <f>Y4*10+AF4</f>
        <v>1</v>
      </c>
      <c r="AG5" s="4">
        <f t="shared" ref="AG5:AJ5" si="0">Z4*10+AG4</f>
        <v>1</v>
      </c>
      <c r="AH5" s="4">
        <f t="shared" si="0"/>
        <v>1</v>
      </c>
      <c r="AI5" s="4">
        <f t="shared" si="0"/>
        <v>1</v>
      </c>
      <c r="AJ5" s="4">
        <f t="shared" si="0"/>
        <v>1</v>
      </c>
      <c r="AM5" s="4" t="s">
        <v>46</v>
      </c>
      <c r="AN5" s="4">
        <v>500</v>
      </c>
      <c r="AO5" s="4">
        <v>25</v>
      </c>
      <c r="AP5" s="4">
        <v>25</v>
      </c>
      <c r="AQ5" s="4">
        <v>2</v>
      </c>
      <c r="AR5" s="4">
        <v>1</v>
      </c>
      <c r="AS5" s="4" t="s">
        <v>294</v>
      </c>
      <c r="AT5" s="4" t="s">
        <v>87</v>
      </c>
      <c r="AU5" s="4" t="s">
        <v>37</v>
      </c>
      <c r="AV5" s="4" t="s">
        <v>272</v>
      </c>
      <c r="AW5" s="4" t="s">
        <v>91</v>
      </c>
      <c r="AX5" s="4" t="s">
        <v>92</v>
      </c>
      <c r="AY5" s="4" t="s">
        <v>94</v>
      </c>
    </row>
    <row r="6" spans="2:51" ht="13.5">
      <c r="B6" s="3" t="s">
        <v>102</v>
      </c>
      <c r="C6" s="4">
        <v>1000</v>
      </c>
      <c r="D6" s="4">
        <v>50</v>
      </c>
      <c r="E6" s="4">
        <v>50</v>
      </c>
      <c r="F6" s="4">
        <v>3</v>
      </c>
      <c r="G6" s="4">
        <v>3</v>
      </c>
      <c r="J6" s="2" t="s">
        <v>56</v>
      </c>
      <c r="K6" s="4">
        <v>1</v>
      </c>
      <c r="L6" s="4">
        <v>1</v>
      </c>
      <c r="M6" s="4">
        <v>2</v>
      </c>
      <c r="N6" s="4">
        <v>0.9</v>
      </c>
      <c r="O6" s="4">
        <v>2</v>
      </c>
      <c r="Q6" s="2" t="s">
        <v>111</v>
      </c>
      <c r="R6" s="4">
        <v>1.4</v>
      </c>
      <c r="S6" s="4">
        <v>1.4</v>
      </c>
      <c r="T6" s="4">
        <v>1.4</v>
      </c>
      <c r="U6" s="4">
        <v>1.4</v>
      </c>
      <c r="V6" s="4">
        <v>1.4</v>
      </c>
      <c r="X6" s="2">
        <v>30</v>
      </c>
      <c r="Y6" s="4">
        <v>0.3</v>
      </c>
      <c r="Z6" s="4">
        <v>0.3</v>
      </c>
      <c r="AA6" s="4">
        <v>0.3</v>
      </c>
      <c r="AB6" s="4">
        <v>0.3</v>
      </c>
      <c r="AC6" s="4">
        <v>0.3</v>
      </c>
      <c r="AE6" s="2">
        <v>30</v>
      </c>
      <c r="AF6" s="4">
        <f t="shared" ref="AF6:AF13" si="1">Y5*10+AF5</f>
        <v>3</v>
      </c>
      <c r="AG6" s="4">
        <f t="shared" ref="AG6:AG13" si="2">Z5*10+AG5</f>
        <v>3</v>
      </c>
      <c r="AH6" s="4">
        <f t="shared" ref="AH6:AH13" si="3">AA5*10+AH5</f>
        <v>3</v>
      </c>
      <c r="AI6" s="4">
        <f t="shared" ref="AI6:AI13" si="4">AB5*10+AI5</f>
        <v>3</v>
      </c>
      <c r="AJ6" s="4">
        <f t="shared" ref="AJ6:AJ13" si="5">AC5*10+AJ5</f>
        <v>3</v>
      </c>
      <c r="AM6" s="4" t="s">
        <v>283</v>
      </c>
      <c r="AN6" s="4">
        <v>100</v>
      </c>
      <c r="AO6" s="4">
        <v>3</v>
      </c>
      <c r="AP6" s="4">
        <v>15</v>
      </c>
      <c r="AQ6" s="4">
        <v>1.2</v>
      </c>
      <c r="AR6" s="4">
        <v>2</v>
      </c>
      <c r="AS6" s="4" t="s">
        <v>295</v>
      </c>
      <c r="AT6" s="4" t="s">
        <v>87</v>
      </c>
      <c r="AU6" s="4" t="s">
        <v>37</v>
      </c>
      <c r="AV6" s="4" t="s">
        <v>272</v>
      </c>
      <c r="AW6" s="4" t="s">
        <v>91</v>
      </c>
      <c r="AX6" s="4" t="s">
        <v>93</v>
      </c>
      <c r="AY6" s="4" t="s">
        <v>94</v>
      </c>
    </row>
    <row r="7" spans="2:51" ht="13.5">
      <c r="B7" s="3" t="s">
        <v>103</v>
      </c>
      <c r="C7" s="4">
        <v>5000</v>
      </c>
      <c r="D7" s="4">
        <v>250</v>
      </c>
      <c r="E7" s="4">
        <v>250</v>
      </c>
      <c r="F7" s="4">
        <v>4</v>
      </c>
      <c r="G7" s="4">
        <v>2</v>
      </c>
      <c r="J7" s="2" t="s">
        <v>55</v>
      </c>
      <c r="K7" s="4">
        <v>1</v>
      </c>
      <c r="L7" s="4">
        <v>1</v>
      </c>
      <c r="M7" s="4">
        <v>1</v>
      </c>
      <c r="N7" s="4">
        <v>1</v>
      </c>
      <c r="O7" s="4">
        <v>1</v>
      </c>
      <c r="Q7" s="2" t="s">
        <v>112</v>
      </c>
      <c r="R7" s="4">
        <v>1.6</v>
      </c>
      <c r="S7" s="4">
        <v>1.6</v>
      </c>
      <c r="T7" s="4">
        <v>1.6</v>
      </c>
      <c r="U7" s="4">
        <v>1.6</v>
      </c>
      <c r="V7" s="4">
        <v>1.6</v>
      </c>
      <c r="X7" s="2">
        <v>40</v>
      </c>
      <c r="Y7" s="4">
        <v>0.4</v>
      </c>
      <c r="Z7" s="4">
        <v>0.4</v>
      </c>
      <c r="AA7" s="4">
        <v>0.4</v>
      </c>
      <c r="AB7" s="4">
        <v>0.4</v>
      </c>
      <c r="AC7" s="4">
        <v>0.4</v>
      </c>
      <c r="AE7" s="2">
        <v>40</v>
      </c>
      <c r="AF7" s="4">
        <f t="shared" si="1"/>
        <v>6</v>
      </c>
      <c r="AG7" s="4">
        <f t="shared" si="2"/>
        <v>6</v>
      </c>
      <c r="AH7" s="4">
        <f t="shared" si="3"/>
        <v>6</v>
      </c>
      <c r="AI7" s="4">
        <f t="shared" si="4"/>
        <v>6</v>
      </c>
      <c r="AJ7" s="4">
        <f t="shared" si="5"/>
        <v>6</v>
      </c>
      <c r="AM7" s="4" t="s">
        <v>284</v>
      </c>
      <c r="AN7" s="4">
        <v>80</v>
      </c>
      <c r="AO7" s="4">
        <v>3</v>
      </c>
      <c r="AP7" s="4">
        <v>12</v>
      </c>
      <c r="AQ7" s="4">
        <v>0.8</v>
      </c>
      <c r="AR7" s="4">
        <v>7</v>
      </c>
      <c r="AS7" s="4" t="s">
        <v>299</v>
      </c>
      <c r="AT7" s="4" t="s">
        <v>86</v>
      </c>
      <c r="AU7" s="4" t="s">
        <v>36</v>
      </c>
      <c r="AV7" s="4" t="s">
        <v>272</v>
      </c>
      <c r="AW7" s="4" t="s">
        <v>91</v>
      </c>
      <c r="AX7" s="4" t="s">
        <v>92</v>
      </c>
      <c r="AY7" s="4" t="s">
        <v>95</v>
      </c>
    </row>
    <row r="8" spans="2:51" ht="13.5">
      <c r="B8" s="3" t="s">
        <v>104</v>
      </c>
      <c r="C8" s="4">
        <v>10000</v>
      </c>
      <c r="D8" s="4">
        <v>1000</v>
      </c>
      <c r="E8" s="4">
        <v>1000</v>
      </c>
      <c r="F8" s="4">
        <v>5</v>
      </c>
      <c r="G8" s="4">
        <v>1</v>
      </c>
      <c r="Q8" s="2" t="s">
        <v>113</v>
      </c>
      <c r="R8" s="4">
        <v>1.8</v>
      </c>
      <c r="S8" s="4">
        <v>1.8</v>
      </c>
      <c r="T8" s="4">
        <v>1.8</v>
      </c>
      <c r="U8" s="4">
        <v>1.8</v>
      </c>
      <c r="V8" s="4">
        <v>1.8</v>
      </c>
      <c r="X8" s="2">
        <v>50</v>
      </c>
      <c r="Y8" s="4">
        <v>0.5</v>
      </c>
      <c r="Z8" s="4">
        <v>0.5</v>
      </c>
      <c r="AA8" s="4">
        <v>0.5</v>
      </c>
      <c r="AB8" s="4">
        <v>0.5</v>
      </c>
      <c r="AC8" s="4">
        <v>0.5</v>
      </c>
      <c r="AE8" s="2">
        <v>50</v>
      </c>
      <c r="AF8" s="4">
        <f t="shared" si="1"/>
        <v>10</v>
      </c>
      <c r="AG8" s="4">
        <f t="shared" si="2"/>
        <v>10</v>
      </c>
      <c r="AH8" s="4">
        <f t="shared" si="3"/>
        <v>10</v>
      </c>
      <c r="AI8" s="4">
        <f t="shared" si="4"/>
        <v>10</v>
      </c>
      <c r="AJ8" s="4">
        <f t="shared" si="5"/>
        <v>10</v>
      </c>
      <c r="AM8" s="4" t="s">
        <v>285</v>
      </c>
      <c r="AN8" s="4">
        <v>10000</v>
      </c>
      <c r="AO8" s="4">
        <v>100</v>
      </c>
      <c r="AP8" s="4">
        <v>100</v>
      </c>
      <c r="AQ8" s="4">
        <v>10</v>
      </c>
      <c r="AR8" s="4">
        <v>1</v>
      </c>
      <c r="AS8" s="4" t="s">
        <v>296</v>
      </c>
      <c r="AT8" s="4" t="s">
        <v>99</v>
      </c>
      <c r="AU8" s="4" t="s">
        <v>41</v>
      </c>
      <c r="AV8" s="4" t="s">
        <v>272</v>
      </c>
      <c r="AW8" s="4" t="s">
        <v>99</v>
      </c>
      <c r="AX8" s="4" t="s">
        <v>92</v>
      </c>
      <c r="AY8" s="4" t="s">
        <v>94</v>
      </c>
    </row>
    <row r="9" spans="2:51" ht="13.5">
      <c r="Q9" s="2" t="s">
        <v>114</v>
      </c>
      <c r="R9" s="4">
        <v>2</v>
      </c>
      <c r="S9" s="4">
        <v>2</v>
      </c>
      <c r="T9" s="4">
        <v>2</v>
      </c>
      <c r="U9" s="4">
        <v>2</v>
      </c>
      <c r="V9" s="4">
        <v>2</v>
      </c>
      <c r="X9" s="2">
        <v>60</v>
      </c>
      <c r="Y9" s="4">
        <v>0.6</v>
      </c>
      <c r="Z9" s="4">
        <v>0.6</v>
      </c>
      <c r="AA9" s="4">
        <v>0.6</v>
      </c>
      <c r="AB9" s="4">
        <v>0.6</v>
      </c>
      <c r="AC9" s="4">
        <v>0.6</v>
      </c>
      <c r="AE9" s="2">
        <v>60</v>
      </c>
      <c r="AF9" s="4">
        <f t="shared" si="1"/>
        <v>15</v>
      </c>
      <c r="AG9" s="4">
        <f t="shared" si="2"/>
        <v>15</v>
      </c>
      <c r="AH9" s="4">
        <f t="shared" si="3"/>
        <v>15</v>
      </c>
      <c r="AI9" s="4">
        <f t="shared" si="4"/>
        <v>15</v>
      </c>
      <c r="AJ9" s="4">
        <f t="shared" si="5"/>
        <v>15</v>
      </c>
      <c r="AM9" s="4" t="s">
        <v>286</v>
      </c>
      <c r="AN9" s="4">
        <v>5000</v>
      </c>
      <c r="AO9" s="4">
        <v>30</v>
      </c>
      <c r="AP9" s="4">
        <v>30</v>
      </c>
      <c r="AQ9" s="4">
        <v>5</v>
      </c>
      <c r="AR9" s="4">
        <v>4</v>
      </c>
      <c r="AS9" s="4" t="s">
        <v>297</v>
      </c>
      <c r="AT9" s="3" t="s">
        <v>86</v>
      </c>
      <c r="AU9" s="4" t="s">
        <v>37</v>
      </c>
      <c r="AV9" s="4" t="s">
        <v>272</v>
      </c>
      <c r="AW9" s="4" t="s">
        <v>99</v>
      </c>
      <c r="AX9" s="4" t="s">
        <v>93</v>
      </c>
      <c r="AY9" s="4" t="s">
        <v>94</v>
      </c>
    </row>
    <row r="10" spans="2:51" ht="13.5">
      <c r="B10" s="81" t="s">
        <v>261</v>
      </c>
      <c r="C10" s="82"/>
      <c r="D10" s="82"/>
      <c r="E10" s="82"/>
      <c r="F10" s="82"/>
      <c r="G10" s="82"/>
      <c r="H10" s="82"/>
      <c r="Q10" s="2" t="s">
        <v>115</v>
      </c>
      <c r="R10" s="4">
        <v>2.2000000000000002</v>
      </c>
      <c r="S10" s="4">
        <v>2.2000000000000002</v>
      </c>
      <c r="T10" s="4">
        <v>2.2000000000000002</v>
      </c>
      <c r="U10" s="4">
        <v>2.2000000000000002</v>
      </c>
      <c r="V10" s="4">
        <v>2.2000000000000002</v>
      </c>
      <c r="X10" s="2">
        <v>70</v>
      </c>
      <c r="Y10" s="4">
        <v>0.7</v>
      </c>
      <c r="Z10" s="4">
        <v>0.7</v>
      </c>
      <c r="AA10" s="4">
        <v>0.7</v>
      </c>
      <c r="AB10" s="4">
        <v>0.7</v>
      </c>
      <c r="AC10" s="4">
        <v>0.7</v>
      </c>
      <c r="AE10" s="2">
        <v>70</v>
      </c>
      <c r="AF10" s="4">
        <f t="shared" si="1"/>
        <v>21</v>
      </c>
      <c r="AG10" s="4">
        <f t="shared" si="2"/>
        <v>21</v>
      </c>
      <c r="AH10" s="4">
        <f t="shared" si="3"/>
        <v>21</v>
      </c>
      <c r="AI10" s="4">
        <f t="shared" si="4"/>
        <v>21</v>
      </c>
      <c r="AJ10" s="4">
        <f t="shared" si="5"/>
        <v>21</v>
      </c>
      <c r="AM10" s="4" t="s">
        <v>287</v>
      </c>
      <c r="AN10" s="4">
        <v>100000</v>
      </c>
      <c r="AO10" s="4">
        <v>1000</v>
      </c>
      <c r="AP10" s="4">
        <v>150</v>
      </c>
      <c r="AQ10" s="4">
        <v>10</v>
      </c>
      <c r="AR10" s="4">
        <v>3</v>
      </c>
      <c r="AS10" s="4" t="s">
        <v>298</v>
      </c>
      <c r="AT10" s="4" t="s">
        <v>99</v>
      </c>
      <c r="AU10" s="4" t="s">
        <v>41</v>
      </c>
      <c r="AV10" s="4" t="s">
        <v>272</v>
      </c>
      <c r="AW10" s="4" t="s">
        <v>100</v>
      </c>
      <c r="AX10" s="4" t="s">
        <v>92</v>
      </c>
      <c r="AY10" s="4" t="s">
        <v>94</v>
      </c>
    </row>
    <row r="11" spans="2:51" ht="13.5">
      <c r="B11" s="2" t="s">
        <v>58</v>
      </c>
      <c r="C11" s="3" t="s">
        <v>47</v>
      </c>
      <c r="D11" s="3" t="s">
        <v>48</v>
      </c>
      <c r="E11" s="3" t="s">
        <v>50</v>
      </c>
      <c r="F11" s="3" t="s">
        <v>51</v>
      </c>
      <c r="G11" s="3" t="s">
        <v>52</v>
      </c>
      <c r="H11" s="3" t="s">
        <v>49</v>
      </c>
      <c r="Q11" s="2" t="s">
        <v>116</v>
      </c>
      <c r="R11" s="4">
        <v>2.4</v>
      </c>
      <c r="S11" s="4">
        <v>2.4</v>
      </c>
      <c r="T11" s="4">
        <v>2.4</v>
      </c>
      <c r="U11" s="4">
        <v>2.4</v>
      </c>
      <c r="V11" s="4">
        <v>2.4</v>
      </c>
      <c r="X11" s="2">
        <v>80</v>
      </c>
      <c r="Y11" s="4">
        <v>0.8</v>
      </c>
      <c r="Z11" s="4">
        <v>0.8</v>
      </c>
      <c r="AA11" s="4">
        <v>0.8</v>
      </c>
      <c r="AB11" s="4">
        <v>0.8</v>
      </c>
      <c r="AC11" s="4">
        <v>0.8</v>
      </c>
      <c r="AE11" s="2">
        <v>80</v>
      </c>
      <c r="AF11" s="4">
        <f t="shared" si="1"/>
        <v>28</v>
      </c>
      <c r="AG11" s="4">
        <f t="shared" si="2"/>
        <v>28</v>
      </c>
      <c r="AH11" s="4">
        <f t="shared" si="3"/>
        <v>28</v>
      </c>
      <c r="AI11" s="4">
        <f t="shared" si="4"/>
        <v>28</v>
      </c>
      <c r="AJ11" s="4">
        <f t="shared" si="5"/>
        <v>28</v>
      </c>
      <c r="AM11" s="4" t="s">
        <v>288</v>
      </c>
      <c r="AN11" s="4">
        <v>10000</v>
      </c>
      <c r="AO11" s="4">
        <v>0</v>
      </c>
      <c r="AP11" s="4">
        <v>0</v>
      </c>
      <c r="AQ11" s="4">
        <v>0</v>
      </c>
      <c r="AR11" s="4">
        <v>0</v>
      </c>
      <c r="AS11" s="4" t="s">
        <v>300</v>
      </c>
      <c r="AT11" s="4" t="s">
        <v>99</v>
      </c>
      <c r="AU11" s="4" t="s">
        <v>41</v>
      </c>
      <c r="AV11" s="4" t="s">
        <v>273</v>
      </c>
      <c r="AW11" s="4" t="s">
        <v>100</v>
      </c>
      <c r="AX11" s="4" t="s">
        <v>92</v>
      </c>
      <c r="AY11" s="4" t="s">
        <v>94</v>
      </c>
    </row>
    <row r="12" spans="2:51" ht="13.5">
      <c r="B12" s="5" t="s">
        <v>105</v>
      </c>
      <c r="C12" s="4">
        <v>1</v>
      </c>
      <c r="D12" s="4">
        <v>1</v>
      </c>
      <c r="E12" s="4">
        <v>1</v>
      </c>
      <c r="F12" s="4">
        <v>1</v>
      </c>
      <c r="G12" s="4">
        <v>1</v>
      </c>
      <c r="H12" s="4">
        <v>1</v>
      </c>
      <c r="Q12" s="2" t="s">
        <v>117</v>
      </c>
      <c r="R12" s="4">
        <v>2.6</v>
      </c>
      <c r="S12" s="4">
        <v>2.6</v>
      </c>
      <c r="T12" s="4">
        <v>2.6</v>
      </c>
      <c r="U12" s="4">
        <v>2.6</v>
      </c>
      <c r="V12" s="4">
        <v>2.6</v>
      </c>
      <c r="X12" s="2">
        <v>90</v>
      </c>
      <c r="Y12" s="4">
        <v>0.9</v>
      </c>
      <c r="Z12" s="4">
        <v>0.9</v>
      </c>
      <c r="AA12" s="4">
        <v>0.9</v>
      </c>
      <c r="AB12" s="4">
        <v>0.9</v>
      </c>
      <c r="AC12" s="4">
        <v>0.9</v>
      </c>
      <c r="AE12" s="2">
        <v>90</v>
      </c>
      <c r="AF12" s="4">
        <f t="shared" si="1"/>
        <v>36</v>
      </c>
      <c r="AG12" s="4">
        <f t="shared" si="2"/>
        <v>36</v>
      </c>
      <c r="AH12" s="4">
        <f t="shared" si="3"/>
        <v>36</v>
      </c>
      <c r="AI12" s="4">
        <f t="shared" si="4"/>
        <v>36</v>
      </c>
      <c r="AJ12" s="4">
        <f t="shared" si="5"/>
        <v>36</v>
      </c>
      <c r="AM12" s="4" t="s">
        <v>289</v>
      </c>
      <c r="AN12" s="4">
        <v>10000</v>
      </c>
      <c r="AO12" s="4">
        <v>50</v>
      </c>
      <c r="AP12" s="4">
        <v>0</v>
      </c>
      <c r="AQ12" s="4">
        <v>0</v>
      </c>
      <c r="AR12" s="4">
        <v>0</v>
      </c>
      <c r="AS12" s="4" t="s">
        <v>301</v>
      </c>
      <c r="AT12" s="4" t="s">
        <v>87</v>
      </c>
      <c r="AU12" s="4" t="s">
        <v>37</v>
      </c>
      <c r="AV12" s="4" t="s">
        <v>274</v>
      </c>
      <c r="AW12" s="4" t="s">
        <v>91</v>
      </c>
      <c r="AX12" s="4" t="s">
        <v>92</v>
      </c>
      <c r="AY12" s="4" t="s">
        <v>94</v>
      </c>
    </row>
    <row r="13" spans="2:51" ht="13.5">
      <c r="B13" s="2" t="s">
        <v>106</v>
      </c>
      <c r="C13" s="4">
        <v>0.8</v>
      </c>
      <c r="D13" s="4">
        <v>0.8</v>
      </c>
      <c r="E13" s="4">
        <v>1.2</v>
      </c>
      <c r="F13" s="4">
        <v>1.5</v>
      </c>
      <c r="G13" s="4">
        <v>1</v>
      </c>
      <c r="H13" s="4">
        <v>4</v>
      </c>
      <c r="Q13" s="2" t="s">
        <v>118</v>
      </c>
      <c r="R13" s="4">
        <v>2.8</v>
      </c>
      <c r="S13" s="4">
        <v>2.8</v>
      </c>
      <c r="T13" s="4">
        <v>2.8</v>
      </c>
      <c r="U13" s="4">
        <v>2.8</v>
      </c>
      <c r="V13" s="4">
        <v>2.8</v>
      </c>
      <c r="X13" s="2">
        <v>100</v>
      </c>
      <c r="Y13" s="4">
        <v>1</v>
      </c>
      <c r="Z13" s="4">
        <v>1</v>
      </c>
      <c r="AA13" s="4">
        <v>1</v>
      </c>
      <c r="AB13" s="4">
        <v>1</v>
      </c>
      <c r="AC13" s="4">
        <v>1</v>
      </c>
      <c r="AE13" s="2">
        <v>100</v>
      </c>
      <c r="AF13" s="4">
        <f t="shared" si="1"/>
        <v>45</v>
      </c>
      <c r="AG13" s="4">
        <f t="shared" si="2"/>
        <v>45</v>
      </c>
      <c r="AH13" s="4">
        <f t="shared" si="3"/>
        <v>45</v>
      </c>
      <c r="AI13" s="4">
        <f t="shared" si="4"/>
        <v>45</v>
      </c>
      <c r="AJ13" s="4">
        <f t="shared" si="5"/>
        <v>45</v>
      </c>
      <c r="AM13" s="2" t="s">
        <v>354</v>
      </c>
      <c r="AN13" s="4">
        <v>100</v>
      </c>
      <c r="AO13" s="4">
        <v>50</v>
      </c>
      <c r="AP13" s="4">
        <v>3</v>
      </c>
      <c r="AQ13" s="4">
        <v>2</v>
      </c>
      <c r="AR13" s="4">
        <v>2</v>
      </c>
      <c r="AS13" s="3" t="s">
        <v>367</v>
      </c>
      <c r="AT13" s="3" t="s">
        <v>86</v>
      </c>
      <c r="AU13" s="4" t="s">
        <v>37</v>
      </c>
      <c r="AV13" s="4" t="s">
        <v>272</v>
      </c>
      <c r="AW13" s="4" t="s">
        <v>91</v>
      </c>
      <c r="AX13" s="4" t="s">
        <v>92</v>
      </c>
      <c r="AY13" s="4" t="s">
        <v>94</v>
      </c>
    </row>
    <row r="14" spans="2:51" ht="13.5">
      <c r="Q14" s="2" t="s">
        <v>119</v>
      </c>
      <c r="R14" s="4">
        <v>3</v>
      </c>
      <c r="S14" s="4">
        <v>3</v>
      </c>
      <c r="T14" s="4">
        <v>3</v>
      </c>
      <c r="U14" s="4">
        <v>3</v>
      </c>
      <c r="V14" s="4">
        <v>3</v>
      </c>
      <c r="AM14" s="2" t="s">
        <v>356</v>
      </c>
      <c r="AN14" s="4">
        <v>100</v>
      </c>
      <c r="AO14" s="4">
        <v>5</v>
      </c>
      <c r="AP14" s="4">
        <v>3</v>
      </c>
      <c r="AQ14" s="4">
        <v>1</v>
      </c>
      <c r="AR14" s="4">
        <v>8</v>
      </c>
      <c r="AS14" s="3" t="s">
        <v>368</v>
      </c>
      <c r="AT14" s="3" t="s">
        <v>99</v>
      </c>
      <c r="AU14" s="4" t="s">
        <v>36</v>
      </c>
      <c r="AV14" s="4" t="s">
        <v>272</v>
      </c>
      <c r="AW14" s="4" t="s">
        <v>91</v>
      </c>
      <c r="AX14" s="4" t="s">
        <v>92</v>
      </c>
      <c r="AY14" s="4" t="s">
        <v>94</v>
      </c>
    </row>
    <row r="15" spans="2:51" ht="13.5">
      <c r="B15" s="78" t="s">
        <v>53</v>
      </c>
      <c r="C15" s="78"/>
      <c r="D15" s="78"/>
      <c r="E15" s="78"/>
      <c r="F15" s="78"/>
      <c r="G15" s="78"/>
      <c r="Q15" s="2" t="s">
        <v>120</v>
      </c>
      <c r="R15" s="4">
        <v>3.2</v>
      </c>
      <c r="S15" s="4">
        <v>3.2</v>
      </c>
      <c r="T15" s="4">
        <v>3.2</v>
      </c>
      <c r="U15" s="4">
        <v>3.2</v>
      </c>
      <c r="V15" s="4">
        <v>3.2</v>
      </c>
      <c r="AM15" s="2" t="s">
        <v>358</v>
      </c>
      <c r="AN15" s="4">
        <v>100</v>
      </c>
      <c r="AO15" s="4">
        <v>5</v>
      </c>
      <c r="AP15" s="4">
        <v>3</v>
      </c>
      <c r="AQ15" s="4">
        <v>0.5</v>
      </c>
      <c r="AR15" s="4">
        <v>2</v>
      </c>
      <c r="AS15" s="3" t="s">
        <v>369</v>
      </c>
      <c r="AT15" s="4" t="s">
        <v>86</v>
      </c>
      <c r="AU15" s="4" t="s">
        <v>36</v>
      </c>
      <c r="AV15" s="4" t="s">
        <v>272</v>
      </c>
      <c r="AW15" s="4" t="s">
        <v>91</v>
      </c>
      <c r="AX15" s="4" t="s">
        <v>92</v>
      </c>
      <c r="AY15" s="4" t="s">
        <v>94</v>
      </c>
    </row>
    <row r="16" spans="2:51" ht="13.5">
      <c r="B16" s="2" t="s">
        <v>61</v>
      </c>
      <c r="C16" s="3" t="s">
        <v>47</v>
      </c>
      <c r="D16" s="3" t="s">
        <v>48</v>
      </c>
      <c r="E16" s="3" t="s">
        <v>50</v>
      </c>
      <c r="F16" s="3" t="s">
        <v>51</v>
      </c>
      <c r="G16" s="3" t="s">
        <v>52</v>
      </c>
      <c r="AM16" s="2" t="s">
        <v>360</v>
      </c>
      <c r="AN16" s="4">
        <v>3000</v>
      </c>
      <c r="AO16" s="4">
        <v>50</v>
      </c>
      <c r="AP16" s="4">
        <v>25</v>
      </c>
      <c r="AQ16" s="4">
        <v>2</v>
      </c>
      <c r="AR16" s="4">
        <v>1</v>
      </c>
      <c r="AS16" s="3" t="s">
        <v>370</v>
      </c>
      <c r="AT16" s="3" t="s">
        <v>87</v>
      </c>
      <c r="AU16" s="4" t="s">
        <v>36</v>
      </c>
      <c r="AV16" s="4" t="s">
        <v>272</v>
      </c>
      <c r="AW16" s="4" t="s">
        <v>99</v>
      </c>
      <c r="AX16" s="4" t="s">
        <v>92</v>
      </c>
      <c r="AY16" s="4" t="s">
        <v>94</v>
      </c>
    </row>
    <row r="17" spans="2:51" ht="13.5">
      <c r="B17" s="2" t="s">
        <v>107</v>
      </c>
      <c r="C17" s="4">
        <v>1.5</v>
      </c>
      <c r="D17" s="4">
        <v>1.5</v>
      </c>
      <c r="E17" s="4">
        <v>1.5</v>
      </c>
      <c r="F17" s="4">
        <v>1</v>
      </c>
      <c r="G17" s="4">
        <v>1</v>
      </c>
      <c r="AM17" s="2" t="s">
        <v>362</v>
      </c>
      <c r="AN17" s="4">
        <v>5000</v>
      </c>
      <c r="AO17" s="4">
        <v>20</v>
      </c>
      <c r="AP17" s="4">
        <v>10</v>
      </c>
      <c r="AQ17" s="4">
        <v>0.6</v>
      </c>
      <c r="AR17" s="4">
        <v>5</v>
      </c>
      <c r="AS17" s="3" t="s">
        <v>371</v>
      </c>
      <c r="AT17" s="3" t="s">
        <v>87</v>
      </c>
      <c r="AU17" s="4" t="s">
        <v>37</v>
      </c>
      <c r="AV17" s="4" t="s">
        <v>272</v>
      </c>
      <c r="AW17" s="4" t="s">
        <v>99</v>
      </c>
      <c r="AX17" s="4" t="s">
        <v>92</v>
      </c>
      <c r="AY17" s="4" t="s">
        <v>94</v>
      </c>
    </row>
    <row r="18" spans="2:51" ht="13.5">
      <c r="B18" s="2" t="s">
        <v>108</v>
      </c>
      <c r="C18" s="4">
        <v>1</v>
      </c>
      <c r="D18" s="4">
        <v>1</v>
      </c>
      <c r="E18" s="4">
        <v>1</v>
      </c>
      <c r="F18" s="4">
        <v>1</v>
      </c>
      <c r="G18" s="4">
        <v>3</v>
      </c>
      <c r="AM18" s="2" t="s">
        <v>364</v>
      </c>
      <c r="AN18" s="4">
        <v>8000</v>
      </c>
      <c r="AO18" s="4">
        <v>30</v>
      </c>
      <c r="AP18" s="4">
        <v>200</v>
      </c>
      <c r="AQ18" s="4">
        <v>8</v>
      </c>
      <c r="AR18" s="4">
        <v>1</v>
      </c>
      <c r="AS18" s="3" t="s">
        <v>372</v>
      </c>
      <c r="AT18" s="4" t="s">
        <v>99</v>
      </c>
      <c r="AU18" s="4" t="s">
        <v>37</v>
      </c>
      <c r="AV18" s="4" t="s">
        <v>272</v>
      </c>
      <c r="AW18" s="4" t="s">
        <v>99</v>
      </c>
      <c r="AX18" s="4" t="s">
        <v>92</v>
      </c>
      <c r="AY18" s="4" t="s">
        <v>94</v>
      </c>
    </row>
    <row r="19" spans="2:51" ht="13.5">
      <c r="AM19" s="2" t="s">
        <v>366</v>
      </c>
      <c r="AN19" s="4">
        <v>5000</v>
      </c>
      <c r="AO19" s="4">
        <v>30</v>
      </c>
      <c r="AP19" s="4">
        <v>30</v>
      </c>
      <c r="AQ19" s="4">
        <v>2</v>
      </c>
      <c r="AR19" s="4">
        <v>3</v>
      </c>
      <c r="AS19" s="3" t="s">
        <v>373</v>
      </c>
      <c r="AT19" s="4" t="s">
        <v>99</v>
      </c>
      <c r="AU19" s="4" t="s">
        <v>41</v>
      </c>
      <c r="AV19" s="4" t="s">
        <v>272</v>
      </c>
      <c r="AW19" s="4" t="s">
        <v>99</v>
      </c>
      <c r="AX19" s="4" t="s">
        <v>92</v>
      </c>
      <c r="AY19" s="3" t="s">
        <v>95</v>
      </c>
    </row>
    <row r="20" spans="2:51" ht="13.5">
      <c r="B20" s="67" t="s">
        <v>135</v>
      </c>
      <c r="C20" s="67"/>
      <c r="AM20" s="62"/>
    </row>
    <row r="21" spans="2:51" ht="13.5">
      <c r="B21" s="2" t="s">
        <v>152</v>
      </c>
      <c r="C21" s="2" t="s">
        <v>151</v>
      </c>
    </row>
    <row r="22" spans="2:51">
      <c r="B22" s="4">
        <v>250</v>
      </c>
      <c r="C22" s="4">
        <v>250</v>
      </c>
    </row>
  </sheetData>
  <mergeCells count="10">
    <mergeCell ref="B20:C20"/>
    <mergeCell ref="B1:AC1"/>
    <mergeCell ref="X2:AC2"/>
    <mergeCell ref="B2:G2"/>
    <mergeCell ref="AM2:AR2"/>
    <mergeCell ref="B15:G15"/>
    <mergeCell ref="J2:O2"/>
    <mergeCell ref="Q2:V2"/>
    <mergeCell ref="B10:H10"/>
    <mergeCell ref="AE2:AJ2"/>
  </mergeCells>
  <phoneticPr fontId="3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F371"/>
  <sheetViews>
    <sheetView zoomScale="75" zoomScaleNormal="75" workbookViewId="0">
      <pane ySplit="4" topLeftCell="A5" activePane="bottomLeft" state="frozen"/>
      <selection pane="bottomLeft" activeCell="T32" sqref="T32"/>
    </sheetView>
  </sheetViews>
  <sheetFormatPr defaultColWidth="12.5703125" defaultRowHeight="15.75" customHeight="1"/>
  <cols>
    <col min="1" max="1" width="31.28515625" customWidth="1"/>
    <col min="2" max="2" width="28.42578125" customWidth="1"/>
    <col min="3" max="3" width="19.28515625" customWidth="1"/>
    <col min="4" max="4" width="24.5703125" customWidth="1"/>
    <col min="5" max="6" width="16.7109375" customWidth="1"/>
    <col min="7" max="7" width="10.85546875" customWidth="1"/>
    <col min="8" max="8" width="17.7109375" customWidth="1"/>
    <col min="9" max="9" width="16.7109375" customWidth="1"/>
    <col min="10" max="10" width="21.28515625" customWidth="1"/>
    <col min="11" max="11" width="14.85546875" bestFit="1" customWidth="1"/>
    <col min="12" max="12" width="14.85546875" customWidth="1"/>
    <col min="13" max="17" width="16.7109375" customWidth="1"/>
    <col min="18" max="18" width="24.5703125" customWidth="1"/>
    <col min="19" max="19" width="28.7109375" customWidth="1"/>
    <col min="20" max="27" width="16.7109375" customWidth="1"/>
    <col min="29" max="29" width="54.7109375" customWidth="1"/>
    <col min="30" max="30" width="26.42578125" customWidth="1"/>
    <col min="31" max="31" width="20.7109375" customWidth="1"/>
  </cols>
  <sheetData>
    <row r="1" spans="1:32" ht="129.94999999999999" customHeight="1">
      <c r="A1" s="68" t="s">
        <v>267</v>
      </c>
      <c r="B1" s="68"/>
      <c r="C1" s="68"/>
      <c r="D1" s="68"/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</row>
    <row r="2" spans="1:32" ht="15.75" customHeight="1">
      <c r="A2" s="24" t="s">
        <v>62</v>
      </c>
      <c r="B2" s="24" t="s">
        <v>280</v>
      </c>
      <c r="C2" s="24" t="s">
        <v>279</v>
      </c>
      <c r="D2" s="24" t="s">
        <v>281</v>
      </c>
      <c r="E2" s="25" t="s">
        <v>75</v>
      </c>
      <c r="F2" s="26" t="s">
        <v>72</v>
      </c>
      <c r="G2" s="26" t="s">
        <v>96</v>
      </c>
      <c r="H2" s="26" t="s">
        <v>90</v>
      </c>
      <c r="I2" s="25" t="s">
        <v>63</v>
      </c>
      <c r="J2" s="26" t="s">
        <v>78</v>
      </c>
      <c r="K2" s="24" t="s">
        <v>79</v>
      </c>
      <c r="L2" s="24" t="s">
        <v>66</v>
      </c>
      <c r="M2" s="24" t="s">
        <v>67</v>
      </c>
      <c r="N2" s="24" t="s">
        <v>65</v>
      </c>
      <c r="O2" s="24" t="s">
        <v>68</v>
      </c>
      <c r="P2" s="24" t="s">
        <v>70</v>
      </c>
      <c r="Q2" s="24" t="s">
        <v>69</v>
      </c>
      <c r="R2" s="24" t="s">
        <v>76</v>
      </c>
      <c r="S2" s="24" t="s">
        <v>77</v>
      </c>
      <c r="T2" s="24" t="s">
        <v>64</v>
      </c>
      <c r="U2" s="24" t="s">
        <v>80</v>
      </c>
      <c r="V2" s="24" t="s">
        <v>81</v>
      </c>
      <c r="W2" s="24" t="s">
        <v>82</v>
      </c>
      <c r="X2" s="24" t="s">
        <v>83</v>
      </c>
      <c r="Y2" s="24" t="s">
        <v>84</v>
      </c>
      <c r="Z2" s="24" t="s">
        <v>85</v>
      </c>
      <c r="AA2" s="24" t="s">
        <v>266</v>
      </c>
      <c r="AB2" s="24" t="s">
        <v>97</v>
      </c>
      <c r="AC2" s="24" t="s">
        <v>303</v>
      </c>
      <c r="AD2" s="24" t="s">
        <v>302</v>
      </c>
    </row>
    <row r="3" spans="1:32" ht="15.75" customHeight="1">
      <c r="A3" s="8" t="s">
        <v>6</v>
      </c>
      <c r="B3" s="23" t="s">
        <v>292</v>
      </c>
      <c r="C3" s="23" t="s">
        <v>195</v>
      </c>
      <c r="D3" s="8" t="s">
        <v>6</v>
      </c>
      <c r="E3" s="8" t="s">
        <v>6</v>
      </c>
      <c r="F3" s="8" t="s">
        <v>6</v>
      </c>
      <c r="G3" s="9" t="s">
        <v>137</v>
      </c>
      <c r="H3" s="23" t="s">
        <v>195</v>
      </c>
      <c r="I3" s="8" t="s">
        <v>6</v>
      </c>
      <c r="J3" s="8" t="s">
        <v>6</v>
      </c>
      <c r="K3" s="8" t="s">
        <v>6</v>
      </c>
      <c r="L3" s="23" t="s">
        <v>138</v>
      </c>
      <c r="M3" s="23" t="s">
        <v>138</v>
      </c>
      <c r="N3" s="23" t="s">
        <v>138</v>
      </c>
      <c r="O3" s="23" t="s">
        <v>138</v>
      </c>
      <c r="P3" s="23" t="s">
        <v>138</v>
      </c>
      <c r="Q3" s="23" t="s">
        <v>138</v>
      </c>
      <c r="R3" s="8" t="s">
        <v>6</v>
      </c>
      <c r="S3" s="8" t="s">
        <v>6</v>
      </c>
      <c r="T3" s="8" t="s">
        <v>6</v>
      </c>
      <c r="U3" s="8" t="s">
        <v>14</v>
      </c>
      <c r="V3" s="8" t="s">
        <v>14</v>
      </c>
      <c r="W3" s="8" t="s">
        <v>14</v>
      </c>
      <c r="X3" s="8" t="s">
        <v>21</v>
      </c>
      <c r="Y3" s="8" t="s">
        <v>21</v>
      </c>
      <c r="Z3" s="8" t="s">
        <v>21</v>
      </c>
      <c r="AA3" s="23" t="s">
        <v>138</v>
      </c>
      <c r="AB3" s="8" t="s">
        <v>147</v>
      </c>
      <c r="AC3" s="8" t="s">
        <v>74</v>
      </c>
      <c r="AD3" s="8" t="s">
        <v>74</v>
      </c>
      <c r="AF3" s="10"/>
    </row>
    <row r="4" spans="1:32" ht="15.75" customHeight="1">
      <c r="A4" s="11" t="s">
        <v>5</v>
      </c>
      <c r="B4" s="11" t="s">
        <v>8</v>
      </c>
      <c r="C4" s="11" t="s">
        <v>8</v>
      </c>
      <c r="D4" s="11" t="s">
        <v>8</v>
      </c>
      <c r="E4" s="11" t="s">
        <v>30</v>
      </c>
      <c r="F4" s="11" t="s">
        <v>194</v>
      </c>
      <c r="G4" s="12" t="s">
        <v>136</v>
      </c>
      <c r="H4" s="11" t="s">
        <v>200</v>
      </c>
      <c r="I4" s="11" t="s">
        <v>10</v>
      </c>
      <c r="J4" s="11" t="s">
        <v>27</v>
      </c>
      <c r="K4" s="11" t="s">
        <v>29</v>
      </c>
      <c r="L4" s="11" t="s">
        <v>16</v>
      </c>
      <c r="M4" s="11" t="s">
        <v>18</v>
      </c>
      <c r="N4" s="11" t="s">
        <v>13</v>
      </c>
      <c r="O4" s="11" t="s">
        <v>20</v>
      </c>
      <c r="P4" s="11" t="s">
        <v>25</v>
      </c>
      <c r="Q4" s="11" t="s">
        <v>23</v>
      </c>
      <c r="R4" s="11" t="s">
        <v>31</v>
      </c>
      <c r="S4" s="11" t="s">
        <v>33</v>
      </c>
      <c r="T4" s="11" t="s">
        <v>12</v>
      </c>
      <c r="U4" s="11" t="s">
        <v>16</v>
      </c>
      <c r="V4" s="11" t="s">
        <v>18</v>
      </c>
      <c r="W4" s="11" t="s">
        <v>13</v>
      </c>
      <c r="X4" s="11" t="s">
        <v>20</v>
      </c>
      <c r="Y4" s="11" t="s">
        <v>25</v>
      </c>
      <c r="Z4" s="11" t="s">
        <v>23</v>
      </c>
      <c r="AA4" s="11" t="s">
        <v>148</v>
      </c>
      <c r="AB4" s="11" t="s">
        <v>148</v>
      </c>
      <c r="AC4" s="11" t="s">
        <v>149</v>
      </c>
      <c r="AD4" s="11" t="s">
        <v>150</v>
      </c>
    </row>
    <row r="5" spans="1:32" ht="15.75" customHeight="1">
      <c r="A5" s="13" t="str">
        <f>T5&amp;"_"&amp;F5&amp;VLOOKUP($C5, Factor!$AM$4:$AY$30, 7, 0)&amp;IF(COUNTIFS($C$4:C4, C5, $F$4:F4, F5)+1&gt;=100, COUNTIFS($C$4:C4, C5, $F$4:F4, F5)+1,IF(COUNTIFS($C$4:C4, C5, $F$4:F4, F5)+1&gt;=10, "0"&amp;COUNTIFS($C$4:C4, C5, $F$4:F4, F5)+1, "00"&amp;COUNTIFS($C$4:C4, C5, $F$4:F4, F5)+1))</f>
        <v>enpc_F01_A_Lava_001</v>
      </c>
      <c r="B5" s="13"/>
      <c r="C5" s="13" t="s">
        <v>35</v>
      </c>
      <c r="D5" s="13" t="str">
        <f>B5&amp;C5</f>
        <v>라바</v>
      </c>
      <c r="E5" s="13" t="str">
        <f>VLOOKUP($C5, Factor!$AM$4:$AY$30, 8, 0)</f>
        <v>S</v>
      </c>
      <c r="F5" s="13" t="s">
        <v>89</v>
      </c>
      <c r="G5" s="14">
        <v>1</v>
      </c>
      <c r="H5" s="13" t="s">
        <v>73</v>
      </c>
      <c r="I5" s="13" t="str">
        <f>VLOOKUP($C5, Factor!$AM$4:$AY$30, 11, 0)</f>
        <v>A</v>
      </c>
      <c r="J5" s="13" t="str">
        <f>VLOOKUP($C5, Factor!$AM$4:$AY$30, 12, 0)</f>
        <v>ml</v>
      </c>
      <c r="K5" s="13" t="str">
        <f>VLOOKUP($C5, Factor!$AM$4:$AY$30, 13, 0)</f>
        <v>L</v>
      </c>
      <c r="L5" s="13">
        <v>1</v>
      </c>
      <c r="M5" s="13">
        <v>1</v>
      </c>
      <c r="N5" s="13">
        <v>1</v>
      </c>
      <c r="O5" s="13">
        <v>1</v>
      </c>
      <c r="P5" s="13">
        <v>1</v>
      </c>
      <c r="Q5" s="13">
        <v>1</v>
      </c>
      <c r="R5" s="13" t="str">
        <f>VLOOKUP($C5, Factor!$AM$4:$AY$30, 9, 0)</f>
        <v>Small</v>
      </c>
      <c r="S5" s="13" t="s">
        <v>88</v>
      </c>
      <c r="T5" s="13" t="str">
        <f>VLOOKUP($C5, Factor!$AM$4:$AY$30, 10, 0)</f>
        <v>enpc</v>
      </c>
      <c r="U5" s="13" cm="1">
        <f t="array" ref="U5">L5*VLOOKUP($I5, Factor!$B$4:$G$8, 2, 0)*VLOOKUP($J5, Factor!$B$12:$G$13, 2, 0)*VLOOKUP($K5, Factor!$B$17:$G$18, 2, 0)*VLOOKUP($H5, Factor!$J$4:$O$7, 2, 0)*VLOOKUP($F5, Factor!$Q$4:$V$15, 2, 0)*IF(MOD($G5,10)=0, 10, MOD($G5, 10))*((INDEX(Factor!$X$4:$AC$13, _xlfn.XMATCH($G5, Factor!$X$4:$X$13, 1),2)*IF(MOD(G5, 10) = 0, 10, MOD(G5, 10)))+INDEX(Factor!$AE$4:$AJ$13, _xlfn.XMATCH(MonsterData!$G5, Factor!$AE$4:$AE$13, 1),2))</f>
        <v>12</v>
      </c>
      <c r="V5" s="13" cm="1">
        <f t="array" ref="V5">M5*VLOOKUP($I5, Factor!$B$4:$G$8, 3, 0)*VLOOKUP($J5, Factor!$B$12:$G$13, 3, 0)*VLOOKUP($K5, Factor!$B$17:$G$18, 3, 0)*VLOOKUP($H5, Factor!$J$4:$O$7, 3, 0)*VLOOKUP($F5, Factor!$Q$4:$V$15, 3, 0)*IF(MOD($G5,10)=0, 10, MOD($G5, 10))*((INDEX(Factor!$X$4:$AC$13, _xlfn.XMATCH($G5, Factor!$X$4:$X$13, 1),3)*IF(MOD(G5, 10) = 0, 10, MOD(G5, 10)))+INDEX(Factor!$AE$4:$AJ$13, _xlfn.XMATCH(MonsterData!$G5, Factor!$AE$4:$AE$13, 1),3))</f>
        <v>0.60000000000000009</v>
      </c>
      <c r="W5" s="13" cm="1">
        <f t="array" ref="W5">N5*VLOOKUP($I5, Factor!$B$4:$G$8, 4, 0)*VLOOKUP($J5, Factor!$B$12:$G$13, 4, 0)*VLOOKUP($K5, Factor!$B$17:$G$18, 4, 0)*VLOOKUP($H5, Factor!$J$4:$O$7, 4, 0)*VLOOKUP($F5, Factor!$Q$4:$V$15, 4, 0)*IF(MOD($G5,10)=0, 10, MOD($G5, 10))*((INDEX(Factor!$X$4:$AC$13, _xlfn.XMATCH($G5, Factor!$X$4:$X$13, 1),4)*IF(MOD(G5, 10) = 0, 10, MOD(G5, 10)))+INDEX(Factor!$AE$4:$AJ$13, _xlfn.XMATCH(MonsterData!$G5, Factor!$AE$4:$AE$13, 1),4))</f>
        <v>0.36000000000000004</v>
      </c>
      <c r="X5" s="13" cm="1">
        <f t="array" ref="X5">O5*VLOOKUP($I5, Factor!$B$4:$G$8, 5, 0)*VLOOKUP($J5, Factor!$B$12:$G$13, 5, 0)*VLOOKUP($K5, Factor!$B$17:$G$18, 5, 0)*VLOOKUP($H5, Factor!$J$4:$O$7, 5, 0)*VLOOKUP($F5, Factor!$Q$4:$V$15, 5, 0)*IF(MOD($G5,10)=0, 10, MOD($G5, 10))*((INDEX(Factor!$X$4:$AC$13, _xlfn.XMATCH($G5, Factor!$X$4:$X$13, 1),5)*IF(MOD(G5, 10) = 0, 10, MOD(G5, 10)))+INDEX(Factor!$AE$4:$AJ$13, _xlfn.XMATCH(MonsterData!$G5, Factor!$AE$4:$AE$13, 1),5))</f>
        <v>0.1</v>
      </c>
      <c r="Y5" s="13" cm="1">
        <f t="array" ref="Y5">P5*VLOOKUP($I5, Factor!$B$4:$G$8, 6, 0)*VLOOKUP($J5, Factor!$B$12:$G$13, 6, 0)*VLOOKUP($K5, Factor!$B$17:$G$18, 6, 0)*VLOOKUP($H5, Factor!$J$4:$O$7, 2, 0)*VLOOKUP($F5, Factor!$Q$4:$V$15, 6, 0)*IF(MOD($G5,10)=0, 10, MOD($G5, 10))*((INDEX(Factor!$X$4:$AC$13, _xlfn.XMATCH($G5, Factor!$X$4:$X$13, 1),6)*IF(MOD(G5, 10) = 0, 10, MOD(G5, 10)))+INDEX(Factor!$AE$4:$AJ$13, _xlfn.XMATCH(MonsterData!$G5, Factor!$AE$4:$AE$13, 1),6))</f>
        <v>0.4</v>
      </c>
      <c r="Z5" s="13">
        <f>$Q5*VLOOKUP($J5, Factor!$B$12:$H$13, 7, 0)</f>
        <v>1</v>
      </c>
      <c r="AA5" s="13">
        <v>1</v>
      </c>
      <c r="AB5" s="13">
        <f>IF(J5 = "ml", 0, $Z5*$AA5)</f>
        <v>0</v>
      </c>
      <c r="AC5" s="13" t="s">
        <v>139</v>
      </c>
      <c r="AD5" s="15" t="s">
        <v>142</v>
      </c>
    </row>
    <row r="6" spans="1:32" ht="15.75" customHeight="1">
      <c r="A6" s="16" t="str">
        <f>T6&amp;"_"&amp;F6&amp;VLOOKUP($C6, Factor!$AM$4:$AY$30, 7, 0)&amp;IF(COUNTIFS($C$4:C5, C6, $F$4:F5, F6)+1&gt;=100, COUNTIFS($C$4:C5, C6, $F$4:F5, F6)+1,IF(COUNTIFS($C$4:C5, C6, $F$4:F5, F6)+1&gt;=10, "0"&amp;COUNTIFS($C$4:C5, C6, $F$4:F5, F6)+1, "00"&amp;COUNTIFS($C$4:C5, C6, $F$4:F5, F6)+1))</f>
        <v>enpc_F01_A_Cocoon_001</v>
      </c>
      <c r="B6" s="16"/>
      <c r="C6" s="16" t="s">
        <v>270</v>
      </c>
      <c r="D6" s="16" t="str">
        <f t="shared" ref="D6:D20" si="0">B6&amp;C6</f>
        <v>코쿤</v>
      </c>
      <c r="E6" s="17" t="str">
        <f>VLOOKUP($C6, Factor!$AM$4:$AY$30, 8, 0)</f>
        <v>M</v>
      </c>
      <c r="F6" s="17" t="s">
        <v>89</v>
      </c>
      <c r="G6" s="18">
        <v>1</v>
      </c>
      <c r="H6" s="16" t="s">
        <v>55</v>
      </c>
      <c r="I6" s="16" t="str">
        <f>VLOOKUP($C6, Factor!$AM$4:$AY$30, 11, 0)</f>
        <v>A</v>
      </c>
      <c r="J6" s="16" t="str">
        <f>VLOOKUP($C6, Factor!$AM$4:$AY$30, 12, 0)</f>
        <v>ml</v>
      </c>
      <c r="K6" s="16" t="str">
        <f>VLOOKUP($C6, Factor!$AM$4:$AY$30, 13, 0)</f>
        <v>L</v>
      </c>
      <c r="L6" s="17">
        <v>1</v>
      </c>
      <c r="M6" s="17">
        <v>1</v>
      </c>
      <c r="N6" s="17">
        <v>1</v>
      </c>
      <c r="O6" s="17">
        <v>1</v>
      </c>
      <c r="P6" s="17">
        <v>1</v>
      </c>
      <c r="Q6" s="17">
        <v>1</v>
      </c>
      <c r="R6" s="17" t="str">
        <f>VLOOKUP($C6, Factor!$AM$4:$AY$30, 9, 0)</f>
        <v>Midium</v>
      </c>
      <c r="S6" s="17" t="s">
        <v>196</v>
      </c>
      <c r="T6" s="17" t="str">
        <f>VLOOKUP($C6, Factor!$AM$4:$AY$30, 10, 0)</f>
        <v>enpc</v>
      </c>
      <c r="U6" s="17" cm="1">
        <f t="array" ref="U6">L6*VLOOKUP($I6, Factor!$B$4:$G$8, 2, 0)*VLOOKUP($J6, Factor!$B$12:$G$13, 2, 0)*VLOOKUP($K6, Factor!$B$17:$G$18, 2, 0)*VLOOKUP($H6, Factor!$J$4:$O$7, 2, 0)*VLOOKUP($F6, Factor!$Q$4:$V$15, 2, 0)*IF(MOD($G6,10)=0, 10, MOD($G6, 10))*((INDEX(Factor!$X$4:$AC$13, _xlfn.XMATCH($G6, Factor!$X$4:$X$13, 1),2)*IF(MOD(G6, 10) = 0, 10, MOD(G6, 10)))+INDEX(Factor!$AE$4:$AJ$13, _xlfn.XMATCH(MonsterData!$G6, Factor!$AE$4:$AE$13, 1),2))</f>
        <v>15</v>
      </c>
      <c r="V6" s="17" cm="1">
        <f t="array" ref="V6">M6*VLOOKUP($I6, Factor!$B$4:$G$8, 3, 0)*VLOOKUP($J6, Factor!$B$12:$G$13, 3, 0)*VLOOKUP($K6, Factor!$B$17:$G$18, 3, 0)*VLOOKUP($H6, Factor!$J$4:$O$7, 3, 0)*VLOOKUP($F6, Factor!$Q$4:$V$15, 3, 0)*IF(MOD($G6,10)=0, 10, MOD($G6, 10))*((INDEX(Factor!$X$4:$AC$13, _xlfn.XMATCH($G6, Factor!$X$4:$X$13, 1),3)*IF(MOD(G6, 10) = 0, 10, MOD(G6, 10)))+INDEX(Factor!$AE$4:$AJ$13, _xlfn.XMATCH(MonsterData!$G6, Factor!$AE$4:$AE$13, 1),3))</f>
        <v>0.75</v>
      </c>
      <c r="W6" s="17" cm="1">
        <f t="array" ref="W6">N6*VLOOKUP($I6, Factor!$B$4:$G$8, 4, 0)*VLOOKUP($J6, Factor!$B$12:$G$13, 4, 0)*VLOOKUP($K6, Factor!$B$17:$G$18, 4, 0)*VLOOKUP($H6, Factor!$J$4:$O$7, 4, 0)*VLOOKUP($F6, Factor!$Q$4:$V$15, 4, 0)*IF(MOD($G6,10)=0, 10, MOD($G6, 10))*((INDEX(Factor!$X$4:$AC$13, _xlfn.XMATCH($G6, Factor!$X$4:$X$13, 1),4)*IF(MOD(G6, 10) = 0, 10, MOD(G6, 10)))+INDEX(Factor!$AE$4:$AJ$13, _xlfn.XMATCH(MonsterData!$G6, Factor!$AE$4:$AE$13, 1),4))</f>
        <v>0.45</v>
      </c>
      <c r="X6" s="17" cm="1">
        <f t="array" ref="X6">O6*VLOOKUP($I6, Factor!$B$4:$G$8, 5, 0)*VLOOKUP($J6, Factor!$B$12:$G$13, 5, 0)*VLOOKUP($K6, Factor!$B$17:$G$18, 5, 0)*VLOOKUP($H6, Factor!$J$4:$O$7, 5, 0)*VLOOKUP($F6, Factor!$Q$4:$V$15, 5, 0)*IF(MOD($G6,10)=0, 10, MOD($G6, 10))*((INDEX(Factor!$X$4:$AC$13, _xlfn.XMATCH($G6, Factor!$X$4:$X$13, 1),5)*IF(MOD(G6, 10) = 0, 10, MOD(G6, 10)))+INDEX(Factor!$AE$4:$AJ$13, _xlfn.XMATCH(MonsterData!$G6, Factor!$AE$4:$AE$13, 1),5))</f>
        <v>0.1</v>
      </c>
      <c r="Y6" s="17" cm="1">
        <f t="array" ref="Y6">P6*VLOOKUP($I6, Factor!$B$4:$G$8, 6, 0)*VLOOKUP($J6, Factor!$B$12:$G$13, 6, 0)*VLOOKUP($K6, Factor!$B$17:$G$18, 6, 0)*VLOOKUP($H6, Factor!$J$4:$O$7, 2, 0)*VLOOKUP($F6, Factor!$Q$4:$V$15, 6, 0)*IF(MOD($G6,10)=0, 10, MOD($G6, 10))*((INDEX(Factor!$X$4:$AC$13, _xlfn.XMATCH($G6, Factor!$X$4:$X$13, 1),6)*IF(MOD(G6, 10) = 0, 10, MOD(G6, 10)))+INDEX(Factor!$AE$4:$AJ$13, _xlfn.XMATCH(MonsterData!$G6, Factor!$AE$4:$AE$13, 1),6))</f>
        <v>0.5</v>
      </c>
      <c r="Z6" s="17">
        <f>$Q6*VLOOKUP($J6, Factor!$B$12:$H$13, 7, 0)</f>
        <v>1</v>
      </c>
      <c r="AA6" s="17">
        <v>1</v>
      </c>
      <c r="AB6" s="17">
        <f t="shared" ref="AB6:AB13" si="1">IF(J6 = "ml", 0, $Z6*$AA6)</f>
        <v>0</v>
      </c>
      <c r="AC6" s="17" t="s">
        <v>139</v>
      </c>
      <c r="AD6" s="19" t="s">
        <v>142</v>
      </c>
    </row>
    <row r="7" spans="1:32" ht="15.75" customHeight="1">
      <c r="A7" s="13" t="str">
        <f>T7&amp;"_"&amp;F7&amp;VLOOKUP($C7, Factor!$AM$4:$AY$30, 7, 0)&amp;IF(COUNTIFS($C$4:C6, C7, $F$4:F6, F7)+1&gt;=100, COUNTIFS($C$4:C6, C7, $F$4:F6, F7)+1,IF(COUNTIFS($C$4:C6, C7, $F$4:F6, F7)+1&gt;=10, "0"&amp;COUNTIFS($C$4:C6, C7, $F$4:F6, F7)+1, "00"&amp;COUNTIFS($C$4:C6, C7, $F$4:F6, F7)+1))</f>
        <v>enpc_F01_A_Antlion_001</v>
      </c>
      <c r="B7" s="13"/>
      <c r="C7" s="13" t="s">
        <v>38</v>
      </c>
      <c r="D7" s="13" t="str">
        <f t="shared" si="0"/>
        <v>앤틸리온</v>
      </c>
      <c r="E7" s="21" t="str">
        <f>VLOOKUP($C7, Factor!$AM$4:$AY$30, 8, 0)</f>
        <v>M</v>
      </c>
      <c r="F7" s="13" t="s">
        <v>382</v>
      </c>
      <c r="G7" s="22">
        <v>1</v>
      </c>
      <c r="H7" s="13" t="s">
        <v>55</v>
      </c>
      <c r="I7" s="21" t="str">
        <f>VLOOKUP($C7, Factor!$AM$4:$AY$30, 11, 0)</f>
        <v>A</v>
      </c>
      <c r="J7" s="21" t="str">
        <f>VLOOKUP($C7, Factor!$AM$4:$AY$30, 12, 0)</f>
        <v>ra</v>
      </c>
      <c r="K7" s="21" t="str">
        <f>VLOOKUP($C7, Factor!$AM$4:$AY$30, 13, 0)</f>
        <v>L</v>
      </c>
      <c r="L7" s="13">
        <v>1</v>
      </c>
      <c r="M7" s="13">
        <v>1</v>
      </c>
      <c r="N7" s="13">
        <v>1</v>
      </c>
      <c r="O7" s="13">
        <v>1</v>
      </c>
      <c r="P7" s="13">
        <v>1</v>
      </c>
      <c r="Q7" s="13">
        <v>1</v>
      </c>
      <c r="R7" s="21" t="str">
        <f>VLOOKUP($C7, Factor!$AM$4:$AY$30, 9, 0)</f>
        <v>Midium</v>
      </c>
      <c r="S7" s="13" t="s">
        <v>397</v>
      </c>
      <c r="T7" s="21" t="str">
        <f>VLOOKUP($C7, Factor!$AM$4:$AY$30, 10, 0)</f>
        <v>enpc</v>
      </c>
      <c r="U7" s="21" cm="1">
        <f t="array" ref="U7">L7*VLOOKUP($I7, Factor!$B$4:$G$8, 2, 0)*VLOOKUP($J7, Factor!$B$12:$G$13, 2, 0)*VLOOKUP($K7, Factor!$B$17:$G$18, 2, 0)*VLOOKUP($H7, Factor!$J$4:$O$7, 2, 0)*VLOOKUP($F7, Factor!$Q$4:$V$15, 2, 0)*IF(MOD($G7,10)=0, 10, MOD($G7, 10))*((INDEX(Factor!$X$4:$AC$13, _xlfn.XMATCH($G7, Factor!$X$4:$X$13, 1),2)*IF(MOD(G7, 10) = 0, 10, MOD(G7, 10)))+INDEX(Factor!$AE$4:$AJ$13, _xlfn.XMATCH(MonsterData!$G7, Factor!$AE$4:$AE$13, 1),2))</f>
        <v>12</v>
      </c>
      <c r="V7" s="21" cm="1">
        <f t="array" ref="V7">M7*VLOOKUP($I7, Factor!$B$4:$G$8, 3, 0)*VLOOKUP($J7, Factor!$B$12:$G$13, 3, 0)*VLOOKUP($K7, Factor!$B$17:$G$18, 3, 0)*VLOOKUP($H7, Factor!$J$4:$O$7, 3, 0)*VLOOKUP($F7, Factor!$Q$4:$V$15, 3, 0)*IF(MOD($G7,10)=0, 10, MOD($G7, 10))*((INDEX(Factor!$X$4:$AC$13, _xlfn.XMATCH($G7, Factor!$X$4:$X$13, 1),3)*IF(MOD(G7, 10) = 0, 10, MOD(G7, 10)))+INDEX(Factor!$AE$4:$AJ$13, _xlfn.XMATCH(MonsterData!$G7, Factor!$AE$4:$AE$13, 1),3))</f>
        <v>0.60000000000000009</v>
      </c>
      <c r="W7" s="21" cm="1">
        <f t="array" ref="W7">N7*VLOOKUP($I7, Factor!$B$4:$G$8, 4, 0)*VLOOKUP($J7, Factor!$B$12:$G$13, 4, 0)*VLOOKUP($K7, Factor!$B$17:$G$18, 4, 0)*VLOOKUP($H7, Factor!$J$4:$O$7, 4, 0)*VLOOKUP($F7, Factor!$Q$4:$V$15, 4, 0)*IF(MOD($G7,10)=0, 10, MOD($G7, 10))*((INDEX(Factor!$X$4:$AC$13, _xlfn.XMATCH($G7, Factor!$X$4:$X$13, 1),4)*IF(MOD(G7, 10) = 0, 10, MOD(G7, 10)))+INDEX(Factor!$AE$4:$AJ$13, _xlfn.XMATCH(MonsterData!$G7, Factor!$AE$4:$AE$13, 1),4))</f>
        <v>0.53999999999999992</v>
      </c>
      <c r="X7" s="21" cm="1">
        <f t="array" ref="X7">O7*VLOOKUP($I7, Factor!$B$4:$G$8, 5, 0)*VLOOKUP($J7, Factor!$B$12:$G$13, 5, 0)*VLOOKUP($K7, Factor!$B$17:$G$18, 5, 0)*VLOOKUP($H7, Factor!$J$4:$O$7, 5, 0)*VLOOKUP($F7, Factor!$Q$4:$V$15, 5, 0)*IF(MOD($G7,10)=0, 10, MOD($G7, 10))*((INDEX(Factor!$X$4:$AC$13, _xlfn.XMATCH($G7, Factor!$X$4:$X$13, 1),5)*IF(MOD(G7, 10) = 0, 10, MOD(G7, 10)))+INDEX(Factor!$AE$4:$AJ$13, _xlfn.XMATCH(MonsterData!$G7, Factor!$AE$4:$AE$13, 1),5))</f>
        <v>0.15000000000000002</v>
      </c>
      <c r="Y7" s="21" cm="1">
        <f t="array" ref="Y7">P7*VLOOKUP($I7, Factor!$B$4:$G$8, 6, 0)*VLOOKUP($J7, Factor!$B$12:$G$13, 6, 0)*VLOOKUP($K7, Factor!$B$17:$G$18, 6, 0)*VLOOKUP($H7, Factor!$J$4:$O$7, 2, 0)*VLOOKUP($F7, Factor!$Q$4:$V$15, 6, 0)*IF(MOD($G7,10)=0, 10, MOD($G7, 10))*((INDEX(Factor!$X$4:$AC$13, _xlfn.XMATCH($G7, Factor!$X$4:$X$13, 1),6)*IF(MOD(G7, 10) = 0, 10, MOD(G7, 10)))+INDEX(Factor!$AE$4:$AJ$13, _xlfn.XMATCH(MonsterData!$G7, Factor!$AE$4:$AE$13, 1),6))</f>
        <v>0.5</v>
      </c>
      <c r="Z7" s="21">
        <f>$Q7*VLOOKUP($J7, Factor!$B$12:$H$13, 7, 0)</f>
        <v>4</v>
      </c>
      <c r="AA7" s="13">
        <v>1</v>
      </c>
      <c r="AB7" s="21">
        <f t="shared" si="1"/>
        <v>4</v>
      </c>
      <c r="AC7" s="13" t="s">
        <v>139</v>
      </c>
      <c r="AD7" s="15" t="s">
        <v>142</v>
      </c>
    </row>
    <row r="8" spans="1:32" ht="15.75" customHeight="1">
      <c r="A8" s="16" t="str">
        <f>T8&amp;"_"&amp;F8&amp;VLOOKUP($C8, Factor!$AM$4:$AY$30, 7, 0)&amp;IF(COUNTIFS($C$4:C7, C8, $F$4:F7, F8)+1&gt;=100, COUNTIFS($C$4:C7, C8, $F$4:F7, F8)+1,IF(COUNTIFS($C$4:C7, C8, $F$4:F7, F8)+1&gt;=10, "0"&amp;COUNTIFS($C$4:C7, C8, $F$4:F7, F8)+1, "00"&amp;COUNTIFS($C$4:C7, C8, $F$4:F7, F8)+1))</f>
        <v>enpc_F01_A_Nymphe_001</v>
      </c>
      <c r="B8" s="16"/>
      <c r="C8" s="16" t="s">
        <v>39</v>
      </c>
      <c r="D8" s="16" t="str">
        <f t="shared" si="0"/>
        <v>님프</v>
      </c>
      <c r="E8" s="17" t="str">
        <f>VLOOKUP($C8, Factor!$AM$4:$AY$30, 8, 0)</f>
        <v>S</v>
      </c>
      <c r="F8" s="17" t="s">
        <v>382</v>
      </c>
      <c r="G8" s="20">
        <v>1</v>
      </c>
      <c r="H8" s="16" t="s">
        <v>55</v>
      </c>
      <c r="I8" s="17" t="str">
        <f>VLOOKUP($C8, Factor!$AM$4:$AY$30, 11, 0)</f>
        <v>A</v>
      </c>
      <c r="J8" s="17" t="str">
        <f>VLOOKUP($C8, Factor!$AM$4:$AY$30, 12, 0)</f>
        <v>ml</v>
      </c>
      <c r="K8" s="17" t="str">
        <f>VLOOKUP($C8, Factor!$AM$4:$AY$30, 13, 0)</f>
        <v>F</v>
      </c>
      <c r="L8" s="17">
        <v>1</v>
      </c>
      <c r="M8" s="17">
        <v>1</v>
      </c>
      <c r="N8" s="17">
        <v>1</v>
      </c>
      <c r="O8" s="17">
        <v>1</v>
      </c>
      <c r="P8" s="17">
        <v>1</v>
      </c>
      <c r="Q8" s="17">
        <v>1</v>
      </c>
      <c r="R8" s="17" t="str">
        <f>VLOOKUP($C8, Factor!$AM$4:$AY$30, 9, 0)</f>
        <v>Small</v>
      </c>
      <c r="S8" s="17" t="s">
        <v>197</v>
      </c>
      <c r="T8" s="17" t="str">
        <f>VLOOKUP($C8, Factor!$AM$4:$AY$30, 10, 0)</f>
        <v>enpc</v>
      </c>
      <c r="U8" s="17" cm="1">
        <f t="array" ref="U8">L8*VLOOKUP($I8, Factor!$B$4:$G$8, 2, 0)*VLOOKUP($J8, Factor!$B$12:$G$13, 2, 0)*VLOOKUP($K8, Factor!$B$17:$G$18, 2, 0)*VLOOKUP($H8, Factor!$J$4:$O$7, 2, 0)*VLOOKUP($F8, Factor!$Q$4:$V$15, 2, 0)*IF(MOD($G8,10)=0, 10, MOD($G8, 10))*((INDEX(Factor!$X$4:$AC$13, _xlfn.XMATCH($G8, Factor!$X$4:$X$13, 1),2)*IF(MOD(G8, 10) = 0, 10, MOD(G8, 10)))+INDEX(Factor!$AE$4:$AJ$13, _xlfn.XMATCH(MonsterData!$G8, Factor!$AE$4:$AE$13, 1),2))</f>
        <v>10</v>
      </c>
      <c r="V8" s="17" cm="1">
        <f t="array" ref="V8">M8*VLOOKUP($I8, Factor!$B$4:$G$8, 3, 0)*VLOOKUP($J8, Factor!$B$12:$G$13, 3, 0)*VLOOKUP($K8, Factor!$B$17:$G$18, 3, 0)*VLOOKUP($H8, Factor!$J$4:$O$7, 3, 0)*VLOOKUP($F8, Factor!$Q$4:$V$15, 3, 0)*IF(MOD($G8,10)=0, 10, MOD($G8, 10))*((INDEX(Factor!$X$4:$AC$13, _xlfn.XMATCH($G8, Factor!$X$4:$X$13, 1),3)*IF(MOD(G8, 10) = 0, 10, MOD(G8, 10)))+INDEX(Factor!$AE$4:$AJ$13, _xlfn.XMATCH(MonsterData!$G8, Factor!$AE$4:$AE$13, 1),3))</f>
        <v>0.5</v>
      </c>
      <c r="W8" s="17" cm="1">
        <f t="array" ref="W8">N8*VLOOKUP($I8, Factor!$B$4:$G$8, 4, 0)*VLOOKUP($J8, Factor!$B$12:$G$13, 4, 0)*VLOOKUP($K8, Factor!$B$17:$G$18, 4, 0)*VLOOKUP($H8, Factor!$J$4:$O$7, 4, 0)*VLOOKUP($F8, Factor!$Q$4:$V$15, 4, 0)*IF(MOD($G8,10)=0, 10, MOD($G8, 10))*((INDEX(Factor!$X$4:$AC$13, _xlfn.XMATCH($G8, Factor!$X$4:$X$13, 1),4)*IF(MOD(G8, 10) = 0, 10, MOD(G8, 10)))+INDEX(Factor!$AE$4:$AJ$13, _xlfn.XMATCH(MonsterData!$G8, Factor!$AE$4:$AE$13, 1),4))</f>
        <v>0.30000000000000004</v>
      </c>
      <c r="X8" s="17" cm="1">
        <f t="array" ref="X8">O8*VLOOKUP($I8, Factor!$B$4:$G$8, 5, 0)*VLOOKUP($J8, Factor!$B$12:$G$13, 5, 0)*VLOOKUP($K8, Factor!$B$17:$G$18, 5, 0)*VLOOKUP($H8, Factor!$J$4:$O$7, 5, 0)*VLOOKUP($F8, Factor!$Q$4:$V$15, 5, 0)*IF(MOD($G8,10)=0, 10, MOD($G8, 10))*((INDEX(Factor!$X$4:$AC$13, _xlfn.XMATCH($G8, Factor!$X$4:$X$13, 1),5)*IF(MOD(G8, 10) = 0, 10, MOD(G8, 10)))+INDEX(Factor!$AE$4:$AJ$13, _xlfn.XMATCH(MonsterData!$G8, Factor!$AE$4:$AE$13, 1),5))</f>
        <v>0.1</v>
      </c>
      <c r="Y8" s="17" cm="1">
        <f t="array" ref="Y8">P8*VLOOKUP($I8, Factor!$B$4:$G$8, 6, 0)*VLOOKUP($J8, Factor!$B$12:$G$13, 6, 0)*VLOOKUP($K8, Factor!$B$17:$G$18, 6, 0)*VLOOKUP($H8, Factor!$J$4:$O$7, 2, 0)*VLOOKUP($F8, Factor!$Q$4:$V$15, 6, 0)*IF(MOD($G8,10)=0, 10, MOD($G8, 10))*((INDEX(Factor!$X$4:$AC$13, _xlfn.XMATCH($G8, Factor!$X$4:$X$13, 1),6)*IF(MOD(G8, 10) = 0, 10, MOD(G8, 10)))+INDEX(Factor!$AE$4:$AJ$13, _xlfn.XMATCH(MonsterData!$G8, Factor!$AE$4:$AE$13, 1),6))</f>
        <v>1.5</v>
      </c>
      <c r="Z8" s="17">
        <f>$Q8*VLOOKUP($J8, Factor!$B$12:$H$13, 7, 0)</f>
        <v>1</v>
      </c>
      <c r="AA8" s="17">
        <v>1</v>
      </c>
      <c r="AB8" s="17">
        <f t="shared" si="1"/>
        <v>0</v>
      </c>
      <c r="AC8" s="17" t="s">
        <v>139</v>
      </c>
      <c r="AD8" s="19" t="s">
        <v>142</v>
      </c>
    </row>
    <row r="9" spans="1:32" ht="15.75" customHeight="1">
      <c r="A9" s="13" t="str">
        <f>T9&amp;"_"&amp;F9&amp;VLOOKUP($C9, Factor!$AM$4:$AY$30, 7, 0)&amp;IF(COUNTIFS($C$4:C8, C9, $F$4:F8, F9)+1&gt;=100, COUNTIFS($C$4:C8, C9, $F$4:F8, F9)+1,IF(COUNTIFS($C$4:C8, C9, $F$4:F8, F9)+1&gt;=10, "0"&amp;COUNTIFS($C$4:C8, C9, $F$4:F8, F9)+1, "00"&amp;COUNTIFS($C$4:C8, C9, $F$4:F8, F9)+1))</f>
        <v>enpc_F01_B_Golem_001</v>
      </c>
      <c r="B9" s="13"/>
      <c r="C9" s="13" t="s">
        <v>40</v>
      </c>
      <c r="D9" s="13" t="str">
        <f t="shared" si="0"/>
        <v>골렘</v>
      </c>
      <c r="E9" s="21" t="str">
        <f>VLOOKUP($C9, Factor!$AM$4:$AY$30, 8, 0)</f>
        <v>B</v>
      </c>
      <c r="F9" s="13" t="s">
        <v>382</v>
      </c>
      <c r="G9" s="22">
        <v>5</v>
      </c>
      <c r="H9" s="13" t="s">
        <v>57</v>
      </c>
      <c r="I9" s="21" t="str">
        <f>VLOOKUP($C9, Factor!$AM$4:$AY$30, 11, 0)</f>
        <v>B</v>
      </c>
      <c r="J9" s="21" t="str">
        <f>VLOOKUP($C9, Factor!$AM$4:$AY$30, 12, 0)</f>
        <v>ml</v>
      </c>
      <c r="K9" s="21" t="str">
        <f>VLOOKUP($C9, Factor!$AM$4:$AY$30, 13, 0)</f>
        <v>L</v>
      </c>
      <c r="L9" s="13">
        <v>1</v>
      </c>
      <c r="M9" s="13">
        <v>1</v>
      </c>
      <c r="N9" s="13">
        <v>1</v>
      </c>
      <c r="O9" s="13">
        <v>1</v>
      </c>
      <c r="P9" s="13">
        <v>1</v>
      </c>
      <c r="Q9" s="13">
        <v>1</v>
      </c>
      <c r="R9" s="21" t="str">
        <f>VLOOKUP($C9, Factor!$AM$4:$AY$30, 9, 0)</f>
        <v>Big</v>
      </c>
      <c r="S9" s="13" t="s">
        <v>398</v>
      </c>
      <c r="T9" s="21" t="str">
        <f>VLOOKUP($C9, Factor!$AM$4:$AY$30, 10, 0)</f>
        <v>enpc</v>
      </c>
      <c r="U9" s="21" cm="1">
        <f t="array" ref="U9">L9*VLOOKUP($I9, Factor!$B$4:$G$8, 2, 0)*VLOOKUP($J9, Factor!$B$12:$G$13, 2, 0)*VLOOKUP($K9, Factor!$B$17:$G$18, 2, 0)*VLOOKUP($H9, Factor!$J$4:$O$7, 2, 0)*VLOOKUP($F9, Factor!$Q$4:$V$15, 2, 0)*IF(MOD($G9,10)=0, 10, MOD($G9, 10))*((INDEX(Factor!$X$4:$AC$13, _xlfn.XMATCH($G9, Factor!$X$4:$X$13, 1),2)*IF(MOD(G9, 10) = 0, 10, MOD(G9, 10)))+INDEX(Factor!$AE$4:$AJ$13, _xlfn.XMATCH(MonsterData!$G9, Factor!$AE$4:$AE$13, 1),2))</f>
        <v>3750</v>
      </c>
      <c r="V9" s="21" cm="1">
        <f t="array" ref="V9">M9*VLOOKUP($I9, Factor!$B$4:$G$8, 3, 0)*VLOOKUP($J9, Factor!$B$12:$G$13, 3, 0)*VLOOKUP($K9, Factor!$B$17:$G$18, 3, 0)*VLOOKUP($H9, Factor!$J$4:$O$7, 3, 0)*VLOOKUP($F9, Factor!$Q$4:$V$15, 3, 0)*IF(MOD($G9,10)=0, 10, MOD($G9, 10))*((INDEX(Factor!$X$4:$AC$13, _xlfn.XMATCH($G9, Factor!$X$4:$X$13, 1),3)*IF(MOD(G9, 10) = 0, 10, MOD(G9, 10)))+INDEX(Factor!$AE$4:$AJ$13, _xlfn.XMATCH(MonsterData!$G9, Factor!$AE$4:$AE$13, 1),3))</f>
        <v>187.5</v>
      </c>
      <c r="W9" s="21" cm="1">
        <f t="array" ref="W9">N9*VLOOKUP($I9, Factor!$B$4:$G$8, 4, 0)*VLOOKUP($J9, Factor!$B$12:$G$13, 4, 0)*VLOOKUP($K9, Factor!$B$17:$G$18, 4, 0)*VLOOKUP($H9, Factor!$J$4:$O$7, 4, 0)*VLOOKUP($F9, Factor!$Q$4:$V$15, 4, 0)*IF(MOD($G9,10)=0, 10, MOD($G9, 10))*((INDEX(Factor!$X$4:$AC$13, _xlfn.XMATCH($G9, Factor!$X$4:$X$13, 1),4)*IF(MOD(G9, 10) = 0, 10, MOD(G9, 10)))+INDEX(Factor!$AE$4:$AJ$13, _xlfn.XMATCH(MonsterData!$G9, Factor!$AE$4:$AE$13, 1),4))</f>
        <v>9.375</v>
      </c>
      <c r="X9" s="21" cm="1">
        <f t="array" ref="X9">O9*VLOOKUP($I9, Factor!$B$4:$G$8, 5, 0)*VLOOKUP($J9, Factor!$B$12:$G$13, 5, 0)*VLOOKUP($K9, Factor!$B$17:$G$18, 5, 0)*VLOOKUP($H9, Factor!$J$4:$O$7, 5, 0)*VLOOKUP($F9, Factor!$Q$4:$V$15, 5, 0)*IF(MOD($G9,10)=0, 10, MOD($G9, 10))*((INDEX(Factor!$X$4:$AC$13, _xlfn.XMATCH($G9, Factor!$X$4:$X$13, 1),5)*IF(MOD(G9, 10) = 0, 10, MOD(G9, 10)))+INDEX(Factor!$AE$4:$AJ$13, _xlfn.XMATCH(MonsterData!$G9, Factor!$AE$4:$AE$13, 1),5))</f>
        <v>10</v>
      </c>
      <c r="Y9" s="21" cm="1">
        <f t="array" ref="Y9">P9*VLOOKUP($I9, Factor!$B$4:$G$8, 6, 0)*VLOOKUP($J9, Factor!$B$12:$G$13, 6, 0)*VLOOKUP($K9, Factor!$B$17:$G$18, 6, 0)*VLOOKUP($H9, Factor!$J$4:$O$7, 2, 0)*VLOOKUP($F9, Factor!$Q$4:$V$15, 6, 0)*IF(MOD($G9,10)=0, 10, MOD($G9, 10))*((INDEX(Factor!$X$4:$AC$13, _xlfn.XMATCH($G9, Factor!$X$4:$X$13, 1),6)*IF(MOD(G9, 10) = 0, 10, MOD(G9, 10)))+INDEX(Factor!$AE$4:$AJ$13, _xlfn.XMATCH(MonsterData!$G9, Factor!$AE$4:$AE$13, 1),6))</f>
        <v>20</v>
      </c>
      <c r="Z9" s="21">
        <f>$Q9*VLOOKUP($J9, Factor!$B$12:$H$13, 7, 0)</f>
        <v>1</v>
      </c>
      <c r="AA9" s="13">
        <v>1</v>
      </c>
      <c r="AB9" s="21">
        <f t="shared" si="1"/>
        <v>0</v>
      </c>
      <c r="AC9" s="13" t="s">
        <v>140</v>
      </c>
      <c r="AD9" s="15" t="s">
        <v>143</v>
      </c>
    </row>
    <row r="10" spans="1:32" ht="15.75" customHeight="1">
      <c r="A10" s="16" t="str">
        <f>T10&amp;"_"&amp;F10&amp;VLOOKUP($C10, Factor!$AM$4:$AY$30, 7, 0)&amp;IF(COUNTIFS($C$4:C9, C10, $F$4:F9, F10)+1&gt;=100, COUNTIFS($C$4:C9, C10, $F$4:F9, F10)+1,IF(COUNTIFS($C$4:C9, C10, $F$4:F9, F10)+1&gt;=10, "0"&amp;COUNTIFS($C$4:C9, C10, $F$4:F9, F10)+1, "00"&amp;COUNTIFS($C$4:C9, C10, $F$4:F9, F10)+1))</f>
        <v>enpc_F01_B_Banshee_001</v>
      </c>
      <c r="B10" s="16"/>
      <c r="C10" s="16" t="s">
        <v>42</v>
      </c>
      <c r="D10" s="16" t="str">
        <f t="shared" si="0"/>
        <v>밴시</v>
      </c>
      <c r="E10" s="17" t="str">
        <f>VLOOKUP($C10, Factor!$AM$4:$AY$30, 8, 0)</f>
        <v>S</v>
      </c>
      <c r="F10" s="17" t="s">
        <v>382</v>
      </c>
      <c r="G10" s="20">
        <v>5</v>
      </c>
      <c r="H10" s="16" t="s">
        <v>56</v>
      </c>
      <c r="I10" s="17" t="str">
        <f>VLOOKUP($C10, Factor!$AM$4:$AY$30, 11, 0)</f>
        <v>B</v>
      </c>
      <c r="J10" s="17" t="str">
        <f>VLOOKUP($C10, Factor!$AM$4:$AY$30, 12, 0)</f>
        <v>ra</v>
      </c>
      <c r="K10" s="17" t="str">
        <f>VLOOKUP($C10, Factor!$AM$4:$AY$30, 13, 0)</f>
        <v>L</v>
      </c>
      <c r="L10" s="17">
        <v>1</v>
      </c>
      <c r="M10" s="17">
        <v>1</v>
      </c>
      <c r="N10" s="17">
        <v>1</v>
      </c>
      <c r="O10" s="17">
        <v>1</v>
      </c>
      <c r="P10" s="17">
        <v>1</v>
      </c>
      <c r="Q10" s="17">
        <v>1</v>
      </c>
      <c r="R10" s="17" t="str">
        <f>VLOOKUP($C10, Factor!$AM$4:$AY$30, 9, 0)</f>
        <v>Midium</v>
      </c>
      <c r="S10" s="17" t="s">
        <v>198</v>
      </c>
      <c r="T10" s="17" t="str">
        <f>VLOOKUP($C10, Factor!$AM$4:$AY$30, 10, 0)</f>
        <v>enpc</v>
      </c>
      <c r="U10" s="17" cm="1">
        <f t="array" ref="U10">L10*VLOOKUP($I10, Factor!$B$4:$G$8, 2, 0)*VLOOKUP($J10, Factor!$B$12:$G$13, 2, 0)*VLOOKUP($K10, Factor!$B$17:$G$18, 2, 0)*VLOOKUP($H10, Factor!$J$4:$O$7, 2, 0)*VLOOKUP($F10, Factor!$Q$4:$V$15, 2, 0)*IF(MOD($G10,10)=0, 10, MOD($G10, 10))*((INDEX(Factor!$X$4:$AC$13, _xlfn.XMATCH($G10, Factor!$X$4:$X$13, 1),2)*IF(MOD(G10, 10) = 0, 10, MOD(G10, 10)))+INDEX(Factor!$AE$4:$AJ$13, _xlfn.XMATCH(MonsterData!$G10, Factor!$AE$4:$AE$13, 1),2))</f>
        <v>1500</v>
      </c>
      <c r="V10" s="17" cm="1">
        <f t="array" ref="V10">M10*VLOOKUP($I10, Factor!$B$4:$G$8, 3, 0)*VLOOKUP($J10, Factor!$B$12:$G$13, 3, 0)*VLOOKUP($K10, Factor!$B$17:$G$18, 3, 0)*VLOOKUP($H10, Factor!$J$4:$O$7, 3, 0)*VLOOKUP($F10, Factor!$Q$4:$V$15, 3, 0)*IF(MOD($G10,10)=0, 10, MOD($G10, 10))*((INDEX(Factor!$X$4:$AC$13, _xlfn.XMATCH($G10, Factor!$X$4:$X$13, 1),3)*IF(MOD(G10, 10) = 0, 10, MOD(G10, 10)))+INDEX(Factor!$AE$4:$AJ$13, _xlfn.XMATCH(MonsterData!$G10, Factor!$AE$4:$AE$13, 1),3))</f>
        <v>75</v>
      </c>
      <c r="W10" s="17" cm="1">
        <f t="array" ref="W10">N10*VLOOKUP($I10, Factor!$B$4:$G$8, 4, 0)*VLOOKUP($J10, Factor!$B$12:$G$13, 4, 0)*VLOOKUP($K10, Factor!$B$17:$G$18, 4, 0)*VLOOKUP($H10, Factor!$J$4:$O$7, 4, 0)*VLOOKUP($F10, Factor!$Q$4:$V$15, 4, 0)*IF(MOD($G10,10)=0, 10, MOD($G10, 10))*((INDEX(Factor!$X$4:$AC$13, _xlfn.XMATCH($G10, Factor!$X$4:$X$13, 1),4)*IF(MOD(G10, 10) = 0, 10, MOD(G10, 10)))+INDEX(Factor!$AE$4:$AJ$13, _xlfn.XMATCH(MonsterData!$G10, Factor!$AE$4:$AE$13, 1),4))</f>
        <v>225</v>
      </c>
      <c r="X10" s="17" cm="1">
        <f t="array" ref="X10">O10*VLOOKUP($I10, Factor!$B$4:$G$8, 5, 0)*VLOOKUP($J10, Factor!$B$12:$G$13, 5, 0)*VLOOKUP($K10, Factor!$B$17:$G$18, 5, 0)*VLOOKUP($H10, Factor!$J$4:$O$7, 5, 0)*VLOOKUP($F10, Factor!$Q$4:$V$15, 5, 0)*IF(MOD($G10,10)=0, 10, MOD($G10, 10))*((INDEX(Factor!$X$4:$AC$13, _xlfn.XMATCH($G10, Factor!$X$4:$X$13, 1),5)*IF(MOD(G10, 10) = 0, 10, MOD(G10, 10)))+INDEX(Factor!$AE$4:$AJ$13, _xlfn.XMATCH(MonsterData!$G10, Factor!$AE$4:$AE$13, 1),5))</f>
        <v>6.75</v>
      </c>
      <c r="Y10" s="17" cm="1">
        <f t="array" ref="Y10">P10*VLOOKUP($I10, Factor!$B$4:$G$8, 6, 0)*VLOOKUP($J10, Factor!$B$12:$G$13, 6, 0)*VLOOKUP($K10, Factor!$B$17:$G$18, 6, 0)*VLOOKUP($H10, Factor!$J$4:$O$7, 2, 0)*VLOOKUP($F10, Factor!$Q$4:$V$15, 6, 0)*IF(MOD($G10,10)=0, 10, MOD($G10, 10))*((INDEX(Factor!$X$4:$AC$13, _xlfn.XMATCH($G10, Factor!$X$4:$X$13, 1),6)*IF(MOD(G10, 10) = 0, 10, MOD(G10, 10)))+INDEX(Factor!$AE$4:$AJ$13, _xlfn.XMATCH(MonsterData!$G10, Factor!$AE$4:$AE$13, 1),6))</f>
        <v>10</v>
      </c>
      <c r="Z10" s="17">
        <f>$Q10*VLOOKUP($J10, Factor!$B$12:$H$13, 7, 0)</f>
        <v>4</v>
      </c>
      <c r="AA10" s="17">
        <v>1</v>
      </c>
      <c r="AB10" s="17">
        <f t="shared" si="1"/>
        <v>4</v>
      </c>
      <c r="AC10" s="17" t="s">
        <v>141</v>
      </c>
      <c r="AD10" s="19" t="s">
        <v>144</v>
      </c>
    </row>
    <row r="11" spans="1:32" ht="15.75" customHeight="1">
      <c r="A11" s="13" t="str">
        <f>T11&amp;"_"&amp;F11&amp;VLOOKUP($C11, Factor!$AM$4:$AY$30, 7, 0)&amp;IF(COUNTIFS($C$4:C10, C11, $F$4:F10, F11)+1&gt;=100, COUNTIFS($C$4:C10, C11, $F$4:F10, F11)+1,IF(COUNTIFS($C$4:C10, C11, $F$4:F10, F11)+1&gt;=10, "0"&amp;COUNTIFS($C$4:C10, C11, $F$4:F10, F11)+1, "00"&amp;COUNTIFS($C$4:C10, C11, $F$4:F10, F11)+1))</f>
        <v>enpc_F01_C_Titan_001</v>
      </c>
      <c r="B11" s="13"/>
      <c r="C11" s="13" t="s">
        <v>43</v>
      </c>
      <c r="D11" s="13" t="str">
        <f t="shared" si="0"/>
        <v>타이탄</v>
      </c>
      <c r="E11" s="21" t="str">
        <f>VLOOKUP($C11, Factor!$AM$4:$AY$30, 8, 0)</f>
        <v>B</v>
      </c>
      <c r="F11" s="13" t="s">
        <v>382</v>
      </c>
      <c r="G11" s="22">
        <v>20</v>
      </c>
      <c r="H11" s="13" t="s">
        <v>56</v>
      </c>
      <c r="I11" s="21" t="str">
        <f>VLOOKUP($C11, Factor!$AM$4:$AY$30, 11, 0)</f>
        <v>C</v>
      </c>
      <c r="J11" s="21" t="str">
        <f>VLOOKUP($C11, Factor!$AM$4:$AY$30, 12, 0)</f>
        <v>ml</v>
      </c>
      <c r="K11" s="21" t="str">
        <f>VLOOKUP($C11, Factor!$AM$4:$AY$30, 13, 0)</f>
        <v>L</v>
      </c>
      <c r="L11" s="13">
        <v>1</v>
      </c>
      <c r="M11" s="13">
        <v>1</v>
      </c>
      <c r="N11" s="13">
        <v>1</v>
      </c>
      <c r="O11" s="13">
        <v>1</v>
      </c>
      <c r="P11" s="13">
        <v>1</v>
      </c>
      <c r="Q11" s="13">
        <v>1</v>
      </c>
      <c r="R11" s="21" t="str">
        <f>VLOOKUP($C11, Factor!$AM$4:$AY$30, 9, 0)</f>
        <v>Big</v>
      </c>
      <c r="S11" s="13" t="s">
        <v>403</v>
      </c>
      <c r="T11" s="21" t="str">
        <f>VLOOKUP($C11, Factor!$AM$4:$AY$30, 10, 0)</f>
        <v>enpc</v>
      </c>
      <c r="U11" s="21" cm="1">
        <f t="array" ref="U11">L11*VLOOKUP($I11, Factor!$B$4:$G$8, 2, 0)*VLOOKUP($J11, Factor!$B$12:$G$13, 2, 0)*VLOOKUP($K11, Factor!$B$17:$G$18, 2, 0)*VLOOKUP($H11, Factor!$J$4:$O$7, 2, 0)*VLOOKUP($F11, Factor!$Q$4:$V$15, 2, 0)*IF(MOD($G11,10)=0, 10, MOD($G11, 10))*((INDEX(Factor!$X$4:$AC$13, _xlfn.XMATCH($G11, Factor!$X$4:$X$13, 1),2)*IF(MOD(G11, 10) = 0, 10, MOD(G11, 10)))+INDEX(Factor!$AE$4:$AJ$13, _xlfn.XMATCH(MonsterData!$G11, Factor!$AE$4:$AE$13, 1),2))</f>
        <v>45000</v>
      </c>
      <c r="V11" s="21" cm="1">
        <f t="array" ref="V11">M11*VLOOKUP($I11, Factor!$B$4:$G$8, 3, 0)*VLOOKUP($J11, Factor!$B$12:$G$13, 3, 0)*VLOOKUP($K11, Factor!$B$17:$G$18, 3, 0)*VLOOKUP($H11, Factor!$J$4:$O$7, 3, 0)*VLOOKUP($F11, Factor!$Q$4:$V$15, 3, 0)*IF(MOD($G11,10)=0, 10, MOD($G11, 10))*((INDEX(Factor!$X$4:$AC$13, _xlfn.XMATCH($G11, Factor!$X$4:$X$13, 1),3)*IF(MOD(G11, 10) = 0, 10, MOD(G11, 10)))+INDEX(Factor!$AE$4:$AJ$13, _xlfn.XMATCH(MonsterData!$G11, Factor!$AE$4:$AE$13, 1),3))</f>
        <v>2250</v>
      </c>
      <c r="W11" s="21" cm="1">
        <f t="array" ref="W11">N11*VLOOKUP($I11, Factor!$B$4:$G$8, 4, 0)*VLOOKUP($J11, Factor!$B$12:$G$13, 4, 0)*VLOOKUP($K11, Factor!$B$17:$G$18, 4, 0)*VLOOKUP($H11, Factor!$J$4:$O$7, 4, 0)*VLOOKUP($F11, Factor!$Q$4:$V$15, 4, 0)*IF(MOD($G11,10)=0, 10, MOD($G11, 10))*((INDEX(Factor!$X$4:$AC$13, _xlfn.XMATCH($G11, Factor!$X$4:$X$13, 1),4)*IF(MOD(G11, 10) = 0, 10, MOD(G11, 10)))+INDEX(Factor!$AE$4:$AJ$13, _xlfn.XMATCH(MonsterData!$G11, Factor!$AE$4:$AE$13, 1),4))</f>
        <v>4500</v>
      </c>
      <c r="X11" s="21" cm="1">
        <f t="array" ref="X11">O11*VLOOKUP($I11, Factor!$B$4:$G$8, 5, 0)*VLOOKUP($J11, Factor!$B$12:$G$13, 5, 0)*VLOOKUP($K11, Factor!$B$17:$G$18, 5, 0)*VLOOKUP($H11, Factor!$J$4:$O$7, 5, 0)*VLOOKUP($F11, Factor!$Q$4:$V$15, 5, 0)*IF(MOD($G11,10)=0, 10, MOD($G11, 10))*((INDEX(Factor!$X$4:$AC$13, _xlfn.XMATCH($G11, Factor!$X$4:$X$13, 1),5)*IF(MOD(G11, 10) = 0, 10, MOD(G11, 10)))+INDEX(Factor!$AE$4:$AJ$13, _xlfn.XMATCH(MonsterData!$G11, Factor!$AE$4:$AE$13, 1),5))</f>
        <v>81</v>
      </c>
      <c r="Y11" s="21" cm="1">
        <f t="array" ref="Y11">P11*VLOOKUP($I11, Factor!$B$4:$G$8, 6, 0)*VLOOKUP($J11, Factor!$B$12:$G$13, 6, 0)*VLOOKUP($K11, Factor!$B$17:$G$18, 6, 0)*VLOOKUP($H11, Factor!$J$4:$O$7, 2, 0)*VLOOKUP($F11, Factor!$Q$4:$V$15, 6, 0)*IF(MOD($G11,10)=0, 10, MOD($G11, 10))*((INDEX(Factor!$X$4:$AC$13, _xlfn.XMATCH($G11, Factor!$X$4:$X$13, 1),6)*IF(MOD(G11, 10) = 0, 10, MOD(G11, 10)))+INDEX(Factor!$AE$4:$AJ$13, _xlfn.XMATCH(MonsterData!$G11, Factor!$AE$4:$AE$13, 1),6))</f>
        <v>90</v>
      </c>
      <c r="Z11" s="21">
        <f>$Q11*VLOOKUP($J11, Factor!$B$12:$H$13, 7, 0)</f>
        <v>1</v>
      </c>
      <c r="AA11" s="13">
        <v>1</v>
      </c>
      <c r="AB11" s="21">
        <f t="shared" si="1"/>
        <v>0</v>
      </c>
      <c r="AC11" s="13" t="s">
        <v>145</v>
      </c>
      <c r="AD11" s="15" t="s">
        <v>146</v>
      </c>
    </row>
    <row r="12" spans="1:32" ht="15.75" customHeight="1">
      <c r="A12" s="16" t="str">
        <f>T12&amp;"_"&amp;F12&amp;VLOOKUP($C12, Factor!$AM$4:$AY$30, 7, 0)&amp;IF(COUNTIFS($C$4:C11, C12, $F$4:F11, F12)+1&gt;=100, COUNTIFS($C$4:C11, C12, $F$4:F11, F12)+1,IF(COUNTIFS($C$4:C11, C12, $F$4:F11, F12)+1&gt;=10, "0"&amp;COUNTIFS($C$4:C11, C12, $F$4:F11, F12)+1, "00"&amp;COUNTIFS($C$4:C11, C12, $F$4:F11, F12)+1))</f>
        <v>einc_F01_C_Titancore_001</v>
      </c>
      <c r="B12" s="16"/>
      <c r="C12" s="16" t="s">
        <v>44</v>
      </c>
      <c r="D12" s="16" t="str">
        <f t="shared" si="0"/>
        <v>타이탄의 코어</v>
      </c>
      <c r="E12" s="17" t="str">
        <f>VLOOKUP($C12, Factor!$AM$4:$AY$30, 8, 0)</f>
        <v>B</v>
      </c>
      <c r="F12" s="17" t="s">
        <v>382</v>
      </c>
      <c r="G12" s="20">
        <v>20</v>
      </c>
      <c r="H12" s="16" t="s">
        <v>55</v>
      </c>
      <c r="I12" s="17" t="str">
        <f>VLOOKUP($C12, Factor!$AM$4:$AY$30, 11, 0)</f>
        <v>C</v>
      </c>
      <c r="J12" s="17" t="str">
        <f>VLOOKUP($C12, Factor!$AM$4:$AY$30, 12, 0)</f>
        <v>ml</v>
      </c>
      <c r="K12" s="17" t="str">
        <f>VLOOKUP($C12, Factor!$AM$4:$AY$30, 13, 0)</f>
        <v>L</v>
      </c>
      <c r="L12" s="17">
        <v>1</v>
      </c>
      <c r="M12" s="17">
        <v>1</v>
      </c>
      <c r="N12" s="17">
        <v>1</v>
      </c>
      <c r="O12" s="17">
        <v>1</v>
      </c>
      <c r="P12" s="17">
        <v>1</v>
      </c>
      <c r="Q12" s="17">
        <v>1</v>
      </c>
      <c r="R12" s="17" t="str">
        <f>VLOOKUP($C12, Factor!$AM$4:$AY$30, 9, 0)</f>
        <v>Big</v>
      </c>
      <c r="S12" s="17" t="s">
        <v>199</v>
      </c>
      <c r="T12" s="17" t="str">
        <f>VLOOKUP($C12, Factor!$AM$4:$AY$30, 10, 0)</f>
        <v>einc</v>
      </c>
      <c r="U12" s="17" cm="1">
        <f t="array" ref="U12">L12*VLOOKUP($I12, Factor!$B$4:$G$8, 2, 0)*VLOOKUP($J12, Factor!$B$12:$G$13, 2, 0)*VLOOKUP($K12, Factor!$B$17:$G$18, 2, 0)*VLOOKUP($H12, Factor!$J$4:$O$7, 2, 0)*VLOOKUP($F12, Factor!$Q$4:$V$15, 2, 0)*IF(MOD($G12,10)=0, 10, MOD($G12, 10))*((INDEX(Factor!$X$4:$AC$13, _xlfn.XMATCH($G12, Factor!$X$4:$X$13, 1),2)*IF(MOD(G12, 10) = 0, 10, MOD(G12, 10)))+INDEX(Factor!$AE$4:$AJ$13, _xlfn.XMATCH(MonsterData!$G12, Factor!$AE$4:$AE$13, 1),2))</f>
        <v>45000</v>
      </c>
      <c r="V12" s="17" cm="1">
        <f t="array" ref="V12">M12*VLOOKUP($I12, Factor!$B$4:$G$8, 3, 0)*VLOOKUP($J12, Factor!$B$12:$G$13, 3, 0)*VLOOKUP($K12, Factor!$B$17:$G$18, 3, 0)*VLOOKUP($H12, Factor!$J$4:$O$7, 3, 0)*VLOOKUP($F12, Factor!$Q$4:$V$15, 3, 0)*IF(MOD($G12,10)=0, 10, MOD($G12, 10))*((INDEX(Factor!$X$4:$AC$13, _xlfn.XMATCH($G12, Factor!$X$4:$X$13, 1),3)*IF(MOD(G12, 10) = 0, 10, MOD(G12, 10)))+INDEX(Factor!$AE$4:$AJ$13, _xlfn.XMATCH(MonsterData!$G12, Factor!$AE$4:$AE$13, 1),3))</f>
        <v>2250</v>
      </c>
      <c r="W12" s="17" cm="1">
        <f t="array" ref="W12">N12*VLOOKUP($I12, Factor!$B$4:$G$8, 4, 0)*VLOOKUP($J12, Factor!$B$12:$G$13, 4, 0)*VLOOKUP($K12, Factor!$B$17:$G$18, 4, 0)*VLOOKUP($H12, Factor!$J$4:$O$7, 4, 0)*VLOOKUP($F12, Factor!$Q$4:$V$15, 4, 0)*IF(MOD($G12,10)=0, 10, MOD($G12, 10))*((INDEX(Factor!$X$4:$AC$13, _xlfn.XMATCH($G12, Factor!$X$4:$X$13, 1),4)*IF(MOD(G12, 10) = 0, 10, MOD(G12, 10)))+INDEX(Factor!$AE$4:$AJ$13, _xlfn.XMATCH(MonsterData!$G12, Factor!$AE$4:$AE$13, 1),4))</f>
        <v>2250</v>
      </c>
      <c r="X12" s="17" cm="1">
        <f t="array" ref="X12">O12*VLOOKUP($I12, Factor!$B$4:$G$8, 5, 0)*VLOOKUP($J12, Factor!$B$12:$G$13, 5, 0)*VLOOKUP($K12, Factor!$B$17:$G$18, 5, 0)*VLOOKUP($H12, Factor!$J$4:$O$7, 5, 0)*VLOOKUP($F12, Factor!$Q$4:$V$15, 5, 0)*IF(MOD($G12,10)=0, 10, MOD($G12, 10))*((INDEX(Factor!$X$4:$AC$13, _xlfn.XMATCH($G12, Factor!$X$4:$X$13, 1),5)*IF(MOD(G12, 10) = 0, 10, MOD(G12, 10)))+INDEX(Factor!$AE$4:$AJ$13, _xlfn.XMATCH(MonsterData!$G12, Factor!$AE$4:$AE$13, 1),5))</f>
        <v>90</v>
      </c>
      <c r="Y12" s="17" cm="1">
        <f t="array" ref="Y12">P12*VLOOKUP($I12, Factor!$B$4:$G$8, 6, 0)*VLOOKUP($J12, Factor!$B$12:$G$13, 6, 0)*VLOOKUP($K12, Factor!$B$17:$G$18, 6, 0)*VLOOKUP($H12, Factor!$J$4:$O$7, 2, 0)*VLOOKUP($F12, Factor!$Q$4:$V$15, 6, 0)*IF(MOD($G12,10)=0, 10, MOD($G12, 10))*((INDEX(Factor!$X$4:$AC$13, _xlfn.XMATCH($G12, Factor!$X$4:$X$13, 1),6)*IF(MOD(G12, 10) = 0, 10, MOD(G12, 10)))+INDEX(Factor!$AE$4:$AJ$13, _xlfn.XMATCH(MonsterData!$G12, Factor!$AE$4:$AE$13, 1),6))</f>
        <v>90</v>
      </c>
      <c r="Z12" s="17">
        <f>$Q12*VLOOKUP($J12, Factor!$B$12:$H$13, 7, 0)</f>
        <v>1</v>
      </c>
      <c r="AA12" s="17">
        <v>1</v>
      </c>
      <c r="AB12" s="17">
        <f t="shared" si="1"/>
        <v>0</v>
      </c>
      <c r="AC12" s="17" t="s">
        <v>392</v>
      </c>
      <c r="AD12" s="19" t="s">
        <v>139</v>
      </c>
    </row>
    <row r="13" spans="1:32" ht="15.75" customHeight="1">
      <c r="A13" s="13" t="str">
        <f>T13&amp;"_"&amp;F13&amp;VLOOKUP($C13, Factor!$AM$4:$AY$30, 7, 0)&amp;IF(COUNTIFS($C$4:C12, C13, $F$4:F12, F13)+1&gt;=100, COUNTIFS($C$4:C12, C13, $F$4:F12, F13)+1,IF(COUNTIFS($C$4:C12, C13, $F$4:F12, F13)+1&gt;=10, "0"&amp;COUNTIFS($C$4:C12, C13, $F$4:F12, F13)+1, "00"&amp;COUNTIFS($C$4:C12, C13, $F$4:F12, F13)+1))</f>
        <v>ecre_F01_A_Rock_001</v>
      </c>
      <c r="B13" s="13"/>
      <c r="C13" s="13" t="s">
        <v>45</v>
      </c>
      <c r="D13" s="13" t="str">
        <f t="shared" si="0"/>
        <v>바위</v>
      </c>
      <c r="E13" s="21" t="str">
        <f>VLOOKUP($C13, Factor!$AM$4:$AY$30, 8, 0)</f>
        <v>M</v>
      </c>
      <c r="F13" s="13" t="s">
        <v>382</v>
      </c>
      <c r="G13" s="22">
        <v>5</v>
      </c>
      <c r="H13" s="13" t="s">
        <v>56</v>
      </c>
      <c r="I13" s="21" t="str">
        <f>VLOOKUP($C13, Factor!$AM$4:$AY$30, 11, 0)</f>
        <v>A</v>
      </c>
      <c r="J13" s="21" t="str">
        <f>VLOOKUP($C13, Factor!$AM$4:$AY$30, 12, 0)</f>
        <v>ml</v>
      </c>
      <c r="K13" s="21" t="str">
        <f>VLOOKUP($C13, Factor!$AM$4:$AY$30, 13, 0)</f>
        <v>L</v>
      </c>
      <c r="L13" s="13">
        <v>1</v>
      </c>
      <c r="M13" s="13">
        <v>1</v>
      </c>
      <c r="N13" s="13">
        <v>1</v>
      </c>
      <c r="O13" s="13">
        <v>1</v>
      </c>
      <c r="P13" s="13">
        <v>1</v>
      </c>
      <c r="Q13" s="13">
        <v>1</v>
      </c>
      <c r="R13" s="21" t="str">
        <f>VLOOKUP($C13, Factor!$AM$4:$AY$30, 9, 0)</f>
        <v>Midium</v>
      </c>
      <c r="S13" s="13" t="s">
        <v>404</v>
      </c>
      <c r="T13" s="21" t="str">
        <f>VLOOKUP($C13, Factor!$AM$4:$AY$30, 10, 0)</f>
        <v>ecre</v>
      </c>
      <c r="U13" s="21" cm="1">
        <f t="array" ref="U13">L13*VLOOKUP($I13, Factor!$B$4:$G$8, 2, 0)*VLOOKUP($J13, Factor!$B$12:$G$13, 2, 0)*VLOOKUP($K13, Factor!$B$17:$G$18, 2, 0)*VLOOKUP($H13, Factor!$J$4:$O$7, 2, 0)*VLOOKUP($F13, Factor!$Q$4:$V$15, 2, 0)*IF(MOD($G13,10)=0, 10, MOD($G13, 10))*((INDEX(Factor!$X$4:$AC$13, _xlfn.XMATCH($G13, Factor!$X$4:$X$13, 1),2)*IF(MOD(G13, 10) = 0, 10, MOD(G13, 10)))+INDEX(Factor!$AE$4:$AJ$13, _xlfn.XMATCH(MonsterData!$G13, Factor!$AE$4:$AE$13, 1),2))</f>
        <v>375</v>
      </c>
      <c r="V13" s="21" cm="1">
        <f t="array" ref="V13">M13*VLOOKUP($I13, Factor!$B$4:$G$8, 3, 0)*VLOOKUP($J13, Factor!$B$12:$G$13, 3, 0)*VLOOKUP($K13, Factor!$B$17:$G$18, 3, 0)*VLOOKUP($H13, Factor!$J$4:$O$7, 3, 0)*VLOOKUP($F13, Factor!$Q$4:$V$15, 3, 0)*IF(MOD($G13,10)=0, 10, MOD($G13, 10))*((INDEX(Factor!$X$4:$AC$13, _xlfn.XMATCH($G13, Factor!$X$4:$X$13, 1),3)*IF(MOD(G13, 10) = 0, 10, MOD(G13, 10)))+INDEX(Factor!$AE$4:$AJ$13, _xlfn.XMATCH(MonsterData!$G13, Factor!$AE$4:$AE$13, 1),3))</f>
        <v>18.75</v>
      </c>
      <c r="W13" s="21" cm="1">
        <f t="array" ref="W13">N13*VLOOKUP($I13, Factor!$B$4:$G$8, 4, 0)*VLOOKUP($J13, Factor!$B$12:$G$13, 4, 0)*VLOOKUP($K13, Factor!$B$17:$G$18, 4, 0)*VLOOKUP($H13, Factor!$J$4:$O$7, 4, 0)*VLOOKUP($F13, Factor!$Q$4:$V$15, 4, 0)*IF(MOD($G13,10)=0, 10, MOD($G13, 10))*((INDEX(Factor!$X$4:$AC$13, _xlfn.XMATCH($G13, Factor!$X$4:$X$13, 1),4)*IF(MOD(G13, 10) = 0, 10, MOD(G13, 10)))+INDEX(Factor!$AE$4:$AJ$13, _xlfn.XMATCH(MonsterData!$G13, Factor!$AE$4:$AE$13, 1),4))</f>
        <v>22.5</v>
      </c>
      <c r="X13" s="21" cm="1">
        <f t="array" ref="X13">O13*VLOOKUP($I13, Factor!$B$4:$G$8, 5, 0)*VLOOKUP($J13, Factor!$B$12:$G$13, 5, 0)*VLOOKUP($K13, Factor!$B$17:$G$18, 5, 0)*VLOOKUP($H13, Factor!$J$4:$O$7, 5, 0)*VLOOKUP($F13, Factor!$Q$4:$V$15, 5, 0)*IF(MOD($G13,10)=0, 10, MOD($G13, 10))*((INDEX(Factor!$X$4:$AC$13, _xlfn.XMATCH($G13, Factor!$X$4:$X$13, 1),5)*IF(MOD(G13, 10) = 0, 10, MOD(G13, 10)))+INDEX(Factor!$AE$4:$AJ$13, _xlfn.XMATCH(MonsterData!$G13, Factor!$AE$4:$AE$13, 1),5))</f>
        <v>2.25</v>
      </c>
      <c r="Y13" s="21" cm="1">
        <f t="array" ref="Y13">P13*VLOOKUP($I13, Factor!$B$4:$G$8, 6, 0)*VLOOKUP($J13, Factor!$B$12:$G$13, 6, 0)*VLOOKUP($K13, Factor!$B$17:$G$18, 6, 0)*VLOOKUP($H13, Factor!$J$4:$O$7, 2, 0)*VLOOKUP($F13, Factor!$Q$4:$V$15, 6, 0)*IF(MOD($G13,10)=0, 10, MOD($G13, 10))*((INDEX(Factor!$X$4:$AC$13, _xlfn.XMATCH($G13, Factor!$X$4:$X$13, 1),6)*IF(MOD(G13, 10) = 0, 10, MOD(G13, 10)))+INDEX(Factor!$AE$4:$AJ$13, _xlfn.XMATCH(MonsterData!$G13, Factor!$AE$4:$AE$13, 1),6))</f>
        <v>12.5</v>
      </c>
      <c r="Z13" s="21">
        <f>$Q13*VLOOKUP($J13, Factor!$B$12:$H$13, 7, 0)</f>
        <v>1</v>
      </c>
      <c r="AA13" s="13">
        <v>1</v>
      </c>
      <c r="AB13" s="21">
        <f t="shared" si="1"/>
        <v>0</v>
      </c>
      <c r="AC13" s="13" t="s">
        <v>139</v>
      </c>
      <c r="AD13" s="15" t="s">
        <v>139</v>
      </c>
    </row>
    <row r="14" spans="1:32" ht="15.75" customHeight="1">
      <c r="A14" s="16" t="str">
        <f>T14&amp;"_"&amp;F14&amp;VLOOKUP($C14, Factor!$AM$4:$AY$30, 7, 0)&amp;IF(COUNTIFS($C$4:C13, C14, $F$4:F13, F14)+1&gt;=100, COUNTIFS($C$4:C13, C14, $F$4:F13, F14)+1,IF(COUNTIFS($C$4:C13, C14, $F$4:F13, F14)+1&gt;=10, "0"&amp;COUNTIFS($C$4:C13, C14, $F$4:F13, F14)+1, "00"&amp;COUNTIFS($C$4:C13, C14, $F$4:F13, F14)+1))</f>
        <v>enpc_F01_A_Scarab_001</v>
      </c>
      <c r="B14" s="16"/>
      <c r="C14" s="16" t="s">
        <v>353</v>
      </c>
      <c r="D14" s="16" t="str">
        <f t="shared" si="0"/>
        <v>스캐럽</v>
      </c>
      <c r="E14" s="17" t="str">
        <f>VLOOKUP($C14, Factor!$AM$4:$AY$30, 8, 0)</f>
        <v>S</v>
      </c>
      <c r="F14" s="17" t="s">
        <v>382</v>
      </c>
      <c r="G14" s="20">
        <v>1</v>
      </c>
      <c r="H14" s="16" t="s">
        <v>55</v>
      </c>
      <c r="I14" s="17" t="str">
        <f>VLOOKUP($C14, Factor!$AM$4:$AY$30, 11, 0)</f>
        <v>A</v>
      </c>
      <c r="J14" s="17" t="str">
        <f>VLOOKUP($C14, Factor!$AM$4:$AY$30, 12, 0)</f>
        <v>ml</v>
      </c>
      <c r="K14" s="17" t="str">
        <f>VLOOKUP($C14, Factor!$AM$4:$AY$30, 13, 0)</f>
        <v>L</v>
      </c>
      <c r="L14" s="17">
        <v>1</v>
      </c>
      <c r="M14" s="17">
        <v>1</v>
      </c>
      <c r="N14" s="17">
        <v>1</v>
      </c>
      <c r="O14" s="17">
        <v>1</v>
      </c>
      <c r="P14" s="17">
        <v>1</v>
      </c>
      <c r="Q14" s="17">
        <v>1</v>
      </c>
      <c r="R14" s="17" t="str">
        <f>VLOOKUP($C14, Factor!$AM$4:$AY$30, 9, 0)</f>
        <v>Midium</v>
      </c>
      <c r="S14" s="17" t="s">
        <v>375</v>
      </c>
      <c r="T14" s="17" t="str">
        <f>VLOOKUP($C14, Factor!$AM$4:$AY$30, 10, 0)</f>
        <v>enpc</v>
      </c>
      <c r="U14" s="17" cm="1">
        <f t="array" ref="U14">L14*VLOOKUP($I14, Factor!$B$4:$G$8, 2, 0)*VLOOKUP($J14, Factor!$B$12:$G$13, 2, 0)*VLOOKUP($K14, Factor!$B$17:$G$18, 2, 0)*VLOOKUP($H14, Factor!$J$4:$O$7, 2, 0)*VLOOKUP($F14, Factor!$Q$4:$V$15, 2, 0)*IF(MOD($G14,10)=0, 10, MOD($G14, 10))*((INDEX(Factor!$X$4:$AC$13, _xlfn.XMATCH($G14, Factor!$X$4:$X$13, 1),2)*IF(MOD(G14, 10) = 0, 10, MOD(G14, 10)))+INDEX(Factor!$AE$4:$AJ$13, _xlfn.XMATCH(MonsterData!$G14, Factor!$AE$4:$AE$13, 1),2))</f>
        <v>15</v>
      </c>
      <c r="V14" s="17" cm="1">
        <f t="array" ref="V14">M14*VLOOKUP($I14, Factor!$B$4:$G$8, 3, 0)*VLOOKUP($J14, Factor!$B$12:$G$13, 3, 0)*VLOOKUP($K14, Factor!$B$17:$G$18, 3, 0)*VLOOKUP($H14, Factor!$J$4:$O$7, 3, 0)*VLOOKUP($F14, Factor!$Q$4:$V$15, 3, 0)*IF(MOD($G14,10)=0, 10, MOD($G14, 10))*((INDEX(Factor!$X$4:$AC$13, _xlfn.XMATCH($G14, Factor!$X$4:$X$13, 1),3)*IF(MOD(G14, 10) = 0, 10, MOD(G14, 10)))+INDEX(Factor!$AE$4:$AJ$13, _xlfn.XMATCH(MonsterData!$G14, Factor!$AE$4:$AE$13, 1),3))</f>
        <v>0.75</v>
      </c>
      <c r="W14" s="17" cm="1">
        <f t="array" ref="W14">N14*VLOOKUP($I14, Factor!$B$4:$G$8, 4, 0)*VLOOKUP($J14, Factor!$B$12:$G$13, 4, 0)*VLOOKUP($K14, Factor!$B$17:$G$18, 4, 0)*VLOOKUP($H14, Factor!$J$4:$O$7, 4, 0)*VLOOKUP($F14, Factor!$Q$4:$V$15, 4, 0)*IF(MOD($G14,10)=0, 10, MOD($G14, 10))*((INDEX(Factor!$X$4:$AC$13, _xlfn.XMATCH($G14, Factor!$X$4:$X$13, 1),4)*IF(MOD(G14, 10) = 0, 10, MOD(G14, 10)))+INDEX(Factor!$AE$4:$AJ$13, _xlfn.XMATCH(MonsterData!$G14, Factor!$AE$4:$AE$13, 1),4))</f>
        <v>0.45</v>
      </c>
      <c r="X14" s="17" cm="1">
        <f t="array" ref="X14">O14*VLOOKUP($I14, Factor!$B$4:$G$8, 5, 0)*VLOOKUP($J14, Factor!$B$12:$G$13, 5, 0)*VLOOKUP($K14, Factor!$B$17:$G$18, 5, 0)*VLOOKUP($H14, Factor!$J$4:$O$7, 5, 0)*VLOOKUP($F14, Factor!$Q$4:$V$15, 5, 0)*IF(MOD($G14,10)=0, 10, MOD($G14, 10))*((INDEX(Factor!$X$4:$AC$13, _xlfn.XMATCH($G14, Factor!$X$4:$X$13, 1),5)*IF(MOD(G14, 10) = 0, 10, MOD(G14, 10)))+INDEX(Factor!$AE$4:$AJ$13, _xlfn.XMATCH(MonsterData!$G14, Factor!$AE$4:$AE$13, 1),5))</f>
        <v>0.1</v>
      </c>
      <c r="Y14" s="17" cm="1">
        <f t="array" ref="Y14">P14*VLOOKUP($I14, Factor!$B$4:$G$8, 6, 0)*VLOOKUP($J14, Factor!$B$12:$G$13, 6, 0)*VLOOKUP($K14, Factor!$B$17:$G$18, 6, 0)*VLOOKUP($H14, Factor!$J$4:$O$7, 2, 0)*VLOOKUP($F14, Factor!$Q$4:$V$15, 6, 0)*IF(MOD($G14,10)=0, 10, MOD($G14, 10))*((INDEX(Factor!$X$4:$AC$13, _xlfn.XMATCH($G14, Factor!$X$4:$X$13, 1),6)*IF(MOD(G14, 10) = 0, 10, MOD(G14, 10)))+INDEX(Factor!$AE$4:$AJ$13, _xlfn.XMATCH(MonsterData!$G14, Factor!$AE$4:$AE$13, 1),6))</f>
        <v>0.5</v>
      </c>
      <c r="Z14" s="17">
        <f>$Q14*VLOOKUP($J14, Factor!$B$12:$H$13, 7, 0)</f>
        <v>1</v>
      </c>
      <c r="AA14" s="17">
        <v>1</v>
      </c>
      <c r="AB14" s="17">
        <f t="shared" ref="AB14:AB22" si="2">IF(J14 = "ml", 0, $Z14*$AA14)</f>
        <v>0</v>
      </c>
      <c r="AC14" s="17" t="s">
        <v>139</v>
      </c>
      <c r="AD14" s="19" t="s">
        <v>387</v>
      </c>
    </row>
    <row r="15" spans="1:32" ht="15.75" customHeight="1">
      <c r="A15" s="13" t="str">
        <f>T15&amp;"_"&amp;F15&amp;VLOOKUP($C15, Factor!$AM$4:$AY$30, 7, 0)&amp;IF(COUNTIFS($C$4:C14, C15, $F$4:F14, F15)+1&gt;=100, COUNTIFS($C$4:C14, C15, $F$4:F14, F15)+1,IF(COUNTIFS($C$4:C14, C15, $F$4:F14, F15)+1&gt;=10, "0"&amp;COUNTIFS($C$4:C14, C15, $F$4:F14, F15)+1, "00"&amp;COUNTIFS($C$4:C14, C15, $F$4:F14, F15)+1))</f>
        <v>enpc_F01_A_Swarmlet_001</v>
      </c>
      <c r="B15" s="13"/>
      <c r="C15" s="13" t="s">
        <v>355</v>
      </c>
      <c r="D15" s="13" t="str">
        <f t="shared" si="0"/>
        <v>스웜렛</v>
      </c>
      <c r="E15" s="21" t="str">
        <f>VLOOKUP($C15, Factor!$AM$4:$AY$30, 8, 0)</f>
        <v>B</v>
      </c>
      <c r="F15" s="13" t="s">
        <v>382</v>
      </c>
      <c r="G15" s="22">
        <v>1</v>
      </c>
      <c r="H15" s="13" t="s">
        <v>56</v>
      </c>
      <c r="I15" s="21" t="str">
        <f>VLOOKUP($C15, Factor!$AM$4:$AY$30, 11, 0)</f>
        <v>A</v>
      </c>
      <c r="J15" s="21" t="str">
        <f>VLOOKUP($C15, Factor!$AM$4:$AY$30, 12, 0)</f>
        <v>ml</v>
      </c>
      <c r="K15" s="21" t="str">
        <f>VLOOKUP($C15, Factor!$AM$4:$AY$30, 13, 0)</f>
        <v>L</v>
      </c>
      <c r="L15" s="13">
        <v>1</v>
      </c>
      <c r="M15" s="13">
        <v>1</v>
      </c>
      <c r="N15" s="13">
        <v>1</v>
      </c>
      <c r="O15" s="13">
        <v>1</v>
      </c>
      <c r="P15" s="13">
        <v>1</v>
      </c>
      <c r="Q15" s="13">
        <v>1</v>
      </c>
      <c r="R15" s="21" t="str">
        <f>VLOOKUP($C15, Factor!$AM$4:$AY$30, 9, 0)</f>
        <v>Small</v>
      </c>
      <c r="S15" s="13" t="s">
        <v>405</v>
      </c>
      <c r="T15" s="21" t="str">
        <f>VLOOKUP($C15, Factor!$AM$4:$AY$30, 10, 0)</f>
        <v>enpc</v>
      </c>
      <c r="U15" s="21" cm="1">
        <f t="array" ref="U15">L15*VLOOKUP($I15, Factor!$B$4:$G$8, 2, 0)*VLOOKUP($J15, Factor!$B$12:$G$13, 2, 0)*VLOOKUP($K15, Factor!$B$17:$G$18, 2, 0)*VLOOKUP($H15, Factor!$J$4:$O$7, 2, 0)*VLOOKUP($F15, Factor!$Q$4:$V$15, 2, 0)*IF(MOD($G15,10)=0, 10, MOD($G15, 10))*((INDEX(Factor!$X$4:$AC$13, _xlfn.XMATCH($G15, Factor!$X$4:$X$13, 1),2)*IF(MOD(G15, 10) = 0, 10, MOD(G15, 10)))+INDEX(Factor!$AE$4:$AJ$13, _xlfn.XMATCH(MonsterData!$G15, Factor!$AE$4:$AE$13, 1),2))</f>
        <v>15</v>
      </c>
      <c r="V15" s="21" cm="1">
        <f t="array" ref="V15">M15*VLOOKUP($I15, Factor!$B$4:$G$8, 3, 0)*VLOOKUP($J15, Factor!$B$12:$G$13, 3, 0)*VLOOKUP($K15, Factor!$B$17:$G$18, 3, 0)*VLOOKUP($H15, Factor!$J$4:$O$7, 3, 0)*VLOOKUP($F15, Factor!$Q$4:$V$15, 3, 0)*IF(MOD($G15,10)=0, 10, MOD($G15, 10))*((INDEX(Factor!$X$4:$AC$13, _xlfn.XMATCH($G15, Factor!$X$4:$X$13, 1),3)*IF(MOD(G15, 10) = 0, 10, MOD(G15, 10)))+INDEX(Factor!$AE$4:$AJ$13, _xlfn.XMATCH(MonsterData!$G15, Factor!$AE$4:$AE$13, 1),3))</f>
        <v>0.75</v>
      </c>
      <c r="W15" s="21" cm="1">
        <f t="array" ref="W15">N15*VLOOKUP($I15, Factor!$B$4:$G$8, 4, 0)*VLOOKUP($J15, Factor!$B$12:$G$13, 4, 0)*VLOOKUP($K15, Factor!$B$17:$G$18, 4, 0)*VLOOKUP($H15, Factor!$J$4:$O$7, 4, 0)*VLOOKUP($F15, Factor!$Q$4:$V$15, 4, 0)*IF(MOD($G15,10)=0, 10, MOD($G15, 10))*((INDEX(Factor!$X$4:$AC$13, _xlfn.XMATCH($G15, Factor!$X$4:$X$13, 1),4)*IF(MOD(G15, 10) = 0, 10, MOD(G15, 10)))+INDEX(Factor!$AE$4:$AJ$13, _xlfn.XMATCH(MonsterData!$G15, Factor!$AE$4:$AE$13, 1),4))</f>
        <v>0.9</v>
      </c>
      <c r="X15" s="21" cm="1">
        <f t="array" ref="X15">O15*VLOOKUP($I15, Factor!$B$4:$G$8, 5, 0)*VLOOKUP($J15, Factor!$B$12:$G$13, 5, 0)*VLOOKUP($K15, Factor!$B$17:$G$18, 5, 0)*VLOOKUP($H15, Factor!$J$4:$O$7, 5, 0)*VLOOKUP($F15, Factor!$Q$4:$V$15, 5, 0)*IF(MOD($G15,10)=0, 10, MOD($G15, 10))*((INDEX(Factor!$X$4:$AC$13, _xlfn.XMATCH($G15, Factor!$X$4:$X$13, 1),5)*IF(MOD(G15, 10) = 0, 10, MOD(G15, 10)))+INDEX(Factor!$AE$4:$AJ$13, _xlfn.XMATCH(MonsterData!$G15, Factor!$AE$4:$AE$13, 1),5))</f>
        <v>9.0000000000000011E-2</v>
      </c>
      <c r="Y15" s="21" cm="1">
        <f t="array" ref="Y15">P15*VLOOKUP($I15, Factor!$B$4:$G$8, 6, 0)*VLOOKUP($J15, Factor!$B$12:$G$13, 6, 0)*VLOOKUP($K15, Factor!$B$17:$G$18, 6, 0)*VLOOKUP($H15, Factor!$J$4:$O$7, 2, 0)*VLOOKUP($F15, Factor!$Q$4:$V$15, 6, 0)*IF(MOD($G15,10)=0, 10, MOD($G15, 10))*((INDEX(Factor!$X$4:$AC$13, _xlfn.XMATCH($G15, Factor!$X$4:$X$13, 1),6)*IF(MOD(G15, 10) = 0, 10, MOD(G15, 10)))+INDEX(Factor!$AE$4:$AJ$13, _xlfn.XMATCH(MonsterData!$G15, Factor!$AE$4:$AE$13, 1),6))</f>
        <v>0.5</v>
      </c>
      <c r="Z15" s="21">
        <f>$Q15*VLOOKUP($J15, Factor!$B$12:$H$13, 7, 0)</f>
        <v>1</v>
      </c>
      <c r="AA15" s="13">
        <v>1</v>
      </c>
      <c r="AB15" s="21">
        <f t="shared" si="2"/>
        <v>0</v>
      </c>
      <c r="AC15" s="13" t="s">
        <v>139</v>
      </c>
      <c r="AD15" s="15" t="s">
        <v>387</v>
      </c>
    </row>
    <row r="16" spans="1:32" ht="15.75" customHeight="1">
      <c r="A16" s="16" t="str">
        <f>T16&amp;"_"&amp;F16&amp;VLOOKUP($C16, Factor!$AM$4:$AY$30, 7, 0)&amp;IF(COUNTIFS($C$4:C15, C16, $F$4:F15, F16)+1&gt;=100, COUNTIFS($C$4:C15, C16, $F$4:F15, F16)+1,IF(COUNTIFS($C$4:C15, C16, $F$4:F15, F16)+1&gt;=10, "0"&amp;COUNTIFS($C$4:C15, C16, $F$4:F15, F16)+1, "00"&amp;COUNTIFS($C$4:C15, C16, $F$4:F15, F16)+1))</f>
        <v>enpc_F01_A_Mantis_001</v>
      </c>
      <c r="B16" s="16"/>
      <c r="C16" s="16" t="s">
        <v>357</v>
      </c>
      <c r="D16" s="16" t="str">
        <f t="shared" si="0"/>
        <v>맨티스</v>
      </c>
      <c r="E16" s="17" t="str">
        <f>VLOOKUP($C16, Factor!$AM$4:$AY$30, 8, 0)</f>
        <v>S</v>
      </c>
      <c r="F16" s="17" t="s">
        <v>382</v>
      </c>
      <c r="G16" s="20">
        <v>1</v>
      </c>
      <c r="H16" s="16" t="s">
        <v>55</v>
      </c>
      <c r="I16" s="17" t="str">
        <f>VLOOKUP($C16, Factor!$AM$4:$AY$30, 11, 0)</f>
        <v>A</v>
      </c>
      <c r="J16" s="17" t="str">
        <f>VLOOKUP($C16, Factor!$AM$4:$AY$30, 12, 0)</f>
        <v>ml</v>
      </c>
      <c r="K16" s="17" t="str">
        <f>VLOOKUP($C16, Factor!$AM$4:$AY$30, 13, 0)</f>
        <v>L</v>
      </c>
      <c r="L16" s="17">
        <v>1</v>
      </c>
      <c r="M16" s="17">
        <v>1</v>
      </c>
      <c r="N16" s="17">
        <v>1</v>
      </c>
      <c r="O16" s="17">
        <v>1</v>
      </c>
      <c r="P16" s="17">
        <v>1</v>
      </c>
      <c r="Q16" s="17">
        <v>1</v>
      </c>
      <c r="R16" s="17" t="str">
        <f>VLOOKUP($C16, Factor!$AM$4:$AY$30, 9, 0)</f>
        <v>Small</v>
      </c>
      <c r="S16" s="17" t="s">
        <v>377</v>
      </c>
      <c r="T16" s="17" t="str">
        <f>VLOOKUP($C16, Factor!$AM$4:$AY$30, 10, 0)</f>
        <v>enpc</v>
      </c>
      <c r="U16" s="17" cm="1">
        <f t="array" ref="U16">L16*VLOOKUP($I16, Factor!$B$4:$G$8, 2, 0)*VLOOKUP($J16, Factor!$B$12:$G$13, 2, 0)*VLOOKUP($K16, Factor!$B$17:$G$18, 2, 0)*VLOOKUP($H16, Factor!$J$4:$O$7, 2, 0)*VLOOKUP($F16, Factor!$Q$4:$V$15, 2, 0)*IF(MOD($G16,10)=0, 10, MOD($G16, 10))*((INDEX(Factor!$X$4:$AC$13, _xlfn.XMATCH($G16, Factor!$X$4:$X$13, 1),2)*IF(MOD(G16, 10) = 0, 10, MOD(G16, 10)))+INDEX(Factor!$AE$4:$AJ$13, _xlfn.XMATCH(MonsterData!$G16, Factor!$AE$4:$AE$13, 1),2))</f>
        <v>15</v>
      </c>
      <c r="V16" s="17" cm="1">
        <f t="array" ref="V16">M16*VLOOKUP($I16, Factor!$B$4:$G$8, 3, 0)*VLOOKUP($J16, Factor!$B$12:$G$13, 3, 0)*VLOOKUP($K16, Factor!$B$17:$G$18, 3, 0)*VLOOKUP($H16, Factor!$J$4:$O$7, 3, 0)*VLOOKUP($F16, Factor!$Q$4:$V$15, 3, 0)*IF(MOD($G16,10)=0, 10, MOD($G16, 10))*((INDEX(Factor!$X$4:$AC$13, _xlfn.XMATCH($G16, Factor!$X$4:$X$13, 1),3)*IF(MOD(G16, 10) = 0, 10, MOD(G16, 10)))+INDEX(Factor!$AE$4:$AJ$13, _xlfn.XMATCH(MonsterData!$G16, Factor!$AE$4:$AE$13, 1),3))</f>
        <v>0.75</v>
      </c>
      <c r="W16" s="17" cm="1">
        <f t="array" ref="W16">N16*VLOOKUP($I16, Factor!$B$4:$G$8, 4, 0)*VLOOKUP($J16, Factor!$B$12:$G$13, 4, 0)*VLOOKUP($K16, Factor!$B$17:$G$18, 4, 0)*VLOOKUP($H16, Factor!$J$4:$O$7, 4, 0)*VLOOKUP($F16, Factor!$Q$4:$V$15, 4, 0)*IF(MOD($G16,10)=0, 10, MOD($G16, 10))*((INDEX(Factor!$X$4:$AC$13, _xlfn.XMATCH($G16, Factor!$X$4:$X$13, 1),4)*IF(MOD(G16, 10) = 0, 10, MOD(G16, 10)))+INDEX(Factor!$AE$4:$AJ$13, _xlfn.XMATCH(MonsterData!$G16, Factor!$AE$4:$AE$13, 1),4))</f>
        <v>0.45</v>
      </c>
      <c r="X16" s="17" cm="1">
        <f t="array" ref="X16">O16*VLOOKUP($I16, Factor!$B$4:$G$8, 5, 0)*VLOOKUP($J16, Factor!$B$12:$G$13, 5, 0)*VLOOKUP($K16, Factor!$B$17:$G$18, 5, 0)*VLOOKUP($H16, Factor!$J$4:$O$7, 5, 0)*VLOOKUP($F16, Factor!$Q$4:$V$15, 5, 0)*IF(MOD($G16,10)=0, 10, MOD($G16, 10))*((INDEX(Factor!$X$4:$AC$13, _xlfn.XMATCH($G16, Factor!$X$4:$X$13, 1),5)*IF(MOD(G16, 10) = 0, 10, MOD(G16, 10)))+INDEX(Factor!$AE$4:$AJ$13, _xlfn.XMATCH(MonsterData!$G16, Factor!$AE$4:$AE$13, 1),5))</f>
        <v>0.1</v>
      </c>
      <c r="Y16" s="17" cm="1">
        <f t="array" ref="Y16">P16*VLOOKUP($I16, Factor!$B$4:$G$8, 6, 0)*VLOOKUP($J16, Factor!$B$12:$G$13, 6, 0)*VLOOKUP($K16, Factor!$B$17:$G$18, 6, 0)*VLOOKUP($H16, Factor!$J$4:$O$7, 2, 0)*VLOOKUP($F16, Factor!$Q$4:$V$15, 6, 0)*IF(MOD($G16,10)=0, 10, MOD($G16, 10))*((INDEX(Factor!$X$4:$AC$13, _xlfn.XMATCH($G16, Factor!$X$4:$X$13, 1),6)*IF(MOD(G16, 10) = 0, 10, MOD(G16, 10)))+INDEX(Factor!$AE$4:$AJ$13, _xlfn.XMATCH(MonsterData!$G16, Factor!$AE$4:$AE$13, 1),6))</f>
        <v>0.5</v>
      </c>
      <c r="Z16" s="17">
        <f>$Q16*VLOOKUP($J16, Factor!$B$12:$H$13, 7, 0)</f>
        <v>1</v>
      </c>
      <c r="AA16" s="17">
        <v>1</v>
      </c>
      <c r="AB16" s="17">
        <f t="shared" si="2"/>
        <v>0</v>
      </c>
      <c r="AC16" s="17" t="s">
        <v>139</v>
      </c>
      <c r="AD16" s="19" t="s">
        <v>387</v>
      </c>
    </row>
    <row r="17" spans="1:30" ht="15.75" customHeight="1">
      <c r="A17" s="13" t="str">
        <f>T17&amp;"_"&amp;F17&amp;VLOOKUP($C17, Factor!$AM$4:$AY$30, 7, 0)&amp;IF(COUNTIFS($C$4:C16, C17, $F$4:F16, F17)+1&gt;=100, COUNTIFS($C$4:C16, C17, $F$4:F16, F17)+1,IF(COUNTIFS($C$4:C16, C17, $F$4:F16, F17)+1&gt;=10, "0"&amp;COUNTIFS($C$4:C16, C17, $F$4:F16, F17)+1, "00"&amp;COUNTIFS($C$4:C16, C17, $F$4:F16, F17)+1))</f>
        <v>enpc_F01_B_Kobold_001</v>
      </c>
      <c r="B17" s="13"/>
      <c r="C17" s="13" t="s">
        <v>359</v>
      </c>
      <c r="D17" s="13" t="str">
        <f t="shared" si="0"/>
        <v>코볼트</v>
      </c>
      <c r="E17" s="21" t="str">
        <f>VLOOKUP($C17, Factor!$AM$4:$AY$30, 8, 0)</f>
        <v>M</v>
      </c>
      <c r="F17" s="13" t="s">
        <v>382</v>
      </c>
      <c r="G17" s="22">
        <v>5</v>
      </c>
      <c r="H17" s="13" t="s">
        <v>56</v>
      </c>
      <c r="I17" s="21" t="str">
        <f>VLOOKUP($C17, Factor!$AM$4:$AY$30, 11, 0)</f>
        <v>B</v>
      </c>
      <c r="J17" s="21" t="str">
        <f>VLOOKUP($C17, Factor!$AM$4:$AY$30, 12, 0)</f>
        <v>ml</v>
      </c>
      <c r="K17" s="21" t="str">
        <f>VLOOKUP($C17, Factor!$AM$4:$AY$30, 13, 0)</f>
        <v>L</v>
      </c>
      <c r="L17" s="13">
        <v>1</v>
      </c>
      <c r="M17" s="13">
        <v>1</v>
      </c>
      <c r="N17" s="13">
        <v>1</v>
      </c>
      <c r="O17" s="13">
        <v>1</v>
      </c>
      <c r="P17" s="13">
        <v>1</v>
      </c>
      <c r="Q17" s="13">
        <v>1</v>
      </c>
      <c r="R17" s="21" t="str">
        <f>VLOOKUP($C17, Factor!$AM$4:$AY$30, 9, 0)</f>
        <v>Small</v>
      </c>
      <c r="S17" s="13" t="s">
        <v>406</v>
      </c>
      <c r="T17" s="21" t="str">
        <f>VLOOKUP($C17, Factor!$AM$4:$AY$30, 10, 0)</f>
        <v>enpc</v>
      </c>
      <c r="U17" s="21" cm="1">
        <f t="array" ref="U17">L17*VLOOKUP($I17, Factor!$B$4:$G$8, 2, 0)*VLOOKUP($J17, Factor!$B$12:$G$13, 2, 0)*VLOOKUP($K17, Factor!$B$17:$G$18, 2, 0)*VLOOKUP($H17, Factor!$J$4:$O$7, 2, 0)*VLOOKUP($F17, Factor!$Q$4:$V$15, 2, 0)*IF(MOD($G17,10)=0, 10, MOD($G17, 10))*((INDEX(Factor!$X$4:$AC$13, _xlfn.XMATCH($G17, Factor!$X$4:$X$13, 1),2)*IF(MOD(G17, 10) = 0, 10, MOD(G17, 10)))+INDEX(Factor!$AE$4:$AJ$13, _xlfn.XMATCH(MonsterData!$G17, Factor!$AE$4:$AE$13, 1),2))</f>
        <v>1875</v>
      </c>
      <c r="V17" s="21" cm="1">
        <f t="array" ref="V17">M17*VLOOKUP($I17, Factor!$B$4:$G$8, 3, 0)*VLOOKUP($J17, Factor!$B$12:$G$13, 3, 0)*VLOOKUP($K17, Factor!$B$17:$G$18, 3, 0)*VLOOKUP($H17, Factor!$J$4:$O$7, 3, 0)*VLOOKUP($F17, Factor!$Q$4:$V$15, 3, 0)*IF(MOD($G17,10)=0, 10, MOD($G17, 10))*((INDEX(Factor!$X$4:$AC$13, _xlfn.XMATCH($G17, Factor!$X$4:$X$13, 1),3)*IF(MOD(G17, 10) = 0, 10, MOD(G17, 10)))+INDEX(Factor!$AE$4:$AJ$13, _xlfn.XMATCH(MonsterData!$G17, Factor!$AE$4:$AE$13, 1),3))</f>
        <v>93.75</v>
      </c>
      <c r="W17" s="21" cm="1">
        <f t="array" ref="W17">N17*VLOOKUP($I17, Factor!$B$4:$G$8, 4, 0)*VLOOKUP($J17, Factor!$B$12:$G$13, 4, 0)*VLOOKUP($K17, Factor!$B$17:$G$18, 4, 0)*VLOOKUP($H17, Factor!$J$4:$O$7, 4, 0)*VLOOKUP($F17, Factor!$Q$4:$V$15, 4, 0)*IF(MOD($G17,10)=0, 10, MOD($G17, 10))*((INDEX(Factor!$X$4:$AC$13, _xlfn.XMATCH($G17, Factor!$X$4:$X$13, 1),4)*IF(MOD(G17, 10) = 0, 10, MOD(G17, 10)))+INDEX(Factor!$AE$4:$AJ$13, _xlfn.XMATCH(MonsterData!$G17, Factor!$AE$4:$AE$13, 1),4))</f>
        <v>187.5</v>
      </c>
      <c r="X17" s="21" cm="1">
        <f t="array" ref="X17">O17*VLOOKUP($I17, Factor!$B$4:$G$8, 5, 0)*VLOOKUP($J17, Factor!$B$12:$G$13, 5, 0)*VLOOKUP($K17, Factor!$B$17:$G$18, 5, 0)*VLOOKUP($H17, Factor!$J$4:$O$7, 5, 0)*VLOOKUP($F17, Factor!$Q$4:$V$15, 5, 0)*IF(MOD($G17,10)=0, 10, MOD($G17, 10))*((INDEX(Factor!$X$4:$AC$13, _xlfn.XMATCH($G17, Factor!$X$4:$X$13, 1),5)*IF(MOD(G17, 10) = 0, 10, MOD(G17, 10)))+INDEX(Factor!$AE$4:$AJ$13, _xlfn.XMATCH(MonsterData!$G17, Factor!$AE$4:$AE$13, 1),5))</f>
        <v>4.5</v>
      </c>
      <c r="Y17" s="21" cm="1">
        <f t="array" ref="Y17">P17*VLOOKUP($I17, Factor!$B$4:$G$8, 6, 0)*VLOOKUP($J17, Factor!$B$12:$G$13, 6, 0)*VLOOKUP($K17, Factor!$B$17:$G$18, 6, 0)*VLOOKUP($H17, Factor!$J$4:$O$7, 2, 0)*VLOOKUP($F17, Factor!$Q$4:$V$15, 6, 0)*IF(MOD($G17,10)=0, 10, MOD($G17, 10))*((INDEX(Factor!$X$4:$AC$13, _xlfn.XMATCH($G17, Factor!$X$4:$X$13, 1),6)*IF(MOD(G17, 10) = 0, 10, MOD(G17, 10)))+INDEX(Factor!$AE$4:$AJ$13, _xlfn.XMATCH(MonsterData!$G17, Factor!$AE$4:$AE$13, 1),6))</f>
        <v>10</v>
      </c>
      <c r="Z17" s="21">
        <f>$Q17*VLOOKUP($J17, Factor!$B$12:$H$13, 7, 0)</f>
        <v>1</v>
      </c>
      <c r="AA17" s="13">
        <v>1</v>
      </c>
      <c r="AB17" s="21">
        <f t="shared" si="2"/>
        <v>0</v>
      </c>
      <c r="AC17" s="13" t="s">
        <v>393</v>
      </c>
      <c r="AD17" s="15" t="s">
        <v>388</v>
      </c>
    </row>
    <row r="18" spans="1:30" ht="15.75" customHeight="1">
      <c r="A18" s="16" t="str">
        <f>T18&amp;"_"&amp;F18&amp;VLOOKUP($C18, Factor!$AM$4:$AY$30, 7, 0)&amp;IF(COUNTIFS($C$4:C17, C18, $F$4:F17, F18)+1&gt;=100, COUNTIFS($C$4:C17, C18, $F$4:F17, F18)+1,IF(COUNTIFS($C$4:C17, C18, $F$4:F17, F18)+1&gt;=10, "0"&amp;COUNTIFS($C$4:C17, C18, $F$4:F17, F18)+1, "00"&amp;COUNTIFS($C$4:C17, C18, $F$4:F17, F18)+1))</f>
        <v>enpc_F01_B_Ghoul_001</v>
      </c>
      <c r="B18" s="16"/>
      <c r="C18" s="16" t="s">
        <v>361</v>
      </c>
      <c r="D18" s="16" t="str">
        <f t="shared" si="0"/>
        <v>구울</v>
      </c>
      <c r="E18" s="17" t="str">
        <f>VLOOKUP($C18, Factor!$AM$4:$AY$30, 8, 0)</f>
        <v>M</v>
      </c>
      <c r="F18" s="17" t="s">
        <v>382</v>
      </c>
      <c r="G18" s="20">
        <v>5</v>
      </c>
      <c r="H18" s="16" t="s">
        <v>55</v>
      </c>
      <c r="I18" s="17" t="str">
        <f>VLOOKUP($C18, Factor!$AM$4:$AY$30, 11, 0)</f>
        <v>B</v>
      </c>
      <c r="J18" s="17" t="str">
        <f>VLOOKUP($C18, Factor!$AM$4:$AY$30, 12, 0)</f>
        <v>ml</v>
      </c>
      <c r="K18" s="17" t="str">
        <f>VLOOKUP($C18, Factor!$AM$4:$AY$30, 13, 0)</f>
        <v>L</v>
      </c>
      <c r="L18" s="17">
        <v>1</v>
      </c>
      <c r="M18" s="17">
        <v>1</v>
      </c>
      <c r="N18" s="17">
        <v>1</v>
      </c>
      <c r="O18" s="17">
        <v>1</v>
      </c>
      <c r="P18" s="17">
        <v>1</v>
      </c>
      <c r="Q18" s="17">
        <v>1</v>
      </c>
      <c r="R18" s="17" t="str">
        <f>VLOOKUP($C18, Factor!$AM$4:$AY$30, 9, 0)</f>
        <v>Midium</v>
      </c>
      <c r="S18" s="17" t="s">
        <v>379</v>
      </c>
      <c r="T18" s="17" t="str">
        <f>VLOOKUP($C18, Factor!$AM$4:$AY$30, 10, 0)</f>
        <v>enpc</v>
      </c>
      <c r="U18" s="17" cm="1">
        <f t="array" ref="U18">L18*VLOOKUP($I18, Factor!$B$4:$G$8, 2, 0)*VLOOKUP($J18, Factor!$B$12:$G$13, 2, 0)*VLOOKUP($K18, Factor!$B$17:$G$18, 2, 0)*VLOOKUP($H18, Factor!$J$4:$O$7, 2, 0)*VLOOKUP($F18, Factor!$Q$4:$V$15, 2, 0)*IF(MOD($G18,10)=0, 10, MOD($G18, 10))*((INDEX(Factor!$X$4:$AC$13, _xlfn.XMATCH($G18, Factor!$X$4:$X$13, 1),2)*IF(MOD(G18, 10) = 0, 10, MOD(G18, 10)))+INDEX(Factor!$AE$4:$AJ$13, _xlfn.XMATCH(MonsterData!$G18, Factor!$AE$4:$AE$13, 1),2))</f>
        <v>1875</v>
      </c>
      <c r="V18" s="17" cm="1">
        <f t="array" ref="V18">M18*VLOOKUP($I18, Factor!$B$4:$G$8, 3, 0)*VLOOKUP($J18, Factor!$B$12:$G$13, 3, 0)*VLOOKUP($K18, Factor!$B$17:$G$18, 3, 0)*VLOOKUP($H18, Factor!$J$4:$O$7, 3, 0)*VLOOKUP($F18, Factor!$Q$4:$V$15, 3, 0)*IF(MOD($G18,10)=0, 10, MOD($G18, 10))*((INDEX(Factor!$X$4:$AC$13, _xlfn.XMATCH($G18, Factor!$X$4:$X$13, 1),3)*IF(MOD(G18, 10) = 0, 10, MOD(G18, 10)))+INDEX(Factor!$AE$4:$AJ$13, _xlfn.XMATCH(MonsterData!$G18, Factor!$AE$4:$AE$13, 1),3))</f>
        <v>93.75</v>
      </c>
      <c r="W18" s="17" cm="1">
        <f t="array" ref="W18">N18*VLOOKUP($I18, Factor!$B$4:$G$8, 4, 0)*VLOOKUP($J18, Factor!$B$12:$G$13, 4, 0)*VLOOKUP($K18, Factor!$B$17:$G$18, 4, 0)*VLOOKUP($H18, Factor!$J$4:$O$7, 4, 0)*VLOOKUP($F18, Factor!$Q$4:$V$15, 4, 0)*IF(MOD($G18,10)=0, 10, MOD($G18, 10))*((INDEX(Factor!$X$4:$AC$13, _xlfn.XMATCH($G18, Factor!$X$4:$X$13, 1),4)*IF(MOD(G18, 10) = 0, 10, MOD(G18, 10)))+INDEX(Factor!$AE$4:$AJ$13, _xlfn.XMATCH(MonsterData!$G18, Factor!$AE$4:$AE$13, 1),4))</f>
        <v>93.75</v>
      </c>
      <c r="X18" s="17" cm="1">
        <f t="array" ref="X18">O18*VLOOKUP($I18, Factor!$B$4:$G$8, 5, 0)*VLOOKUP($J18, Factor!$B$12:$G$13, 5, 0)*VLOOKUP($K18, Factor!$B$17:$G$18, 5, 0)*VLOOKUP($H18, Factor!$J$4:$O$7, 5, 0)*VLOOKUP($F18, Factor!$Q$4:$V$15, 5, 0)*IF(MOD($G18,10)=0, 10, MOD($G18, 10))*((INDEX(Factor!$X$4:$AC$13, _xlfn.XMATCH($G18, Factor!$X$4:$X$13, 1),5)*IF(MOD(G18, 10) = 0, 10, MOD(G18, 10)))+INDEX(Factor!$AE$4:$AJ$13, _xlfn.XMATCH(MonsterData!$G18, Factor!$AE$4:$AE$13, 1),5))</f>
        <v>5</v>
      </c>
      <c r="Y18" s="17" cm="1">
        <f t="array" ref="Y18">P18*VLOOKUP($I18, Factor!$B$4:$G$8, 6, 0)*VLOOKUP($J18, Factor!$B$12:$G$13, 6, 0)*VLOOKUP($K18, Factor!$B$17:$G$18, 6, 0)*VLOOKUP($H18, Factor!$J$4:$O$7, 2, 0)*VLOOKUP($F18, Factor!$Q$4:$V$15, 6, 0)*IF(MOD($G18,10)=0, 10, MOD($G18, 10))*((INDEX(Factor!$X$4:$AC$13, _xlfn.XMATCH($G18, Factor!$X$4:$X$13, 1),6)*IF(MOD(G18, 10) = 0, 10, MOD(G18, 10)))+INDEX(Factor!$AE$4:$AJ$13, _xlfn.XMATCH(MonsterData!$G18, Factor!$AE$4:$AE$13, 1),6))</f>
        <v>10</v>
      </c>
      <c r="Z18" s="17">
        <f>$Q18*VLOOKUP($J18, Factor!$B$12:$H$13, 7, 0)</f>
        <v>1</v>
      </c>
      <c r="AA18" s="17">
        <v>1</v>
      </c>
      <c r="AB18" s="17">
        <f t="shared" si="2"/>
        <v>0</v>
      </c>
      <c r="AC18" s="17" t="s">
        <v>394</v>
      </c>
      <c r="AD18" s="19" t="s">
        <v>389</v>
      </c>
    </row>
    <row r="19" spans="1:30" ht="15.75" customHeight="1">
      <c r="A19" s="13" t="str">
        <f>T19&amp;"_"&amp;F19&amp;VLOOKUP($C19, Factor!$AM$4:$AY$30, 7, 0)&amp;IF(COUNTIFS($C$4:C18, C19, $F$4:F18, F19)+1&gt;=100, COUNTIFS($C$4:C18, C19, $F$4:F18, F19)+1,IF(COUNTIFS($C$4:C18, C19, $F$4:F18, F19)+1&gt;=10, "0"&amp;COUNTIFS($C$4:C18, C19, $F$4:F18, F19)+1, "00"&amp;COUNTIFS($C$4:C18, C19, $F$4:F18, F19)+1))</f>
        <v>enpc_F01_B_Gorgon_001</v>
      </c>
      <c r="B19" s="13"/>
      <c r="C19" s="13" t="s">
        <v>363</v>
      </c>
      <c r="D19" s="13" t="str">
        <f t="shared" si="0"/>
        <v>고르곤</v>
      </c>
      <c r="E19" s="21" t="str">
        <f>VLOOKUP($C19, Factor!$AM$4:$AY$30, 8, 0)</f>
        <v>B</v>
      </c>
      <c r="F19" s="13" t="s">
        <v>382</v>
      </c>
      <c r="G19" s="22">
        <v>5</v>
      </c>
      <c r="H19" s="13" t="s">
        <v>56</v>
      </c>
      <c r="I19" s="21" t="str">
        <f>VLOOKUP($C19, Factor!$AM$4:$AY$30, 11, 0)</f>
        <v>B</v>
      </c>
      <c r="J19" s="21" t="str">
        <f>VLOOKUP($C19, Factor!$AM$4:$AY$30, 12, 0)</f>
        <v>ml</v>
      </c>
      <c r="K19" s="21" t="str">
        <f>VLOOKUP($C19, Factor!$AM$4:$AY$30, 13, 0)</f>
        <v>L</v>
      </c>
      <c r="L19" s="13">
        <v>1</v>
      </c>
      <c r="M19" s="13">
        <v>1</v>
      </c>
      <c r="N19" s="13">
        <v>1</v>
      </c>
      <c r="O19" s="13">
        <v>1</v>
      </c>
      <c r="P19" s="13">
        <v>1</v>
      </c>
      <c r="Q19" s="13">
        <v>1</v>
      </c>
      <c r="R19" s="21" t="str">
        <f>VLOOKUP($C19, Factor!$AM$4:$AY$30, 9, 0)</f>
        <v>Midium</v>
      </c>
      <c r="S19" s="13" t="s">
        <v>407</v>
      </c>
      <c r="T19" s="21" t="str">
        <f>VLOOKUP($C19, Factor!$AM$4:$AY$30, 10, 0)</f>
        <v>enpc</v>
      </c>
      <c r="U19" s="21" cm="1">
        <f t="array" ref="U19">L19*VLOOKUP($I19, Factor!$B$4:$G$8, 2, 0)*VLOOKUP($J19, Factor!$B$12:$G$13, 2, 0)*VLOOKUP($K19, Factor!$B$17:$G$18, 2, 0)*VLOOKUP($H19, Factor!$J$4:$O$7, 2, 0)*VLOOKUP($F19, Factor!$Q$4:$V$15, 2, 0)*IF(MOD($G19,10)=0, 10, MOD($G19, 10))*((INDEX(Factor!$X$4:$AC$13, _xlfn.XMATCH($G19, Factor!$X$4:$X$13, 1),2)*IF(MOD(G19, 10) = 0, 10, MOD(G19, 10)))+INDEX(Factor!$AE$4:$AJ$13, _xlfn.XMATCH(MonsterData!$G19, Factor!$AE$4:$AE$13, 1),2))</f>
        <v>1875</v>
      </c>
      <c r="V19" s="21" cm="1">
        <f t="array" ref="V19">M19*VLOOKUP($I19, Factor!$B$4:$G$8, 3, 0)*VLOOKUP($J19, Factor!$B$12:$G$13, 3, 0)*VLOOKUP($K19, Factor!$B$17:$G$18, 3, 0)*VLOOKUP($H19, Factor!$J$4:$O$7, 3, 0)*VLOOKUP($F19, Factor!$Q$4:$V$15, 3, 0)*IF(MOD($G19,10)=0, 10, MOD($G19, 10))*((INDEX(Factor!$X$4:$AC$13, _xlfn.XMATCH($G19, Factor!$X$4:$X$13, 1),3)*IF(MOD(G19, 10) = 0, 10, MOD(G19, 10)))+INDEX(Factor!$AE$4:$AJ$13, _xlfn.XMATCH(MonsterData!$G19, Factor!$AE$4:$AE$13, 1),3))</f>
        <v>93.75</v>
      </c>
      <c r="W19" s="21" cm="1">
        <f t="array" ref="W19">N19*VLOOKUP($I19, Factor!$B$4:$G$8, 4, 0)*VLOOKUP($J19, Factor!$B$12:$G$13, 4, 0)*VLOOKUP($K19, Factor!$B$17:$G$18, 4, 0)*VLOOKUP($H19, Factor!$J$4:$O$7, 4, 0)*VLOOKUP($F19, Factor!$Q$4:$V$15, 4, 0)*IF(MOD($G19,10)=0, 10, MOD($G19, 10))*((INDEX(Factor!$X$4:$AC$13, _xlfn.XMATCH($G19, Factor!$X$4:$X$13, 1),4)*IF(MOD(G19, 10) = 0, 10, MOD(G19, 10)))+INDEX(Factor!$AE$4:$AJ$13, _xlfn.XMATCH(MonsterData!$G19, Factor!$AE$4:$AE$13, 1),4))</f>
        <v>187.5</v>
      </c>
      <c r="X19" s="21" cm="1">
        <f t="array" ref="X19">O19*VLOOKUP($I19, Factor!$B$4:$G$8, 5, 0)*VLOOKUP($J19, Factor!$B$12:$G$13, 5, 0)*VLOOKUP($K19, Factor!$B$17:$G$18, 5, 0)*VLOOKUP($H19, Factor!$J$4:$O$7, 5, 0)*VLOOKUP($F19, Factor!$Q$4:$V$15, 5, 0)*IF(MOD($G19,10)=0, 10, MOD($G19, 10))*((INDEX(Factor!$X$4:$AC$13, _xlfn.XMATCH($G19, Factor!$X$4:$X$13, 1),5)*IF(MOD(G19, 10) = 0, 10, MOD(G19, 10)))+INDEX(Factor!$AE$4:$AJ$13, _xlfn.XMATCH(MonsterData!$G19, Factor!$AE$4:$AE$13, 1),5))</f>
        <v>4.5</v>
      </c>
      <c r="Y19" s="21" cm="1">
        <f t="array" ref="Y19">P19*VLOOKUP($I19, Factor!$B$4:$G$8, 6, 0)*VLOOKUP($J19, Factor!$B$12:$G$13, 6, 0)*VLOOKUP($K19, Factor!$B$17:$G$18, 6, 0)*VLOOKUP($H19, Factor!$J$4:$O$7, 2, 0)*VLOOKUP($F19, Factor!$Q$4:$V$15, 6, 0)*IF(MOD($G19,10)=0, 10, MOD($G19, 10))*((INDEX(Factor!$X$4:$AC$13, _xlfn.XMATCH($G19, Factor!$X$4:$X$13, 1),6)*IF(MOD(G19, 10) = 0, 10, MOD(G19, 10)))+INDEX(Factor!$AE$4:$AJ$13, _xlfn.XMATCH(MonsterData!$G19, Factor!$AE$4:$AE$13, 1),6))</f>
        <v>10</v>
      </c>
      <c r="Z19" s="21">
        <f>$Q19*VLOOKUP($J19, Factor!$B$12:$H$13, 7, 0)</f>
        <v>1</v>
      </c>
      <c r="AA19" s="13">
        <v>1</v>
      </c>
      <c r="AB19" s="21">
        <f t="shared" si="2"/>
        <v>0</v>
      </c>
      <c r="AC19" s="13" t="s">
        <v>395</v>
      </c>
      <c r="AD19" s="15" t="s">
        <v>390</v>
      </c>
    </row>
    <row r="20" spans="1:30" ht="15.75" customHeight="1">
      <c r="A20" s="16" t="str">
        <f>T20&amp;"_"&amp;F20&amp;VLOOKUP($C20, Factor!$AM$4:$AY$30, 7, 0)&amp;IF(COUNTIFS($C$4:C19, C20, $F$4:F19, F20)+1&gt;=100, COUNTIFS($C$4:C19, C20, $F$4:F19, F20)+1,IF(COUNTIFS($C$4:C19, C20, $F$4:F19, F20)+1&gt;=10, "0"&amp;COUNTIFS($C$4:C19, C20, $F$4:F19, F20)+1, "00"&amp;COUNTIFS($C$4:C19, C20, $F$4:F19, F20)+1))</f>
        <v>enpc_F01_B_Gargoyle_001</v>
      </c>
      <c r="B20" s="16"/>
      <c r="C20" s="16" t="s">
        <v>365</v>
      </c>
      <c r="D20" s="16" t="str">
        <f t="shared" si="0"/>
        <v>가고일</v>
      </c>
      <c r="E20" s="17" t="str">
        <f>VLOOKUP($C20, Factor!$AM$4:$AY$30, 8, 0)</f>
        <v>B</v>
      </c>
      <c r="F20" s="17" t="s">
        <v>382</v>
      </c>
      <c r="G20" s="20">
        <v>5</v>
      </c>
      <c r="H20" s="16" t="s">
        <v>55</v>
      </c>
      <c r="I20" s="17" t="str">
        <f>VLOOKUP($C20, Factor!$AM$4:$AY$30, 11, 0)</f>
        <v>B</v>
      </c>
      <c r="J20" s="17" t="str">
        <f>VLOOKUP($C20, Factor!$AM$4:$AY$30, 12, 0)</f>
        <v>ml</v>
      </c>
      <c r="K20" s="17" t="str">
        <f>VLOOKUP($C20, Factor!$AM$4:$AY$30, 13, 0)</f>
        <v>F</v>
      </c>
      <c r="L20" s="17">
        <v>1</v>
      </c>
      <c r="M20" s="17">
        <v>1</v>
      </c>
      <c r="N20" s="17">
        <v>1</v>
      </c>
      <c r="O20" s="17">
        <v>1</v>
      </c>
      <c r="P20" s="17">
        <v>1</v>
      </c>
      <c r="Q20" s="17">
        <v>1</v>
      </c>
      <c r="R20" s="17" t="str">
        <f>VLOOKUP($C20, Factor!$AM$4:$AY$30, 9, 0)</f>
        <v>Big</v>
      </c>
      <c r="S20" s="17" t="s">
        <v>381</v>
      </c>
      <c r="T20" s="17" t="str">
        <f>VLOOKUP($C20, Factor!$AM$4:$AY$30, 10, 0)</f>
        <v>enpc</v>
      </c>
      <c r="U20" s="17" cm="1">
        <f t="array" ref="U20">L20*VLOOKUP($I20, Factor!$B$4:$G$8, 2, 0)*VLOOKUP($J20, Factor!$B$12:$G$13, 2, 0)*VLOOKUP($K20, Factor!$B$17:$G$18, 2, 0)*VLOOKUP($H20, Factor!$J$4:$O$7, 2, 0)*VLOOKUP($F20, Factor!$Q$4:$V$15, 2, 0)*IF(MOD($G20,10)=0, 10, MOD($G20, 10))*((INDEX(Factor!$X$4:$AC$13, _xlfn.XMATCH($G20, Factor!$X$4:$X$13, 1),2)*IF(MOD(G20, 10) = 0, 10, MOD(G20, 10)))+INDEX(Factor!$AE$4:$AJ$13, _xlfn.XMATCH(MonsterData!$G20, Factor!$AE$4:$AE$13, 1),2))</f>
        <v>1250</v>
      </c>
      <c r="V20" s="17" cm="1">
        <f t="array" ref="V20">M20*VLOOKUP($I20, Factor!$B$4:$G$8, 3, 0)*VLOOKUP($J20, Factor!$B$12:$G$13, 3, 0)*VLOOKUP($K20, Factor!$B$17:$G$18, 3, 0)*VLOOKUP($H20, Factor!$J$4:$O$7, 3, 0)*VLOOKUP($F20, Factor!$Q$4:$V$15, 3, 0)*IF(MOD($G20,10)=0, 10, MOD($G20, 10))*((INDEX(Factor!$X$4:$AC$13, _xlfn.XMATCH($G20, Factor!$X$4:$X$13, 1),3)*IF(MOD(G20, 10) = 0, 10, MOD(G20, 10)))+INDEX(Factor!$AE$4:$AJ$13, _xlfn.XMATCH(MonsterData!$G20, Factor!$AE$4:$AE$13, 1),3))</f>
        <v>62.5</v>
      </c>
      <c r="W20" s="17" cm="1">
        <f t="array" ref="W20">N20*VLOOKUP($I20, Factor!$B$4:$G$8, 4, 0)*VLOOKUP($J20, Factor!$B$12:$G$13, 4, 0)*VLOOKUP($K20, Factor!$B$17:$G$18, 4, 0)*VLOOKUP($H20, Factor!$J$4:$O$7, 4, 0)*VLOOKUP($F20, Factor!$Q$4:$V$15, 4, 0)*IF(MOD($G20,10)=0, 10, MOD($G20, 10))*((INDEX(Factor!$X$4:$AC$13, _xlfn.XMATCH($G20, Factor!$X$4:$X$13, 1),4)*IF(MOD(G20, 10) = 0, 10, MOD(G20, 10)))+INDEX(Factor!$AE$4:$AJ$13, _xlfn.XMATCH(MonsterData!$G20, Factor!$AE$4:$AE$13, 1),4))</f>
        <v>62.5</v>
      </c>
      <c r="X20" s="17" cm="1">
        <f t="array" ref="X20">O20*VLOOKUP($I20, Factor!$B$4:$G$8, 5, 0)*VLOOKUP($J20, Factor!$B$12:$G$13, 5, 0)*VLOOKUP($K20, Factor!$B$17:$G$18, 5, 0)*VLOOKUP($H20, Factor!$J$4:$O$7, 5, 0)*VLOOKUP($F20, Factor!$Q$4:$V$15, 5, 0)*IF(MOD($G20,10)=0, 10, MOD($G20, 10))*((INDEX(Factor!$X$4:$AC$13, _xlfn.XMATCH($G20, Factor!$X$4:$X$13, 1),5)*IF(MOD(G20, 10) = 0, 10, MOD(G20, 10)))+INDEX(Factor!$AE$4:$AJ$13, _xlfn.XMATCH(MonsterData!$G20, Factor!$AE$4:$AE$13, 1),5))</f>
        <v>5</v>
      </c>
      <c r="Y20" s="17" cm="1">
        <f t="array" ref="Y20">P20*VLOOKUP($I20, Factor!$B$4:$G$8, 6, 0)*VLOOKUP($J20, Factor!$B$12:$G$13, 6, 0)*VLOOKUP($K20, Factor!$B$17:$G$18, 6, 0)*VLOOKUP($H20, Factor!$J$4:$O$7, 2, 0)*VLOOKUP($F20, Factor!$Q$4:$V$15, 6, 0)*IF(MOD($G20,10)=0, 10, MOD($G20, 10))*((INDEX(Factor!$X$4:$AC$13, _xlfn.XMATCH($G20, Factor!$X$4:$X$13, 1),6)*IF(MOD(G20, 10) = 0, 10, MOD(G20, 10)))+INDEX(Factor!$AE$4:$AJ$13, _xlfn.XMATCH(MonsterData!$G20, Factor!$AE$4:$AE$13, 1),6))</f>
        <v>30</v>
      </c>
      <c r="Z20" s="17">
        <f>$Q20*VLOOKUP($J20, Factor!$B$12:$H$13, 7, 0)</f>
        <v>1</v>
      </c>
      <c r="AA20" s="17">
        <v>1</v>
      </c>
      <c r="AB20" s="17">
        <f t="shared" si="2"/>
        <v>0</v>
      </c>
      <c r="AC20" s="17" t="s">
        <v>396</v>
      </c>
      <c r="AD20" s="19" t="s">
        <v>391</v>
      </c>
    </row>
    <row r="21" spans="1:30" ht="15.75" customHeight="1">
      <c r="A21" s="13" t="str">
        <f>T21&amp;"_"&amp;F21&amp;VLOOKUP($C21, Factor!$AM$4:$AY$30, 7, 0)&amp;IF(COUNTIFS($C$4:C20, C21, $F$4:F20, F21)+1&gt;=100, COUNTIFS($C$4:C20, C21, $F$4:F20, F21)+1,IF(COUNTIFS($C$4:C20, C21, $F$4:F20, F21)+1&gt;=10, "0"&amp;COUNTIFS($C$4:C20, C21, $F$4:F20, F21)+1, "00"&amp;COUNTIFS($C$4:C20, C21, $F$4:F20, F21)+1))</f>
        <v>enpc_F01_A_Lava_002</v>
      </c>
      <c r="B21" s="13"/>
      <c r="C21" s="13" t="s">
        <v>35</v>
      </c>
      <c r="D21" s="13" t="str">
        <f>B21&amp;C21</f>
        <v>라바</v>
      </c>
      <c r="E21" s="21" t="str">
        <f>VLOOKUP($C21, Factor!$AM$4:$AY$30, 8, 0)</f>
        <v>S</v>
      </c>
      <c r="F21" s="13" t="s">
        <v>382</v>
      </c>
      <c r="G21" s="22">
        <v>3</v>
      </c>
      <c r="H21" s="13" t="s">
        <v>54</v>
      </c>
      <c r="I21" s="21" t="str">
        <f>VLOOKUP($C21, Factor!$AM$4:$AY$30, 11, 0)</f>
        <v>A</v>
      </c>
      <c r="J21" s="21" t="str">
        <f>VLOOKUP($C21, Factor!$AM$4:$AY$30, 12, 0)</f>
        <v>ml</v>
      </c>
      <c r="K21" s="21" t="str">
        <f>VLOOKUP($C21, Factor!$AM$4:$AY$30, 13, 0)</f>
        <v>L</v>
      </c>
      <c r="L21" s="13">
        <v>1</v>
      </c>
      <c r="M21" s="13">
        <v>1</v>
      </c>
      <c r="N21" s="13">
        <v>1</v>
      </c>
      <c r="O21" s="13">
        <v>1</v>
      </c>
      <c r="P21" s="13">
        <v>1</v>
      </c>
      <c r="Q21" s="13">
        <v>1</v>
      </c>
      <c r="R21" s="21" t="str">
        <f>VLOOKUP($C21, Factor!$AM$4:$AY$30, 9, 0)</f>
        <v>Small</v>
      </c>
      <c r="S21" s="13" t="s">
        <v>88</v>
      </c>
      <c r="T21" s="21" t="str">
        <f>VLOOKUP($C21, Factor!$AM$4:$AY$30, 10, 0)</f>
        <v>enpc</v>
      </c>
      <c r="U21" s="21" cm="1">
        <f t="array" ref="U21">L21*VLOOKUP($I21, Factor!$B$4:$G$8, 2, 0)*VLOOKUP($J21, Factor!$B$12:$G$13, 2, 0)*VLOOKUP($K21, Factor!$B$17:$G$18, 2, 0)*VLOOKUP($H21, Factor!$J$4:$O$7, 2, 0)*VLOOKUP($F21, Factor!$Q$4:$V$15, 2, 0)*IF(MOD($G21,10)=0, 10, MOD($G21, 10))*((INDEX(Factor!$X$4:$AC$13, _xlfn.XMATCH($G21, Factor!$X$4:$X$13, 1),2)*IF(MOD(G21, 10) = 0, 10, MOD(G21, 10)))+INDEX(Factor!$AE$4:$AJ$13, _xlfn.XMATCH(MonsterData!$G21, Factor!$AE$4:$AE$13, 1),2))</f>
        <v>108.00000000000001</v>
      </c>
      <c r="V21" s="21" cm="1">
        <f t="array" ref="V21">M21*VLOOKUP($I21, Factor!$B$4:$G$8, 3, 0)*VLOOKUP($J21, Factor!$B$12:$G$13, 3, 0)*VLOOKUP($K21, Factor!$B$17:$G$18, 3, 0)*VLOOKUP($H21, Factor!$J$4:$O$7, 3, 0)*VLOOKUP($F21, Factor!$Q$4:$V$15, 3, 0)*IF(MOD($G21,10)=0, 10, MOD($G21, 10))*((INDEX(Factor!$X$4:$AC$13, _xlfn.XMATCH($G21, Factor!$X$4:$X$13, 1),3)*IF(MOD(G21, 10) = 0, 10, MOD(G21, 10)))+INDEX(Factor!$AE$4:$AJ$13, _xlfn.XMATCH(MonsterData!$G21, Factor!$AE$4:$AE$13, 1),3))</f>
        <v>5.4</v>
      </c>
      <c r="W21" s="21" cm="1">
        <f t="array" ref="W21">N21*VLOOKUP($I21, Factor!$B$4:$G$8, 4, 0)*VLOOKUP($J21, Factor!$B$12:$G$13, 4, 0)*VLOOKUP($K21, Factor!$B$17:$G$18, 4, 0)*VLOOKUP($H21, Factor!$J$4:$O$7, 4, 0)*VLOOKUP($F21, Factor!$Q$4:$V$15, 4, 0)*IF(MOD($G21,10)=0, 10, MOD($G21, 10))*((INDEX(Factor!$X$4:$AC$13, _xlfn.XMATCH($G21, Factor!$X$4:$X$13, 1),4)*IF(MOD(G21, 10) = 0, 10, MOD(G21, 10)))+INDEX(Factor!$AE$4:$AJ$13, _xlfn.XMATCH(MonsterData!$G21, Factor!$AE$4:$AE$13, 1),4))</f>
        <v>3.2400000000000007</v>
      </c>
      <c r="X21" s="21" cm="1">
        <f t="array" ref="X21">O21*VLOOKUP($I21, Factor!$B$4:$G$8, 5, 0)*VLOOKUP($J21, Factor!$B$12:$G$13, 5, 0)*VLOOKUP($K21, Factor!$B$17:$G$18, 5, 0)*VLOOKUP($H21, Factor!$J$4:$O$7, 5, 0)*VLOOKUP($F21, Factor!$Q$4:$V$15, 5, 0)*IF(MOD($G21,10)=0, 10, MOD($G21, 10))*((INDEX(Factor!$X$4:$AC$13, _xlfn.XMATCH($G21, Factor!$X$4:$X$13, 1),5)*IF(MOD(G21, 10) = 0, 10, MOD(G21, 10)))+INDEX(Factor!$AE$4:$AJ$13, _xlfn.XMATCH(MonsterData!$G21, Factor!$AE$4:$AE$13, 1),5))</f>
        <v>0.90000000000000013</v>
      </c>
      <c r="Y21" s="21" cm="1">
        <f t="array" ref="Y21">P21*VLOOKUP($I21, Factor!$B$4:$G$8, 6, 0)*VLOOKUP($J21, Factor!$B$12:$G$13, 6, 0)*VLOOKUP($K21, Factor!$B$17:$G$18, 6, 0)*VLOOKUP($H21, Factor!$J$4:$O$7, 2, 0)*VLOOKUP($F21, Factor!$Q$4:$V$15, 6, 0)*IF(MOD($G21,10)=0, 10, MOD($G21, 10))*((INDEX(Factor!$X$4:$AC$13, _xlfn.XMATCH($G21, Factor!$X$4:$X$13, 1),6)*IF(MOD(G21, 10) = 0, 10, MOD(G21, 10)))+INDEX(Factor!$AE$4:$AJ$13, _xlfn.XMATCH(MonsterData!$G21, Factor!$AE$4:$AE$13, 1),6))</f>
        <v>3.6000000000000005</v>
      </c>
      <c r="Z21" s="21">
        <f>$Q21*VLOOKUP($J21, Factor!$B$12:$H$13, 7, 0)</f>
        <v>1</v>
      </c>
      <c r="AA21" s="13">
        <v>1</v>
      </c>
      <c r="AB21" s="21">
        <f t="shared" si="2"/>
        <v>0</v>
      </c>
      <c r="AC21" s="13" t="s">
        <v>139</v>
      </c>
      <c r="AD21" s="15" t="s">
        <v>142</v>
      </c>
    </row>
    <row r="22" spans="1:30" ht="15.75" customHeight="1">
      <c r="A22" s="16" t="str">
        <f>T22&amp;"_"&amp;F22&amp;VLOOKUP($C22, Factor!$AM$4:$AY$30, 7, 0)&amp;IF(COUNTIFS($C$4:C21, C22, $F$4:F21, F22)+1&gt;=100, COUNTIFS($C$4:C21, C22, $F$4:F21, F22)+1,IF(COUNTIFS($C$4:C21, C22, $F$4:F21, F22)+1&gt;=10, "0"&amp;COUNTIFS($C$4:C21, C22, $F$4:F21, F22)+1, "00"&amp;COUNTIFS($C$4:C21, C22, $F$4:F21, F22)+1))</f>
        <v>enpc_F01_A_Cocoon_002</v>
      </c>
      <c r="B22" s="16"/>
      <c r="C22" s="16" t="s">
        <v>270</v>
      </c>
      <c r="D22" s="16" t="str">
        <f t="shared" ref="D22:D33" si="3">B22&amp;C22</f>
        <v>코쿤</v>
      </c>
      <c r="E22" s="17" t="str">
        <f>VLOOKUP($C22, Factor!$AM$4:$AY$30, 8, 0)</f>
        <v>M</v>
      </c>
      <c r="F22" s="17" t="s">
        <v>382</v>
      </c>
      <c r="G22" s="20">
        <v>3</v>
      </c>
      <c r="H22" s="16" t="s">
        <v>55</v>
      </c>
      <c r="I22" s="17" t="str">
        <f>VLOOKUP($C22, Factor!$AM$4:$AY$30, 11, 0)</f>
        <v>A</v>
      </c>
      <c r="J22" s="17" t="str">
        <f>VLOOKUP($C22, Factor!$AM$4:$AY$30, 12, 0)</f>
        <v>ml</v>
      </c>
      <c r="K22" s="17" t="str">
        <f>VLOOKUP($C22, Factor!$AM$4:$AY$30, 13, 0)</f>
        <v>L</v>
      </c>
      <c r="L22" s="17">
        <v>1</v>
      </c>
      <c r="M22" s="17">
        <v>1</v>
      </c>
      <c r="N22" s="17">
        <v>1</v>
      </c>
      <c r="O22" s="17">
        <v>1</v>
      </c>
      <c r="P22" s="17">
        <v>1</v>
      </c>
      <c r="Q22" s="17">
        <v>1</v>
      </c>
      <c r="R22" s="17" t="str">
        <f>VLOOKUP($C22, Factor!$AM$4:$AY$30, 9, 0)</f>
        <v>Midium</v>
      </c>
      <c r="S22" s="17" t="s">
        <v>196</v>
      </c>
      <c r="T22" s="17" t="str">
        <f>VLOOKUP($C22, Factor!$AM$4:$AY$30, 10, 0)</f>
        <v>enpc</v>
      </c>
      <c r="U22" s="17" cm="1">
        <f t="array" ref="U22">L22*VLOOKUP($I22, Factor!$B$4:$G$8, 2, 0)*VLOOKUP($J22, Factor!$B$12:$G$13, 2, 0)*VLOOKUP($K22, Factor!$B$17:$G$18, 2, 0)*VLOOKUP($H22, Factor!$J$4:$O$7, 2, 0)*VLOOKUP($F22, Factor!$Q$4:$V$15, 2, 0)*IF(MOD($G22,10)=0, 10, MOD($G22, 10))*((INDEX(Factor!$X$4:$AC$13, _xlfn.XMATCH($G22, Factor!$X$4:$X$13, 1),2)*IF(MOD(G22, 10) = 0, 10, MOD(G22, 10)))+INDEX(Factor!$AE$4:$AJ$13, _xlfn.XMATCH(MonsterData!$G22, Factor!$AE$4:$AE$13, 1),2))</f>
        <v>135.00000000000003</v>
      </c>
      <c r="V22" s="17" cm="1">
        <f t="array" ref="V22">M22*VLOOKUP($I22, Factor!$B$4:$G$8, 3, 0)*VLOOKUP($J22, Factor!$B$12:$G$13, 3, 0)*VLOOKUP($K22, Factor!$B$17:$G$18, 3, 0)*VLOOKUP($H22, Factor!$J$4:$O$7, 3, 0)*VLOOKUP($F22, Factor!$Q$4:$V$15, 3, 0)*IF(MOD($G22,10)=0, 10, MOD($G22, 10))*((INDEX(Factor!$X$4:$AC$13, _xlfn.XMATCH($G22, Factor!$X$4:$X$13, 1),3)*IF(MOD(G22, 10) = 0, 10, MOD(G22, 10)))+INDEX(Factor!$AE$4:$AJ$13, _xlfn.XMATCH(MonsterData!$G22, Factor!$AE$4:$AE$13, 1),3))</f>
        <v>6.7500000000000009</v>
      </c>
      <c r="W22" s="17" cm="1">
        <f t="array" ref="W22">N22*VLOOKUP($I22, Factor!$B$4:$G$8, 4, 0)*VLOOKUP($J22, Factor!$B$12:$G$13, 4, 0)*VLOOKUP($K22, Factor!$B$17:$G$18, 4, 0)*VLOOKUP($H22, Factor!$J$4:$O$7, 4, 0)*VLOOKUP($F22, Factor!$Q$4:$V$15, 4, 0)*IF(MOD($G22,10)=0, 10, MOD($G22, 10))*((INDEX(Factor!$X$4:$AC$13, _xlfn.XMATCH($G22, Factor!$X$4:$X$13, 1),4)*IF(MOD(G22, 10) = 0, 10, MOD(G22, 10)))+INDEX(Factor!$AE$4:$AJ$13, _xlfn.XMATCH(MonsterData!$G22, Factor!$AE$4:$AE$13, 1),4))</f>
        <v>4.0500000000000007</v>
      </c>
      <c r="X22" s="17" cm="1">
        <f t="array" ref="X22">O22*VLOOKUP($I22, Factor!$B$4:$G$8, 5, 0)*VLOOKUP($J22, Factor!$B$12:$G$13, 5, 0)*VLOOKUP($K22, Factor!$B$17:$G$18, 5, 0)*VLOOKUP($H22, Factor!$J$4:$O$7, 5, 0)*VLOOKUP($F22, Factor!$Q$4:$V$15, 5, 0)*IF(MOD($G22,10)=0, 10, MOD($G22, 10))*((INDEX(Factor!$X$4:$AC$13, _xlfn.XMATCH($G22, Factor!$X$4:$X$13, 1),5)*IF(MOD(G22, 10) = 0, 10, MOD(G22, 10)))+INDEX(Factor!$AE$4:$AJ$13, _xlfn.XMATCH(MonsterData!$G22, Factor!$AE$4:$AE$13, 1),5))</f>
        <v>0.90000000000000013</v>
      </c>
      <c r="Y22" s="17" cm="1">
        <f t="array" ref="Y22">P22*VLOOKUP($I22, Factor!$B$4:$G$8, 6, 0)*VLOOKUP($J22, Factor!$B$12:$G$13, 6, 0)*VLOOKUP($K22, Factor!$B$17:$G$18, 6, 0)*VLOOKUP($H22, Factor!$J$4:$O$7, 2, 0)*VLOOKUP($F22, Factor!$Q$4:$V$15, 6, 0)*IF(MOD($G22,10)=0, 10, MOD($G22, 10))*((INDEX(Factor!$X$4:$AC$13, _xlfn.XMATCH($G22, Factor!$X$4:$X$13, 1),6)*IF(MOD(G22, 10) = 0, 10, MOD(G22, 10)))+INDEX(Factor!$AE$4:$AJ$13, _xlfn.XMATCH(MonsterData!$G22, Factor!$AE$4:$AE$13, 1),6))</f>
        <v>4.5000000000000009</v>
      </c>
      <c r="Z22" s="17">
        <f>$Q22*VLOOKUP($J22, Factor!$B$12:$H$13, 7, 0)</f>
        <v>1</v>
      </c>
      <c r="AA22" s="17">
        <v>1</v>
      </c>
      <c r="AB22" s="17">
        <f t="shared" si="2"/>
        <v>0</v>
      </c>
      <c r="AC22" s="17" t="s">
        <v>139</v>
      </c>
      <c r="AD22" s="19" t="s">
        <v>142</v>
      </c>
    </row>
    <row r="23" spans="1:30" ht="15.75" customHeight="1">
      <c r="A23" s="13" t="str">
        <f>T23&amp;"_"&amp;F23&amp;VLOOKUP($C23, Factor!$AM$4:$AY$30, 7, 0)&amp;IF(COUNTIFS($C$4:C22, C23, $F$4:F22, F23)+1&gt;=100, COUNTIFS($C$4:C22, C23, $F$4:F22, F23)+1,IF(COUNTIFS($C$4:C22, C23, $F$4:F22, F23)+1&gt;=10, "0"&amp;COUNTIFS($C$4:C22, C23, $F$4:F22, F23)+1, "00"&amp;COUNTIFS($C$4:C22, C23, $F$4:F22, F23)+1))</f>
        <v>enpc_F01_A_Antlion_002</v>
      </c>
      <c r="B23" s="13"/>
      <c r="C23" s="13" t="s">
        <v>38</v>
      </c>
      <c r="D23" s="13" t="str">
        <f t="shared" si="3"/>
        <v>앤틸리온</v>
      </c>
      <c r="E23" s="21" t="str">
        <f>VLOOKUP($C23, Factor!$AM$4:$AY$30, 8, 0)</f>
        <v>M</v>
      </c>
      <c r="F23" s="13" t="s">
        <v>382</v>
      </c>
      <c r="G23" s="22">
        <v>3</v>
      </c>
      <c r="H23" s="13" t="s">
        <v>55</v>
      </c>
      <c r="I23" s="21" t="str">
        <f>VLOOKUP($C23, Factor!$AM$4:$AY$30, 11, 0)</f>
        <v>A</v>
      </c>
      <c r="J23" s="21" t="str">
        <f>VLOOKUP($C23, Factor!$AM$4:$AY$30, 12, 0)</f>
        <v>ra</v>
      </c>
      <c r="K23" s="21" t="str">
        <f>VLOOKUP($C23, Factor!$AM$4:$AY$30, 13, 0)</f>
        <v>L</v>
      </c>
      <c r="L23" s="13">
        <v>1</v>
      </c>
      <c r="M23" s="13">
        <v>1</v>
      </c>
      <c r="N23" s="13">
        <v>1</v>
      </c>
      <c r="O23" s="13">
        <v>1</v>
      </c>
      <c r="P23" s="13">
        <v>1</v>
      </c>
      <c r="Q23" s="13">
        <v>1</v>
      </c>
      <c r="R23" s="21" t="str">
        <f>VLOOKUP($C23, Factor!$AM$4:$AY$30, 9, 0)</f>
        <v>Midium</v>
      </c>
      <c r="S23" s="13" t="s">
        <v>397</v>
      </c>
      <c r="T23" s="21" t="str">
        <f>VLOOKUP($C23, Factor!$AM$4:$AY$30, 10, 0)</f>
        <v>enpc</v>
      </c>
      <c r="U23" s="21" cm="1">
        <f t="array" ref="U23">L23*VLOOKUP($I23, Factor!$B$4:$G$8, 2, 0)*VLOOKUP($J23, Factor!$B$12:$G$13, 2, 0)*VLOOKUP($K23, Factor!$B$17:$G$18, 2, 0)*VLOOKUP($H23, Factor!$J$4:$O$7, 2, 0)*VLOOKUP($F23, Factor!$Q$4:$V$15, 2, 0)*IF(MOD($G23,10)=0, 10, MOD($G23, 10))*((INDEX(Factor!$X$4:$AC$13, _xlfn.XMATCH($G23, Factor!$X$4:$X$13, 1),2)*IF(MOD(G23, 10) = 0, 10, MOD(G23, 10)))+INDEX(Factor!$AE$4:$AJ$13, _xlfn.XMATCH(MonsterData!$G23, Factor!$AE$4:$AE$13, 1),2))</f>
        <v>108.00000000000001</v>
      </c>
      <c r="V23" s="21" cm="1">
        <f t="array" ref="V23">M23*VLOOKUP($I23, Factor!$B$4:$G$8, 3, 0)*VLOOKUP($J23, Factor!$B$12:$G$13, 3, 0)*VLOOKUP($K23, Factor!$B$17:$G$18, 3, 0)*VLOOKUP($H23, Factor!$J$4:$O$7, 3, 0)*VLOOKUP($F23, Factor!$Q$4:$V$15, 3, 0)*IF(MOD($G23,10)=0, 10, MOD($G23, 10))*((INDEX(Factor!$X$4:$AC$13, _xlfn.XMATCH($G23, Factor!$X$4:$X$13, 1),3)*IF(MOD(G23, 10) = 0, 10, MOD(G23, 10)))+INDEX(Factor!$AE$4:$AJ$13, _xlfn.XMATCH(MonsterData!$G23, Factor!$AE$4:$AE$13, 1),3))</f>
        <v>5.4</v>
      </c>
      <c r="W23" s="21" cm="1">
        <f t="array" ref="W23">N23*VLOOKUP($I23, Factor!$B$4:$G$8, 4, 0)*VLOOKUP($J23, Factor!$B$12:$G$13, 4, 0)*VLOOKUP($K23, Factor!$B$17:$G$18, 4, 0)*VLOOKUP($H23, Factor!$J$4:$O$7, 4, 0)*VLOOKUP($F23, Factor!$Q$4:$V$15, 4, 0)*IF(MOD($G23,10)=0, 10, MOD($G23, 10))*((INDEX(Factor!$X$4:$AC$13, _xlfn.XMATCH($G23, Factor!$X$4:$X$13, 1),4)*IF(MOD(G23, 10) = 0, 10, MOD(G23, 10)))+INDEX(Factor!$AE$4:$AJ$13, _xlfn.XMATCH(MonsterData!$G23, Factor!$AE$4:$AE$13, 1),4))</f>
        <v>4.8600000000000003</v>
      </c>
      <c r="X23" s="21" cm="1">
        <f t="array" ref="X23">O23*VLOOKUP($I23, Factor!$B$4:$G$8, 5, 0)*VLOOKUP($J23, Factor!$B$12:$G$13, 5, 0)*VLOOKUP($K23, Factor!$B$17:$G$18, 5, 0)*VLOOKUP($H23, Factor!$J$4:$O$7, 5, 0)*VLOOKUP($F23, Factor!$Q$4:$V$15, 5, 0)*IF(MOD($G23,10)=0, 10, MOD($G23, 10))*((INDEX(Factor!$X$4:$AC$13, _xlfn.XMATCH($G23, Factor!$X$4:$X$13, 1),5)*IF(MOD(G23, 10) = 0, 10, MOD(G23, 10)))+INDEX(Factor!$AE$4:$AJ$13, _xlfn.XMATCH(MonsterData!$G23, Factor!$AE$4:$AE$13, 1),5))</f>
        <v>1.35</v>
      </c>
      <c r="Y23" s="21" cm="1">
        <f t="array" ref="Y23">P23*VLOOKUP($I23, Factor!$B$4:$G$8, 6, 0)*VLOOKUP($J23, Factor!$B$12:$G$13, 6, 0)*VLOOKUP($K23, Factor!$B$17:$G$18, 6, 0)*VLOOKUP($H23, Factor!$J$4:$O$7, 2, 0)*VLOOKUP($F23, Factor!$Q$4:$V$15, 6, 0)*IF(MOD($G23,10)=0, 10, MOD($G23, 10))*((INDEX(Factor!$X$4:$AC$13, _xlfn.XMATCH($G23, Factor!$X$4:$X$13, 1),6)*IF(MOD(G23, 10) = 0, 10, MOD(G23, 10)))+INDEX(Factor!$AE$4:$AJ$13, _xlfn.XMATCH(MonsterData!$G23, Factor!$AE$4:$AE$13, 1),6))</f>
        <v>4.5000000000000009</v>
      </c>
      <c r="Z23" s="21">
        <f>$Q23*VLOOKUP($J23, Factor!$B$12:$H$13, 7, 0)</f>
        <v>4</v>
      </c>
      <c r="AA23" s="13">
        <v>1</v>
      </c>
      <c r="AB23" s="21">
        <f t="shared" ref="AB23:AB86" si="4">IF(J23 = "ml", 0, $Z23*$AA23)</f>
        <v>4</v>
      </c>
      <c r="AC23" s="13" t="s">
        <v>139</v>
      </c>
      <c r="AD23" s="15" t="s">
        <v>142</v>
      </c>
    </row>
    <row r="24" spans="1:30" ht="15.75" customHeight="1">
      <c r="A24" s="16" t="str">
        <f>T24&amp;"_"&amp;F24&amp;VLOOKUP($C24, Factor!$AM$4:$AY$30, 7, 0)&amp;IF(COUNTIFS($C$4:C23, C24, $F$4:F23, F24)+1&gt;=100, COUNTIFS($C$4:C23, C24, $F$4:F23, F24)+1,IF(COUNTIFS($C$4:C23, C24, $F$4:F23, F24)+1&gt;=10, "0"&amp;COUNTIFS($C$4:C23, C24, $F$4:F23, F24)+1, "00"&amp;COUNTIFS($C$4:C23, C24, $F$4:F23, F24)+1))</f>
        <v>enpc_F01_A_Nymphe_002</v>
      </c>
      <c r="B24" s="16"/>
      <c r="C24" s="16" t="s">
        <v>39</v>
      </c>
      <c r="D24" s="16" t="str">
        <f t="shared" si="3"/>
        <v>님프</v>
      </c>
      <c r="E24" s="17" t="str">
        <f>VLOOKUP($C24, Factor!$AM$4:$AY$30, 8, 0)</f>
        <v>S</v>
      </c>
      <c r="F24" s="17" t="s">
        <v>382</v>
      </c>
      <c r="G24" s="20">
        <v>3</v>
      </c>
      <c r="H24" s="16" t="s">
        <v>55</v>
      </c>
      <c r="I24" s="17" t="str">
        <f>VLOOKUP($C24, Factor!$AM$4:$AY$30, 11, 0)</f>
        <v>A</v>
      </c>
      <c r="J24" s="17" t="str">
        <f>VLOOKUP($C24, Factor!$AM$4:$AY$30, 12, 0)</f>
        <v>ml</v>
      </c>
      <c r="K24" s="17" t="str">
        <f>VLOOKUP($C24, Factor!$AM$4:$AY$30, 13, 0)</f>
        <v>F</v>
      </c>
      <c r="L24" s="17">
        <v>1</v>
      </c>
      <c r="M24" s="17">
        <v>1</v>
      </c>
      <c r="N24" s="17">
        <v>1</v>
      </c>
      <c r="O24" s="17">
        <v>1</v>
      </c>
      <c r="P24" s="17">
        <v>1</v>
      </c>
      <c r="Q24" s="17">
        <v>1</v>
      </c>
      <c r="R24" s="17" t="str">
        <f>VLOOKUP($C24, Factor!$AM$4:$AY$30, 9, 0)</f>
        <v>Small</v>
      </c>
      <c r="S24" s="17" t="s">
        <v>197</v>
      </c>
      <c r="T24" s="17" t="str">
        <f>VLOOKUP($C24, Factor!$AM$4:$AY$30, 10, 0)</f>
        <v>enpc</v>
      </c>
      <c r="U24" s="17" cm="1">
        <f t="array" ref="U24">L24*VLOOKUP($I24, Factor!$B$4:$G$8, 2, 0)*VLOOKUP($J24, Factor!$B$12:$G$13, 2, 0)*VLOOKUP($K24, Factor!$B$17:$G$18, 2, 0)*VLOOKUP($H24, Factor!$J$4:$O$7, 2, 0)*VLOOKUP($F24, Factor!$Q$4:$V$15, 2, 0)*IF(MOD($G24,10)=0, 10, MOD($G24, 10))*((INDEX(Factor!$X$4:$AC$13, _xlfn.XMATCH($G24, Factor!$X$4:$X$13, 1),2)*IF(MOD(G24, 10) = 0, 10, MOD(G24, 10)))+INDEX(Factor!$AE$4:$AJ$13, _xlfn.XMATCH(MonsterData!$G24, Factor!$AE$4:$AE$13, 1),2))</f>
        <v>90.000000000000014</v>
      </c>
      <c r="V24" s="17" cm="1">
        <f t="array" ref="V24">M24*VLOOKUP($I24, Factor!$B$4:$G$8, 3, 0)*VLOOKUP($J24, Factor!$B$12:$G$13, 3, 0)*VLOOKUP($K24, Factor!$B$17:$G$18, 3, 0)*VLOOKUP($H24, Factor!$J$4:$O$7, 3, 0)*VLOOKUP($F24, Factor!$Q$4:$V$15, 3, 0)*IF(MOD($G24,10)=0, 10, MOD($G24, 10))*((INDEX(Factor!$X$4:$AC$13, _xlfn.XMATCH($G24, Factor!$X$4:$X$13, 1),3)*IF(MOD(G24, 10) = 0, 10, MOD(G24, 10)))+INDEX(Factor!$AE$4:$AJ$13, _xlfn.XMATCH(MonsterData!$G24, Factor!$AE$4:$AE$13, 1),3))</f>
        <v>4.5000000000000009</v>
      </c>
      <c r="W24" s="17" cm="1">
        <f t="array" ref="W24">N24*VLOOKUP($I24, Factor!$B$4:$G$8, 4, 0)*VLOOKUP($J24, Factor!$B$12:$G$13, 4, 0)*VLOOKUP($K24, Factor!$B$17:$G$18, 4, 0)*VLOOKUP($H24, Factor!$J$4:$O$7, 4, 0)*VLOOKUP($F24, Factor!$Q$4:$V$15, 4, 0)*IF(MOD($G24,10)=0, 10, MOD($G24, 10))*((INDEX(Factor!$X$4:$AC$13, _xlfn.XMATCH($G24, Factor!$X$4:$X$13, 1),4)*IF(MOD(G24, 10) = 0, 10, MOD(G24, 10)))+INDEX(Factor!$AE$4:$AJ$13, _xlfn.XMATCH(MonsterData!$G24, Factor!$AE$4:$AE$13, 1),4))</f>
        <v>2.7</v>
      </c>
      <c r="X24" s="17" cm="1">
        <f t="array" ref="X24">O24*VLOOKUP($I24, Factor!$B$4:$G$8, 5, 0)*VLOOKUP($J24, Factor!$B$12:$G$13, 5, 0)*VLOOKUP($K24, Factor!$B$17:$G$18, 5, 0)*VLOOKUP($H24, Factor!$J$4:$O$7, 5, 0)*VLOOKUP($F24, Factor!$Q$4:$V$15, 5, 0)*IF(MOD($G24,10)=0, 10, MOD($G24, 10))*((INDEX(Factor!$X$4:$AC$13, _xlfn.XMATCH($G24, Factor!$X$4:$X$13, 1),5)*IF(MOD(G24, 10) = 0, 10, MOD(G24, 10)))+INDEX(Factor!$AE$4:$AJ$13, _xlfn.XMATCH(MonsterData!$G24, Factor!$AE$4:$AE$13, 1),5))</f>
        <v>0.90000000000000013</v>
      </c>
      <c r="Y24" s="17" cm="1">
        <f t="array" ref="Y24">P24*VLOOKUP($I24, Factor!$B$4:$G$8, 6, 0)*VLOOKUP($J24, Factor!$B$12:$G$13, 6, 0)*VLOOKUP($K24, Factor!$B$17:$G$18, 6, 0)*VLOOKUP($H24, Factor!$J$4:$O$7, 2, 0)*VLOOKUP($F24, Factor!$Q$4:$V$15, 6, 0)*IF(MOD($G24,10)=0, 10, MOD($G24, 10))*((INDEX(Factor!$X$4:$AC$13, _xlfn.XMATCH($G24, Factor!$X$4:$X$13, 1),6)*IF(MOD(G24, 10) = 0, 10, MOD(G24, 10)))+INDEX(Factor!$AE$4:$AJ$13, _xlfn.XMATCH(MonsterData!$G24, Factor!$AE$4:$AE$13, 1),6))</f>
        <v>13.500000000000002</v>
      </c>
      <c r="Z24" s="17">
        <f>$Q24*VLOOKUP($J24, Factor!$B$12:$H$13, 7, 0)</f>
        <v>1</v>
      </c>
      <c r="AA24" s="17">
        <v>1</v>
      </c>
      <c r="AB24" s="17">
        <f t="shared" si="4"/>
        <v>0</v>
      </c>
      <c r="AC24" s="17" t="s">
        <v>139</v>
      </c>
      <c r="AD24" s="19" t="s">
        <v>142</v>
      </c>
    </row>
    <row r="25" spans="1:30" ht="15.75" customHeight="1">
      <c r="A25" s="13" t="str">
        <f>T25&amp;"_"&amp;F25&amp;VLOOKUP($C25, Factor!$AM$4:$AY$30, 7, 0)&amp;IF(COUNTIFS($C$4:C24, C25, $F$4:F24, F25)+1&gt;=100, COUNTIFS($C$4:C24, C25, $F$4:F24, F25)+1,IF(COUNTIFS($C$4:C24, C25, $F$4:F24, F25)+1&gt;=10, "0"&amp;COUNTIFS($C$4:C24, C25, $F$4:F24, F25)+1, "00"&amp;COUNTIFS($C$4:C24, C25, $F$4:F24, F25)+1))</f>
        <v>enpc_F01_B_Golem_002</v>
      </c>
      <c r="B25" s="13"/>
      <c r="C25" s="13" t="s">
        <v>40</v>
      </c>
      <c r="D25" s="13" t="str">
        <f t="shared" si="3"/>
        <v>골렘</v>
      </c>
      <c r="E25" s="21" t="str">
        <f>VLOOKUP($C25, Factor!$AM$4:$AY$30, 8, 0)</f>
        <v>B</v>
      </c>
      <c r="F25" s="13" t="s">
        <v>382</v>
      </c>
      <c r="G25" s="22">
        <v>8</v>
      </c>
      <c r="H25" s="13" t="s">
        <v>57</v>
      </c>
      <c r="I25" s="21" t="str">
        <f>VLOOKUP($C25, Factor!$AM$4:$AY$30, 11, 0)</f>
        <v>B</v>
      </c>
      <c r="J25" s="21" t="str">
        <f>VLOOKUP($C25, Factor!$AM$4:$AY$30, 12, 0)</f>
        <v>ml</v>
      </c>
      <c r="K25" s="21" t="str">
        <f>VLOOKUP($C25, Factor!$AM$4:$AY$30, 13, 0)</f>
        <v>L</v>
      </c>
      <c r="L25" s="13">
        <v>1</v>
      </c>
      <c r="M25" s="13">
        <v>1</v>
      </c>
      <c r="N25" s="13">
        <v>1</v>
      </c>
      <c r="O25" s="13">
        <v>1</v>
      </c>
      <c r="P25" s="13">
        <v>1</v>
      </c>
      <c r="Q25" s="13">
        <v>1</v>
      </c>
      <c r="R25" s="21" t="str">
        <f>VLOOKUP($C25, Factor!$AM$4:$AY$30, 9, 0)</f>
        <v>Big</v>
      </c>
      <c r="S25" s="13" t="s">
        <v>398</v>
      </c>
      <c r="T25" s="21" t="str">
        <f>VLOOKUP($C25, Factor!$AM$4:$AY$30, 10, 0)</f>
        <v>enpc</v>
      </c>
      <c r="U25" s="21" cm="1">
        <f t="array" ref="U25">L25*VLOOKUP($I25, Factor!$B$4:$G$8, 2, 0)*VLOOKUP($J25, Factor!$B$12:$G$13, 2, 0)*VLOOKUP($K25, Factor!$B$17:$G$18, 2, 0)*VLOOKUP($H25, Factor!$J$4:$O$7, 2, 0)*VLOOKUP($F25, Factor!$Q$4:$V$15, 2, 0)*IF(MOD($G25,10)=0, 10, MOD($G25, 10))*((INDEX(Factor!$X$4:$AC$13, _xlfn.XMATCH($G25, Factor!$X$4:$X$13, 1),2)*IF(MOD(G25, 10) = 0, 10, MOD(G25, 10)))+INDEX(Factor!$AE$4:$AJ$13, _xlfn.XMATCH(MonsterData!$G25, Factor!$AE$4:$AE$13, 1),2))</f>
        <v>9600</v>
      </c>
      <c r="V25" s="21" cm="1">
        <f t="array" ref="V25">M25*VLOOKUP($I25, Factor!$B$4:$G$8, 3, 0)*VLOOKUP($J25, Factor!$B$12:$G$13, 3, 0)*VLOOKUP($K25, Factor!$B$17:$G$18, 3, 0)*VLOOKUP($H25, Factor!$J$4:$O$7, 3, 0)*VLOOKUP($F25, Factor!$Q$4:$V$15, 3, 0)*IF(MOD($G25,10)=0, 10, MOD($G25, 10))*((INDEX(Factor!$X$4:$AC$13, _xlfn.XMATCH($G25, Factor!$X$4:$X$13, 1),3)*IF(MOD(G25, 10) = 0, 10, MOD(G25, 10)))+INDEX(Factor!$AE$4:$AJ$13, _xlfn.XMATCH(MonsterData!$G25, Factor!$AE$4:$AE$13, 1),3))</f>
        <v>480</v>
      </c>
      <c r="W25" s="21" cm="1">
        <f t="array" ref="W25">N25*VLOOKUP($I25, Factor!$B$4:$G$8, 4, 0)*VLOOKUP($J25, Factor!$B$12:$G$13, 4, 0)*VLOOKUP($K25, Factor!$B$17:$G$18, 4, 0)*VLOOKUP($H25, Factor!$J$4:$O$7, 4, 0)*VLOOKUP($F25, Factor!$Q$4:$V$15, 4, 0)*IF(MOD($G25,10)=0, 10, MOD($G25, 10))*((INDEX(Factor!$X$4:$AC$13, _xlfn.XMATCH($G25, Factor!$X$4:$X$13, 1),4)*IF(MOD(G25, 10) = 0, 10, MOD(G25, 10)))+INDEX(Factor!$AE$4:$AJ$13, _xlfn.XMATCH(MonsterData!$G25, Factor!$AE$4:$AE$13, 1),4))</f>
        <v>24</v>
      </c>
      <c r="X25" s="21" cm="1">
        <f t="array" ref="X25">O25*VLOOKUP($I25, Factor!$B$4:$G$8, 5, 0)*VLOOKUP($J25, Factor!$B$12:$G$13, 5, 0)*VLOOKUP($K25, Factor!$B$17:$G$18, 5, 0)*VLOOKUP($H25, Factor!$J$4:$O$7, 5, 0)*VLOOKUP($F25, Factor!$Q$4:$V$15, 5, 0)*IF(MOD($G25,10)=0, 10, MOD($G25, 10))*((INDEX(Factor!$X$4:$AC$13, _xlfn.XMATCH($G25, Factor!$X$4:$X$13, 1),5)*IF(MOD(G25, 10) = 0, 10, MOD(G25, 10)))+INDEX(Factor!$AE$4:$AJ$13, _xlfn.XMATCH(MonsterData!$G25, Factor!$AE$4:$AE$13, 1),5))</f>
        <v>25.6</v>
      </c>
      <c r="Y25" s="21" cm="1">
        <f t="array" ref="Y25">P25*VLOOKUP($I25, Factor!$B$4:$G$8, 6, 0)*VLOOKUP($J25, Factor!$B$12:$G$13, 6, 0)*VLOOKUP($K25, Factor!$B$17:$G$18, 6, 0)*VLOOKUP($H25, Factor!$J$4:$O$7, 2, 0)*VLOOKUP($F25, Factor!$Q$4:$V$15, 6, 0)*IF(MOD($G25,10)=0, 10, MOD($G25, 10))*((INDEX(Factor!$X$4:$AC$13, _xlfn.XMATCH($G25, Factor!$X$4:$X$13, 1),6)*IF(MOD(G25, 10) = 0, 10, MOD(G25, 10)))+INDEX(Factor!$AE$4:$AJ$13, _xlfn.XMATCH(MonsterData!$G25, Factor!$AE$4:$AE$13, 1),6))</f>
        <v>51.2</v>
      </c>
      <c r="Z25" s="21">
        <f>$Q25*VLOOKUP($J25, Factor!$B$12:$H$13, 7, 0)</f>
        <v>1</v>
      </c>
      <c r="AA25" s="13">
        <v>1</v>
      </c>
      <c r="AB25" s="21">
        <f t="shared" si="4"/>
        <v>0</v>
      </c>
      <c r="AC25" s="13" t="s">
        <v>140</v>
      </c>
      <c r="AD25" s="15" t="s">
        <v>143</v>
      </c>
    </row>
    <row r="26" spans="1:30" ht="15.75" customHeight="1">
      <c r="A26" s="16" t="str">
        <f>T26&amp;"_"&amp;F26&amp;VLOOKUP($C26, Factor!$AM$4:$AY$30, 7, 0)&amp;IF(COUNTIFS($C$4:C25, C26, $F$4:F25, F26)+1&gt;=100, COUNTIFS($C$4:C25, C26, $F$4:F25, F26)+1,IF(COUNTIFS($C$4:C25, C26, $F$4:F25, F26)+1&gt;=10, "0"&amp;COUNTIFS($C$4:C25, C26, $F$4:F25, F26)+1, "00"&amp;COUNTIFS($C$4:C25, C26, $F$4:F25, F26)+1))</f>
        <v>enpc_F01_B_Banshee_002</v>
      </c>
      <c r="B26" s="16"/>
      <c r="C26" s="16" t="s">
        <v>42</v>
      </c>
      <c r="D26" s="16" t="str">
        <f t="shared" si="3"/>
        <v>밴시</v>
      </c>
      <c r="E26" s="17" t="str">
        <f>VLOOKUP($C26, Factor!$AM$4:$AY$30, 8, 0)</f>
        <v>S</v>
      </c>
      <c r="F26" s="17" t="s">
        <v>382</v>
      </c>
      <c r="G26" s="20">
        <v>8</v>
      </c>
      <c r="H26" s="16" t="s">
        <v>56</v>
      </c>
      <c r="I26" s="17" t="str">
        <f>VLOOKUP($C26, Factor!$AM$4:$AY$30, 11, 0)</f>
        <v>B</v>
      </c>
      <c r="J26" s="17" t="str">
        <f>VLOOKUP($C26, Factor!$AM$4:$AY$30, 12, 0)</f>
        <v>ra</v>
      </c>
      <c r="K26" s="17" t="str">
        <f>VLOOKUP($C26, Factor!$AM$4:$AY$30, 13, 0)</f>
        <v>L</v>
      </c>
      <c r="L26" s="17">
        <v>1</v>
      </c>
      <c r="M26" s="17">
        <v>1</v>
      </c>
      <c r="N26" s="17">
        <v>1</v>
      </c>
      <c r="O26" s="17">
        <v>1</v>
      </c>
      <c r="P26" s="17">
        <v>1</v>
      </c>
      <c r="Q26" s="17">
        <v>1</v>
      </c>
      <c r="R26" s="17" t="str">
        <f>VLOOKUP($C26, Factor!$AM$4:$AY$30, 9, 0)</f>
        <v>Midium</v>
      </c>
      <c r="S26" s="17" t="s">
        <v>198</v>
      </c>
      <c r="T26" s="17" t="str">
        <f>VLOOKUP($C26, Factor!$AM$4:$AY$30, 10, 0)</f>
        <v>enpc</v>
      </c>
      <c r="U26" s="17" cm="1">
        <f t="array" ref="U26">L26*VLOOKUP($I26, Factor!$B$4:$G$8, 2, 0)*VLOOKUP($J26, Factor!$B$12:$G$13, 2, 0)*VLOOKUP($K26, Factor!$B$17:$G$18, 2, 0)*VLOOKUP($H26, Factor!$J$4:$O$7, 2, 0)*VLOOKUP($F26, Factor!$Q$4:$V$15, 2, 0)*IF(MOD($G26,10)=0, 10, MOD($G26, 10))*((INDEX(Factor!$X$4:$AC$13, _xlfn.XMATCH($G26, Factor!$X$4:$X$13, 1),2)*IF(MOD(G26, 10) = 0, 10, MOD(G26, 10)))+INDEX(Factor!$AE$4:$AJ$13, _xlfn.XMATCH(MonsterData!$G26, Factor!$AE$4:$AE$13, 1),2))</f>
        <v>3840</v>
      </c>
      <c r="V26" s="17" cm="1">
        <f t="array" ref="V26">M26*VLOOKUP($I26, Factor!$B$4:$G$8, 3, 0)*VLOOKUP($J26, Factor!$B$12:$G$13, 3, 0)*VLOOKUP($K26, Factor!$B$17:$G$18, 3, 0)*VLOOKUP($H26, Factor!$J$4:$O$7, 3, 0)*VLOOKUP($F26, Factor!$Q$4:$V$15, 3, 0)*IF(MOD($G26,10)=0, 10, MOD($G26, 10))*((INDEX(Factor!$X$4:$AC$13, _xlfn.XMATCH($G26, Factor!$X$4:$X$13, 1),3)*IF(MOD(G26, 10) = 0, 10, MOD(G26, 10)))+INDEX(Factor!$AE$4:$AJ$13, _xlfn.XMATCH(MonsterData!$G26, Factor!$AE$4:$AE$13, 1),3))</f>
        <v>192</v>
      </c>
      <c r="W26" s="17" cm="1">
        <f t="array" ref="W26">N26*VLOOKUP($I26, Factor!$B$4:$G$8, 4, 0)*VLOOKUP($J26, Factor!$B$12:$G$13, 4, 0)*VLOOKUP($K26, Factor!$B$17:$G$18, 4, 0)*VLOOKUP($H26, Factor!$J$4:$O$7, 4, 0)*VLOOKUP($F26, Factor!$Q$4:$V$15, 4, 0)*IF(MOD($G26,10)=0, 10, MOD($G26, 10))*((INDEX(Factor!$X$4:$AC$13, _xlfn.XMATCH($G26, Factor!$X$4:$X$13, 1),4)*IF(MOD(G26, 10) = 0, 10, MOD(G26, 10)))+INDEX(Factor!$AE$4:$AJ$13, _xlfn.XMATCH(MonsterData!$G26, Factor!$AE$4:$AE$13, 1),4))</f>
        <v>576</v>
      </c>
      <c r="X26" s="17" cm="1">
        <f t="array" ref="X26">O26*VLOOKUP($I26, Factor!$B$4:$G$8, 5, 0)*VLOOKUP($J26, Factor!$B$12:$G$13, 5, 0)*VLOOKUP($K26, Factor!$B$17:$G$18, 5, 0)*VLOOKUP($H26, Factor!$J$4:$O$7, 5, 0)*VLOOKUP($F26, Factor!$Q$4:$V$15, 5, 0)*IF(MOD($G26,10)=0, 10, MOD($G26, 10))*((INDEX(Factor!$X$4:$AC$13, _xlfn.XMATCH($G26, Factor!$X$4:$X$13, 1),5)*IF(MOD(G26, 10) = 0, 10, MOD(G26, 10)))+INDEX(Factor!$AE$4:$AJ$13, _xlfn.XMATCH(MonsterData!$G26, Factor!$AE$4:$AE$13, 1),5))</f>
        <v>17.28</v>
      </c>
      <c r="Y26" s="17" cm="1">
        <f t="array" ref="Y26">P26*VLOOKUP($I26, Factor!$B$4:$G$8, 6, 0)*VLOOKUP($J26, Factor!$B$12:$G$13, 6, 0)*VLOOKUP($K26, Factor!$B$17:$G$18, 6, 0)*VLOOKUP($H26, Factor!$J$4:$O$7, 2, 0)*VLOOKUP($F26, Factor!$Q$4:$V$15, 6, 0)*IF(MOD($G26,10)=0, 10, MOD($G26, 10))*((INDEX(Factor!$X$4:$AC$13, _xlfn.XMATCH($G26, Factor!$X$4:$X$13, 1),6)*IF(MOD(G26, 10) = 0, 10, MOD(G26, 10)))+INDEX(Factor!$AE$4:$AJ$13, _xlfn.XMATCH(MonsterData!$G26, Factor!$AE$4:$AE$13, 1),6))</f>
        <v>25.6</v>
      </c>
      <c r="Z26" s="17">
        <f>$Q26*VLOOKUP($J26, Factor!$B$12:$H$13, 7, 0)</f>
        <v>4</v>
      </c>
      <c r="AA26" s="17">
        <v>1</v>
      </c>
      <c r="AB26" s="17">
        <f t="shared" si="4"/>
        <v>4</v>
      </c>
      <c r="AC26" s="17" t="s">
        <v>141</v>
      </c>
      <c r="AD26" s="19" t="s">
        <v>144</v>
      </c>
    </row>
    <row r="27" spans="1:30" ht="15.75" customHeight="1">
      <c r="A27" s="13" t="str">
        <f>T27&amp;"_"&amp;F27&amp;VLOOKUP($C27, Factor!$AM$4:$AY$30, 7, 0)&amp;IF(COUNTIFS($C$4:C26, C27, $F$4:F26, F27)+1&gt;=100, COUNTIFS($C$4:C26, C27, $F$4:F26, F27)+1,IF(COUNTIFS($C$4:C26, C27, $F$4:F26, F27)+1&gt;=10, "0"&amp;COUNTIFS($C$4:C26, C27, $F$4:F26, F27)+1, "00"&amp;COUNTIFS($C$4:C26, C27, $F$4:F26, F27)+1))</f>
        <v>enpc_F01_A_Scarab_002</v>
      </c>
      <c r="B27" s="13"/>
      <c r="C27" s="13" t="s">
        <v>353</v>
      </c>
      <c r="D27" s="13" t="str">
        <f t="shared" si="3"/>
        <v>스캐럽</v>
      </c>
      <c r="E27" s="21" t="str">
        <f>VLOOKUP($C27, Factor!$AM$4:$AY$30, 8, 0)</f>
        <v>S</v>
      </c>
      <c r="F27" s="13" t="s">
        <v>382</v>
      </c>
      <c r="G27" s="22">
        <v>3</v>
      </c>
      <c r="H27" s="13" t="s">
        <v>55</v>
      </c>
      <c r="I27" s="21" t="str">
        <f>VLOOKUP($C27, Factor!$AM$4:$AY$30, 11, 0)</f>
        <v>A</v>
      </c>
      <c r="J27" s="21" t="str">
        <f>VLOOKUP($C27, Factor!$AM$4:$AY$30, 12, 0)</f>
        <v>ml</v>
      </c>
      <c r="K27" s="21" t="str">
        <f>VLOOKUP($C27, Factor!$AM$4:$AY$30, 13, 0)</f>
        <v>L</v>
      </c>
      <c r="L27" s="13">
        <v>1</v>
      </c>
      <c r="M27" s="13">
        <v>1</v>
      </c>
      <c r="N27" s="13">
        <v>1</v>
      </c>
      <c r="O27" s="13">
        <v>1</v>
      </c>
      <c r="P27" s="13">
        <v>1</v>
      </c>
      <c r="Q27" s="13">
        <v>1</v>
      </c>
      <c r="R27" s="21" t="str">
        <f>VLOOKUP($C27, Factor!$AM$4:$AY$30, 9, 0)</f>
        <v>Midium</v>
      </c>
      <c r="S27" s="13" t="s">
        <v>399</v>
      </c>
      <c r="T27" s="21" t="str">
        <f>VLOOKUP($C27, Factor!$AM$4:$AY$30, 10, 0)</f>
        <v>enpc</v>
      </c>
      <c r="U27" s="21" cm="1">
        <f t="array" ref="U27">L27*VLOOKUP($I27, Factor!$B$4:$G$8, 2, 0)*VLOOKUP($J27, Factor!$B$12:$G$13, 2, 0)*VLOOKUP($K27, Factor!$B$17:$G$18, 2, 0)*VLOOKUP($H27, Factor!$J$4:$O$7, 2, 0)*VLOOKUP($F27, Factor!$Q$4:$V$15, 2, 0)*IF(MOD($G27,10)=0, 10, MOD($G27, 10))*((INDEX(Factor!$X$4:$AC$13, _xlfn.XMATCH($G27, Factor!$X$4:$X$13, 1),2)*IF(MOD(G27, 10) = 0, 10, MOD(G27, 10)))+INDEX(Factor!$AE$4:$AJ$13, _xlfn.XMATCH(MonsterData!$G27, Factor!$AE$4:$AE$13, 1),2))</f>
        <v>135.00000000000003</v>
      </c>
      <c r="V27" s="21" cm="1">
        <f t="array" ref="V27">M27*VLOOKUP($I27, Factor!$B$4:$G$8, 3, 0)*VLOOKUP($J27, Factor!$B$12:$G$13, 3, 0)*VLOOKUP($K27, Factor!$B$17:$G$18, 3, 0)*VLOOKUP($H27, Factor!$J$4:$O$7, 3, 0)*VLOOKUP($F27, Factor!$Q$4:$V$15, 3, 0)*IF(MOD($G27,10)=0, 10, MOD($G27, 10))*((INDEX(Factor!$X$4:$AC$13, _xlfn.XMATCH($G27, Factor!$X$4:$X$13, 1),3)*IF(MOD(G27, 10) = 0, 10, MOD(G27, 10)))+INDEX(Factor!$AE$4:$AJ$13, _xlfn.XMATCH(MonsterData!$G27, Factor!$AE$4:$AE$13, 1),3))</f>
        <v>6.7500000000000009</v>
      </c>
      <c r="W27" s="21" cm="1">
        <f t="array" ref="W27">N27*VLOOKUP($I27, Factor!$B$4:$G$8, 4, 0)*VLOOKUP($J27, Factor!$B$12:$G$13, 4, 0)*VLOOKUP($K27, Factor!$B$17:$G$18, 4, 0)*VLOOKUP($H27, Factor!$J$4:$O$7, 4, 0)*VLOOKUP($F27, Factor!$Q$4:$V$15, 4, 0)*IF(MOD($G27,10)=0, 10, MOD($G27, 10))*((INDEX(Factor!$X$4:$AC$13, _xlfn.XMATCH($G27, Factor!$X$4:$X$13, 1),4)*IF(MOD(G27, 10) = 0, 10, MOD(G27, 10)))+INDEX(Factor!$AE$4:$AJ$13, _xlfn.XMATCH(MonsterData!$G27, Factor!$AE$4:$AE$13, 1),4))</f>
        <v>4.0500000000000007</v>
      </c>
      <c r="X27" s="21" cm="1">
        <f t="array" ref="X27">O27*VLOOKUP($I27, Factor!$B$4:$G$8, 5, 0)*VLOOKUP($J27, Factor!$B$12:$G$13, 5, 0)*VLOOKUP($K27, Factor!$B$17:$G$18, 5, 0)*VLOOKUP($H27, Factor!$J$4:$O$7, 5, 0)*VLOOKUP($F27, Factor!$Q$4:$V$15, 5, 0)*IF(MOD($G27,10)=0, 10, MOD($G27, 10))*((INDEX(Factor!$X$4:$AC$13, _xlfn.XMATCH($G27, Factor!$X$4:$X$13, 1),5)*IF(MOD(G27, 10) = 0, 10, MOD(G27, 10)))+INDEX(Factor!$AE$4:$AJ$13, _xlfn.XMATCH(MonsterData!$G27, Factor!$AE$4:$AE$13, 1),5))</f>
        <v>0.90000000000000013</v>
      </c>
      <c r="Y27" s="21" cm="1">
        <f t="array" ref="Y27">P27*VLOOKUP($I27, Factor!$B$4:$G$8, 6, 0)*VLOOKUP($J27, Factor!$B$12:$G$13, 6, 0)*VLOOKUP($K27, Factor!$B$17:$G$18, 6, 0)*VLOOKUP($H27, Factor!$J$4:$O$7, 2, 0)*VLOOKUP($F27, Factor!$Q$4:$V$15, 6, 0)*IF(MOD($G27,10)=0, 10, MOD($G27, 10))*((INDEX(Factor!$X$4:$AC$13, _xlfn.XMATCH($G27, Factor!$X$4:$X$13, 1),6)*IF(MOD(G27, 10) = 0, 10, MOD(G27, 10)))+INDEX(Factor!$AE$4:$AJ$13, _xlfn.XMATCH(MonsterData!$G27, Factor!$AE$4:$AE$13, 1),6))</f>
        <v>4.5000000000000009</v>
      </c>
      <c r="Z27" s="21">
        <f>$Q27*VLOOKUP($J27, Factor!$B$12:$H$13, 7, 0)</f>
        <v>1</v>
      </c>
      <c r="AA27" s="13">
        <v>1</v>
      </c>
      <c r="AB27" s="21">
        <f t="shared" si="4"/>
        <v>0</v>
      </c>
      <c r="AC27" s="13" t="s">
        <v>139</v>
      </c>
      <c r="AD27" s="15" t="s">
        <v>387</v>
      </c>
    </row>
    <row r="28" spans="1:30" ht="15.75" customHeight="1">
      <c r="A28" s="16" t="str">
        <f>T28&amp;"_"&amp;F28&amp;VLOOKUP($C28, Factor!$AM$4:$AY$30, 7, 0)&amp;IF(COUNTIFS($C$4:C27, C28, $F$4:F27, F28)+1&gt;=100, COUNTIFS($C$4:C27, C28, $F$4:F27, F28)+1,IF(COUNTIFS($C$4:C27, C28, $F$4:F27, F28)+1&gt;=10, "0"&amp;COUNTIFS($C$4:C27, C28, $F$4:F27, F28)+1, "00"&amp;COUNTIFS($C$4:C27, C28, $F$4:F27, F28)+1))</f>
        <v>enpc_F01_A_Swarmlet_002</v>
      </c>
      <c r="B28" s="16"/>
      <c r="C28" s="16" t="s">
        <v>355</v>
      </c>
      <c r="D28" s="16" t="str">
        <f t="shared" si="3"/>
        <v>스웜렛</v>
      </c>
      <c r="E28" s="17" t="str">
        <f>VLOOKUP($C28, Factor!$AM$4:$AY$30, 8, 0)</f>
        <v>B</v>
      </c>
      <c r="F28" s="17" t="s">
        <v>382</v>
      </c>
      <c r="G28" s="20">
        <v>3</v>
      </c>
      <c r="H28" s="16" t="s">
        <v>56</v>
      </c>
      <c r="I28" s="17" t="str">
        <f>VLOOKUP($C28, Factor!$AM$4:$AY$30, 11, 0)</f>
        <v>A</v>
      </c>
      <c r="J28" s="17" t="str">
        <f>VLOOKUP($C28, Factor!$AM$4:$AY$30, 12, 0)</f>
        <v>ml</v>
      </c>
      <c r="K28" s="17" t="str">
        <f>VLOOKUP($C28, Factor!$AM$4:$AY$30, 13, 0)</f>
        <v>L</v>
      </c>
      <c r="L28" s="17">
        <v>1</v>
      </c>
      <c r="M28" s="17">
        <v>1</v>
      </c>
      <c r="N28" s="17">
        <v>1</v>
      </c>
      <c r="O28" s="17">
        <v>1</v>
      </c>
      <c r="P28" s="17">
        <v>1</v>
      </c>
      <c r="Q28" s="17">
        <v>1</v>
      </c>
      <c r="R28" s="17" t="str">
        <f>VLOOKUP($C28, Factor!$AM$4:$AY$30, 9, 0)</f>
        <v>Small</v>
      </c>
      <c r="S28" s="17" t="s">
        <v>376</v>
      </c>
      <c r="T28" s="17" t="str">
        <f>VLOOKUP($C28, Factor!$AM$4:$AY$30, 10, 0)</f>
        <v>enpc</v>
      </c>
      <c r="U28" s="17" cm="1">
        <f t="array" ref="U28">L28*VLOOKUP($I28, Factor!$B$4:$G$8, 2, 0)*VLOOKUP($J28, Factor!$B$12:$G$13, 2, 0)*VLOOKUP($K28, Factor!$B$17:$G$18, 2, 0)*VLOOKUP($H28, Factor!$J$4:$O$7, 2, 0)*VLOOKUP($F28, Factor!$Q$4:$V$15, 2, 0)*IF(MOD($G28,10)=0, 10, MOD($G28, 10))*((INDEX(Factor!$X$4:$AC$13, _xlfn.XMATCH($G28, Factor!$X$4:$X$13, 1),2)*IF(MOD(G28, 10) = 0, 10, MOD(G28, 10)))+INDEX(Factor!$AE$4:$AJ$13, _xlfn.XMATCH(MonsterData!$G28, Factor!$AE$4:$AE$13, 1),2))</f>
        <v>135.00000000000003</v>
      </c>
      <c r="V28" s="17" cm="1">
        <f t="array" ref="V28">M28*VLOOKUP($I28, Factor!$B$4:$G$8, 3, 0)*VLOOKUP($J28, Factor!$B$12:$G$13, 3, 0)*VLOOKUP($K28, Factor!$B$17:$G$18, 3, 0)*VLOOKUP($H28, Factor!$J$4:$O$7, 3, 0)*VLOOKUP($F28, Factor!$Q$4:$V$15, 3, 0)*IF(MOD($G28,10)=0, 10, MOD($G28, 10))*((INDEX(Factor!$X$4:$AC$13, _xlfn.XMATCH($G28, Factor!$X$4:$X$13, 1),3)*IF(MOD(G28, 10) = 0, 10, MOD(G28, 10)))+INDEX(Factor!$AE$4:$AJ$13, _xlfn.XMATCH(MonsterData!$G28, Factor!$AE$4:$AE$13, 1),3))</f>
        <v>6.7500000000000009</v>
      </c>
      <c r="W28" s="17" cm="1">
        <f t="array" ref="W28">N28*VLOOKUP($I28, Factor!$B$4:$G$8, 4, 0)*VLOOKUP($J28, Factor!$B$12:$G$13, 4, 0)*VLOOKUP($K28, Factor!$B$17:$G$18, 4, 0)*VLOOKUP($H28, Factor!$J$4:$O$7, 4, 0)*VLOOKUP($F28, Factor!$Q$4:$V$15, 4, 0)*IF(MOD($G28,10)=0, 10, MOD($G28, 10))*((INDEX(Factor!$X$4:$AC$13, _xlfn.XMATCH($G28, Factor!$X$4:$X$13, 1),4)*IF(MOD(G28, 10) = 0, 10, MOD(G28, 10)))+INDEX(Factor!$AE$4:$AJ$13, _xlfn.XMATCH(MonsterData!$G28, Factor!$AE$4:$AE$13, 1),4))</f>
        <v>8.1000000000000014</v>
      </c>
      <c r="X28" s="17" cm="1">
        <f t="array" ref="X28">O28*VLOOKUP($I28, Factor!$B$4:$G$8, 5, 0)*VLOOKUP($J28, Factor!$B$12:$G$13, 5, 0)*VLOOKUP($K28, Factor!$B$17:$G$18, 5, 0)*VLOOKUP($H28, Factor!$J$4:$O$7, 5, 0)*VLOOKUP($F28, Factor!$Q$4:$V$15, 5, 0)*IF(MOD($G28,10)=0, 10, MOD($G28, 10))*((INDEX(Factor!$X$4:$AC$13, _xlfn.XMATCH($G28, Factor!$X$4:$X$13, 1),5)*IF(MOD(G28, 10) = 0, 10, MOD(G28, 10)))+INDEX(Factor!$AE$4:$AJ$13, _xlfn.XMATCH(MonsterData!$G28, Factor!$AE$4:$AE$13, 1),5))</f>
        <v>0.81000000000000016</v>
      </c>
      <c r="Y28" s="17" cm="1">
        <f t="array" ref="Y28">P28*VLOOKUP($I28, Factor!$B$4:$G$8, 6, 0)*VLOOKUP($J28, Factor!$B$12:$G$13, 6, 0)*VLOOKUP($K28, Factor!$B$17:$G$18, 6, 0)*VLOOKUP($H28, Factor!$J$4:$O$7, 2, 0)*VLOOKUP($F28, Factor!$Q$4:$V$15, 6, 0)*IF(MOD($G28,10)=0, 10, MOD($G28, 10))*((INDEX(Factor!$X$4:$AC$13, _xlfn.XMATCH($G28, Factor!$X$4:$X$13, 1),6)*IF(MOD(G28, 10) = 0, 10, MOD(G28, 10)))+INDEX(Factor!$AE$4:$AJ$13, _xlfn.XMATCH(MonsterData!$G28, Factor!$AE$4:$AE$13, 1),6))</f>
        <v>4.5000000000000009</v>
      </c>
      <c r="Z28" s="17">
        <f>$Q28*VLOOKUP($J28, Factor!$B$12:$H$13, 7, 0)</f>
        <v>1</v>
      </c>
      <c r="AA28" s="17">
        <v>1</v>
      </c>
      <c r="AB28" s="17">
        <f t="shared" si="4"/>
        <v>0</v>
      </c>
      <c r="AC28" s="17" t="s">
        <v>139</v>
      </c>
      <c r="AD28" s="19" t="s">
        <v>387</v>
      </c>
    </row>
    <row r="29" spans="1:30" ht="15.75" customHeight="1">
      <c r="A29" s="13" t="str">
        <f>T29&amp;"_"&amp;F29&amp;VLOOKUP($C29, Factor!$AM$4:$AY$30, 7, 0)&amp;IF(COUNTIFS($C$4:C28, C29, $F$4:F28, F29)+1&gt;=100, COUNTIFS($C$4:C28, C29, $F$4:F28, F29)+1,IF(COUNTIFS($C$4:C28, C29, $F$4:F28, F29)+1&gt;=10, "0"&amp;COUNTIFS($C$4:C28, C29, $F$4:F28, F29)+1, "00"&amp;COUNTIFS($C$4:C28, C29, $F$4:F28, F29)+1))</f>
        <v>enpc_F01_A_Mantis_002</v>
      </c>
      <c r="B29" s="13"/>
      <c r="C29" s="13" t="s">
        <v>357</v>
      </c>
      <c r="D29" s="13" t="str">
        <f t="shared" si="3"/>
        <v>맨티스</v>
      </c>
      <c r="E29" s="21" t="str">
        <f>VLOOKUP($C29, Factor!$AM$4:$AY$30, 8, 0)</f>
        <v>S</v>
      </c>
      <c r="F29" s="13" t="s">
        <v>382</v>
      </c>
      <c r="G29" s="22">
        <v>3</v>
      </c>
      <c r="H29" s="13" t="s">
        <v>55</v>
      </c>
      <c r="I29" s="21" t="str">
        <f>VLOOKUP($C29, Factor!$AM$4:$AY$30, 11, 0)</f>
        <v>A</v>
      </c>
      <c r="J29" s="21" t="str">
        <f>VLOOKUP($C29, Factor!$AM$4:$AY$30, 12, 0)</f>
        <v>ml</v>
      </c>
      <c r="K29" s="21" t="str">
        <f>VLOOKUP($C29, Factor!$AM$4:$AY$30, 13, 0)</f>
        <v>L</v>
      </c>
      <c r="L29" s="13">
        <v>1</v>
      </c>
      <c r="M29" s="13">
        <v>1</v>
      </c>
      <c r="N29" s="13">
        <v>1</v>
      </c>
      <c r="O29" s="13">
        <v>1</v>
      </c>
      <c r="P29" s="13">
        <v>1</v>
      </c>
      <c r="Q29" s="13">
        <v>1</v>
      </c>
      <c r="R29" s="21" t="str">
        <f>VLOOKUP($C29, Factor!$AM$4:$AY$30, 9, 0)</f>
        <v>Small</v>
      </c>
      <c r="S29" s="13" t="s">
        <v>400</v>
      </c>
      <c r="T29" s="21" t="str">
        <f>VLOOKUP($C29, Factor!$AM$4:$AY$30, 10, 0)</f>
        <v>enpc</v>
      </c>
      <c r="U29" s="21" cm="1">
        <f t="array" ref="U29">L29*VLOOKUP($I29, Factor!$B$4:$G$8, 2, 0)*VLOOKUP($J29, Factor!$B$12:$G$13, 2, 0)*VLOOKUP($K29, Factor!$B$17:$G$18, 2, 0)*VLOOKUP($H29, Factor!$J$4:$O$7, 2, 0)*VLOOKUP($F29, Factor!$Q$4:$V$15, 2, 0)*IF(MOD($G29,10)=0, 10, MOD($G29, 10))*((INDEX(Factor!$X$4:$AC$13, _xlfn.XMATCH($G29, Factor!$X$4:$X$13, 1),2)*IF(MOD(G29, 10) = 0, 10, MOD(G29, 10)))+INDEX(Factor!$AE$4:$AJ$13, _xlfn.XMATCH(MonsterData!$G29, Factor!$AE$4:$AE$13, 1),2))</f>
        <v>135.00000000000003</v>
      </c>
      <c r="V29" s="21" cm="1">
        <f t="array" ref="V29">M29*VLOOKUP($I29, Factor!$B$4:$G$8, 3, 0)*VLOOKUP($J29, Factor!$B$12:$G$13, 3, 0)*VLOOKUP($K29, Factor!$B$17:$G$18, 3, 0)*VLOOKUP($H29, Factor!$J$4:$O$7, 3, 0)*VLOOKUP($F29, Factor!$Q$4:$V$15, 3, 0)*IF(MOD($G29,10)=0, 10, MOD($G29, 10))*((INDEX(Factor!$X$4:$AC$13, _xlfn.XMATCH($G29, Factor!$X$4:$X$13, 1),3)*IF(MOD(G29, 10) = 0, 10, MOD(G29, 10)))+INDEX(Factor!$AE$4:$AJ$13, _xlfn.XMATCH(MonsterData!$G29, Factor!$AE$4:$AE$13, 1),3))</f>
        <v>6.7500000000000009</v>
      </c>
      <c r="W29" s="21" cm="1">
        <f t="array" ref="W29">N29*VLOOKUP($I29, Factor!$B$4:$G$8, 4, 0)*VLOOKUP($J29, Factor!$B$12:$G$13, 4, 0)*VLOOKUP($K29, Factor!$B$17:$G$18, 4, 0)*VLOOKUP($H29, Factor!$J$4:$O$7, 4, 0)*VLOOKUP($F29, Factor!$Q$4:$V$15, 4, 0)*IF(MOD($G29,10)=0, 10, MOD($G29, 10))*((INDEX(Factor!$X$4:$AC$13, _xlfn.XMATCH($G29, Factor!$X$4:$X$13, 1),4)*IF(MOD(G29, 10) = 0, 10, MOD(G29, 10)))+INDEX(Factor!$AE$4:$AJ$13, _xlfn.XMATCH(MonsterData!$G29, Factor!$AE$4:$AE$13, 1),4))</f>
        <v>4.0500000000000007</v>
      </c>
      <c r="X29" s="21" cm="1">
        <f t="array" ref="X29">O29*VLOOKUP($I29, Factor!$B$4:$G$8, 5, 0)*VLOOKUP($J29, Factor!$B$12:$G$13, 5, 0)*VLOOKUP($K29, Factor!$B$17:$G$18, 5, 0)*VLOOKUP($H29, Factor!$J$4:$O$7, 5, 0)*VLOOKUP($F29, Factor!$Q$4:$V$15, 5, 0)*IF(MOD($G29,10)=0, 10, MOD($G29, 10))*((INDEX(Factor!$X$4:$AC$13, _xlfn.XMATCH($G29, Factor!$X$4:$X$13, 1),5)*IF(MOD(G29, 10) = 0, 10, MOD(G29, 10)))+INDEX(Factor!$AE$4:$AJ$13, _xlfn.XMATCH(MonsterData!$G29, Factor!$AE$4:$AE$13, 1),5))</f>
        <v>0.90000000000000013</v>
      </c>
      <c r="Y29" s="21" cm="1">
        <f t="array" ref="Y29">P29*VLOOKUP($I29, Factor!$B$4:$G$8, 6, 0)*VLOOKUP($J29, Factor!$B$12:$G$13, 6, 0)*VLOOKUP($K29, Factor!$B$17:$G$18, 6, 0)*VLOOKUP($H29, Factor!$J$4:$O$7, 2, 0)*VLOOKUP($F29, Factor!$Q$4:$V$15, 6, 0)*IF(MOD($G29,10)=0, 10, MOD($G29, 10))*((INDEX(Factor!$X$4:$AC$13, _xlfn.XMATCH($G29, Factor!$X$4:$X$13, 1),6)*IF(MOD(G29, 10) = 0, 10, MOD(G29, 10)))+INDEX(Factor!$AE$4:$AJ$13, _xlfn.XMATCH(MonsterData!$G29, Factor!$AE$4:$AE$13, 1),6))</f>
        <v>4.5000000000000009</v>
      </c>
      <c r="Z29" s="21">
        <f>$Q29*VLOOKUP($J29, Factor!$B$12:$H$13, 7, 0)</f>
        <v>1</v>
      </c>
      <c r="AA29" s="13">
        <v>1</v>
      </c>
      <c r="AB29" s="21">
        <f t="shared" si="4"/>
        <v>0</v>
      </c>
      <c r="AC29" s="13" t="s">
        <v>139</v>
      </c>
      <c r="AD29" s="15" t="s">
        <v>387</v>
      </c>
    </row>
    <row r="30" spans="1:30" ht="15.75" customHeight="1">
      <c r="A30" s="16" t="str">
        <f>T30&amp;"_"&amp;F30&amp;VLOOKUP($C30, Factor!$AM$4:$AY$30, 7, 0)&amp;IF(COUNTIFS($C$4:C29, C30, $F$4:F29, F30)+1&gt;=100, COUNTIFS($C$4:C29, C30, $F$4:F29, F30)+1,IF(COUNTIFS($C$4:C29, C30, $F$4:F29, F30)+1&gt;=10, "0"&amp;COUNTIFS($C$4:C29, C30, $F$4:F29, F30)+1, "00"&amp;COUNTIFS($C$4:C29, C30, $F$4:F29, F30)+1))</f>
        <v>enpc_F01_B_Kobold_002</v>
      </c>
      <c r="B30" s="16"/>
      <c r="C30" s="16" t="s">
        <v>359</v>
      </c>
      <c r="D30" s="16" t="str">
        <f t="shared" si="3"/>
        <v>코볼트</v>
      </c>
      <c r="E30" s="17" t="str">
        <f>VLOOKUP($C30, Factor!$AM$4:$AY$30, 8, 0)</f>
        <v>M</v>
      </c>
      <c r="F30" s="17" t="s">
        <v>382</v>
      </c>
      <c r="G30" s="20">
        <v>8</v>
      </c>
      <c r="H30" s="16" t="s">
        <v>56</v>
      </c>
      <c r="I30" s="17" t="str">
        <f>VLOOKUP($C30, Factor!$AM$4:$AY$30, 11, 0)</f>
        <v>B</v>
      </c>
      <c r="J30" s="17" t="str">
        <f>VLOOKUP($C30, Factor!$AM$4:$AY$30, 12, 0)</f>
        <v>ml</v>
      </c>
      <c r="K30" s="17" t="str">
        <f>VLOOKUP($C30, Factor!$AM$4:$AY$30, 13, 0)</f>
        <v>L</v>
      </c>
      <c r="L30" s="17">
        <v>1</v>
      </c>
      <c r="M30" s="17">
        <v>1</v>
      </c>
      <c r="N30" s="17">
        <v>1</v>
      </c>
      <c r="O30" s="17">
        <v>1</v>
      </c>
      <c r="P30" s="17">
        <v>1</v>
      </c>
      <c r="Q30" s="17">
        <v>1</v>
      </c>
      <c r="R30" s="17" t="str">
        <f>VLOOKUP($C30, Factor!$AM$4:$AY$30, 9, 0)</f>
        <v>Small</v>
      </c>
      <c r="S30" s="17" t="s">
        <v>378</v>
      </c>
      <c r="T30" s="17" t="str">
        <f>VLOOKUP($C30, Factor!$AM$4:$AY$30, 10, 0)</f>
        <v>enpc</v>
      </c>
      <c r="U30" s="17" cm="1">
        <f t="array" ref="U30">L30*VLOOKUP($I30, Factor!$B$4:$G$8, 2, 0)*VLOOKUP($J30, Factor!$B$12:$G$13, 2, 0)*VLOOKUP($K30, Factor!$B$17:$G$18, 2, 0)*VLOOKUP($H30, Factor!$J$4:$O$7, 2, 0)*VLOOKUP($F30, Factor!$Q$4:$V$15, 2, 0)*IF(MOD($G30,10)=0, 10, MOD($G30, 10))*((INDEX(Factor!$X$4:$AC$13, _xlfn.XMATCH($G30, Factor!$X$4:$X$13, 1),2)*IF(MOD(G30, 10) = 0, 10, MOD(G30, 10)))+INDEX(Factor!$AE$4:$AJ$13, _xlfn.XMATCH(MonsterData!$G30, Factor!$AE$4:$AE$13, 1),2))</f>
        <v>4800</v>
      </c>
      <c r="V30" s="17" cm="1">
        <f t="array" ref="V30">M30*VLOOKUP($I30, Factor!$B$4:$G$8, 3, 0)*VLOOKUP($J30, Factor!$B$12:$G$13, 3, 0)*VLOOKUP($K30, Factor!$B$17:$G$18, 3, 0)*VLOOKUP($H30, Factor!$J$4:$O$7, 3, 0)*VLOOKUP($F30, Factor!$Q$4:$V$15, 3, 0)*IF(MOD($G30,10)=0, 10, MOD($G30, 10))*((INDEX(Factor!$X$4:$AC$13, _xlfn.XMATCH($G30, Factor!$X$4:$X$13, 1),3)*IF(MOD(G30, 10) = 0, 10, MOD(G30, 10)))+INDEX(Factor!$AE$4:$AJ$13, _xlfn.XMATCH(MonsterData!$G30, Factor!$AE$4:$AE$13, 1),3))</f>
        <v>240</v>
      </c>
      <c r="W30" s="17" cm="1">
        <f t="array" ref="W30">N30*VLOOKUP($I30, Factor!$B$4:$G$8, 4, 0)*VLOOKUP($J30, Factor!$B$12:$G$13, 4, 0)*VLOOKUP($K30, Factor!$B$17:$G$18, 4, 0)*VLOOKUP($H30, Factor!$J$4:$O$7, 4, 0)*VLOOKUP($F30, Factor!$Q$4:$V$15, 4, 0)*IF(MOD($G30,10)=0, 10, MOD($G30, 10))*((INDEX(Factor!$X$4:$AC$13, _xlfn.XMATCH($G30, Factor!$X$4:$X$13, 1),4)*IF(MOD(G30, 10) = 0, 10, MOD(G30, 10)))+INDEX(Factor!$AE$4:$AJ$13, _xlfn.XMATCH(MonsterData!$G30, Factor!$AE$4:$AE$13, 1),4))</f>
        <v>480</v>
      </c>
      <c r="X30" s="17" cm="1">
        <f t="array" ref="X30">O30*VLOOKUP($I30, Factor!$B$4:$G$8, 5, 0)*VLOOKUP($J30, Factor!$B$12:$G$13, 5, 0)*VLOOKUP($K30, Factor!$B$17:$G$18, 5, 0)*VLOOKUP($H30, Factor!$J$4:$O$7, 5, 0)*VLOOKUP($F30, Factor!$Q$4:$V$15, 5, 0)*IF(MOD($G30,10)=0, 10, MOD($G30, 10))*((INDEX(Factor!$X$4:$AC$13, _xlfn.XMATCH($G30, Factor!$X$4:$X$13, 1),5)*IF(MOD(G30, 10) = 0, 10, MOD(G30, 10)))+INDEX(Factor!$AE$4:$AJ$13, _xlfn.XMATCH(MonsterData!$G30, Factor!$AE$4:$AE$13, 1),5))</f>
        <v>11.520000000000001</v>
      </c>
      <c r="Y30" s="17" cm="1">
        <f t="array" ref="Y30">P30*VLOOKUP($I30, Factor!$B$4:$G$8, 6, 0)*VLOOKUP($J30, Factor!$B$12:$G$13, 6, 0)*VLOOKUP($K30, Factor!$B$17:$G$18, 6, 0)*VLOOKUP($H30, Factor!$J$4:$O$7, 2, 0)*VLOOKUP($F30, Factor!$Q$4:$V$15, 6, 0)*IF(MOD($G30,10)=0, 10, MOD($G30, 10))*((INDEX(Factor!$X$4:$AC$13, _xlfn.XMATCH($G30, Factor!$X$4:$X$13, 1),6)*IF(MOD(G30, 10) = 0, 10, MOD(G30, 10)))+INDEX(Factor!$AE$4:$AJ$13, _xlfn.XMATCH(MonsterData!$G30, Factor!$AE$4:$AE$13, 1),6))</f>
        <v>25.6</v>
      </c>
      <c r="Z30" s="17">
        <f>$Q30*VLOOKUP($J30, Factor!$B$12:$H$13, 7, 0)</f>
        <v>1</v>
      </c>
      <c r="AA30" s="17">
        <v>1</v>
      </c>
      <c r="AB30" s="17">
        <f t="shared" si="4"/>
        <v>0</v>
      </c>
      <c r="AC30" s="17" t="s">
        <v>393</v>
      </c>
      <c r="AD30" s="19" t="s">
        <v>388</v>
      </c>
    </row>
    <row r="31" spans="1:30" ht="15.75" customHeight="1">
      <c r="A31" s="13" t="str">
        <f>T31&amp;"_"&amp;F31&amp;VLOOKUP($C31, Factor!$AM$4:$AY$30, 7, 0)&amp;IF(COUNTIFS($C$4:C30, C31, $F$4:F30, F31)+1&gt;=100, COUNTIFS($C$4:C30, C31, $F$4:F30, F31)+1,IF(COUNTIFS($C$4:C30, C31, $F$4:F30, F31)+1&gt;=10, "0"&amp;COUNTIFS($C$4:C30, C31, $F$4:F30, F31)+1, "00"&amp;COUNTIFS($C$4:C30, C31, $F$4:F30, F31)+1))</f>
        <v>enpc_F01_B_Ghoul_002</v>
      </c>
      <c r="B31" s="13"/>
      <c r="C31" s="13" t="s">
        <v>361</v>
      </c>
      <c r="D31" s="13" t="str">
        <f t="shared" si="3"/>
        <v>구울</v>
      </c>
      <c r="E31" s="21" t="str">
        <f>VLOOKUP($C31, Factor!$AM$4:$AY$30, 8, 0)</f>
        <v>M</v>
      </c>
      <c r="F31" s="13" t="s">
        <v>382</v>
      </c>
      <c r="G31" s="22">
        <v>8</v>
      </c>
      <c r="H31" s="13" t="s">
        <v>55</v>
      </c>
      <c r="I31" s="21" t="str">
        <f>VLOOKUP($C31, Factor!$AM$4:$AY$30, 11, 0)</f>
        <v>B</v>
      </c>
      <c r="J31" s="21" t="str">
        <f>VLOOKUP($C31, Factor!$AM$4:$AY$30, 12, 0)</f>
        <v>ml</v>
      </c>
      <c r="K31" s="21" t="str">
        <f>VLOOKUP($C31, Factor!$AM$4:$AY$30, 13, 0)</f>
        <v>L</v>
      </c>
      <c r="L31" s="13">
        <v>1</v>
      </c>
      <c r="M31" s="13">
        <v>1</v>
      </c>
      <c r="N31" s="13">
        <v>1</v>
      </c>
      <c r="O31" s="13">
        <v>1</v>
      </c>
      <c r="P31" s="13">
        <v>1</v>
      </c>
      <c r="Q31" s="13">
        <v>1</v>
      </c>
      <c r="R31" s="21" t="str">
        <f>VLOOKUP($C31, Factor!$AM$4:$AY$30, 9, 0)</f>
        <v>Midium</v>
      </c>
      <c r="S31" s="13" t="s">
        <v>401</v>
      </c>
      <c r="T31" s="21" t="str">
        <f>VLOOKUP($C31, Factor!$AM$4:$AY$30, 10, 0)</f>
        <v>enpc</v>
      </c>
      <c r="U31" s="21" cm="1">
        <f t="array" ref="U31">L31*VLOOKUP($I31, Factor!$B$4:$G$8, 2, 0)*VLOOKUP($J31, Factor!$B$12:$G$13, 2, 0)*VLOOKUP($K31, Factor!$B$17:$G$18, 2, 0)*VLOOKUP($H31, Factor!$J$4:$O$7, 2, 0)*VLOOKUP($F31, Factor!$Q$4:$V$15, 2, 0)*IF(MOD($G31,10)=0, 10, MOD($G31, 10))*((INDEX(Factor!$X$4:$AC$13, _xlfn.XMATCH($G31, Factor!$X$4:$X$13, 1),2)*IF(MOD(G31, 10) = 0, 10, MOD(G31, 10)))+INDEX(Factor!$AE$4:$AJ$13, _xlfn.XMATCH(MonsterData!$G31, Factor!$AE$4:$AE$13, 1),2))</f>
        <v>4800</v>
      </c>
      <c r="V31" s="21" cm="1">
        <f t="array" ref="V31">M31*VLOOKUP($I31, Factor!$B$4:$G$8, 3, 0)*VLOOKUP($J31, Factor!$B$12:$G$13, 3, 0)*VLOOKUP($K31, Factor!$B$17:$G$18, 3, 0)*VLOOKUP($H31, Factor!$J$4:$O$7, 3, 0)*VLOOKUP($F31, Factor!$Q$4:$V$15, 3, 0)*IF(MOD($G31,10)=0, 10, MOD($G31, 10))*((INDEX(Factor!$X$4:$AC$13, _xlfn.XMATCH($G31, Factor!$X$4:$X$13, 1),3)*IF(MOD(G31, 10) = 0, 10, MOD(G31, 10)))+INDEX(Factor!$AE$4:$AJ$13, _xlfn.XMATCH(MonsterData!$G31, Factor!$AE$4:$AE$13, 1),3))</f>
        <v>240</v>
      </c>
      <c r="W31" s="21" cm="1">
        <f t="array" ref="W31">N31*VLOOKUP($I31, Factor!$B$4:$G$8, 4, 0)*VLOOKUP($J31, Factor!$B$12:$G$13, 4, 0)*VLOOKUP($K31, Factor!$B$17:$G$18, 4, 0)*VLOOKUP($H31, Factor!$J$4:$O$7, 4, 0)*VLOOKUP($F31, Factor!$Q$4:$V$15, 4, 0)*IF(MOD($G31,10)=0, 10, MOD($G31, 10))*((INDEX(Factor!$X$4:$AC$13, _xlfn.XMATCH($G31, Factor!$X$4:$X$13, 1),4)*IF(MOD(G31, 10) = 0, 10, MOD(G31, 10)))+INDEX(Factor!$AE$4:$AJ$13, _xlfn.XMATCH(MonsterData!$G31, Factor!$AE$4:$AE$13, 1),4))</f>
        <v>240</v>
      </c>
      <c r="X31" s="21" cm="1">
        <f t="array" ref="X31">O31*VLOOKUP($I31, Factor!$B$4:$G$8, 5, 0)*VLOOKUP($J31, Factor!$B$12:$G$13, 5, 0)*VLOOKUP($K31, Factor!$B$17:$G$18, 5, 0)*VLOOKUP($H31, Factor!$J$4:$O$7, 5, 0)*VLOOKUP($F31, Factor!$Q$4:$V$15, 5, 0)*IF(MOD($G31,10)=0, 10, MOD($G31, 10))*((INDEX(Factor!$X$4:$AC$13, _xlfn.XMATCH($G31, Factor!$X$4:$X$13, 1),5)*IF(MOD(G31, 10) = 0, 10, MOD(G31, 10)))+INDEX(Factor!$AE$4:$AJ$13, _xlfn.XMATCH(MonsterData!$G31, Factor!$AE$4:$AE$13, 1),5))</f>
        <v>12.8</v>
      </c>
      <c r="Y31" s="21" cm="1">
        <f t="array" ref="Y31">P31*VLOOKUP($I31, Factor!$B$4:$G$8, 6, 0)*VLOOKUP($J31, Factor!$B$12:$G$13, 6, 0)*VLOOKUP($K31, Factor!$B$17:$G$18, 6, 0)*VLOOKUP($H31, Factor!$J$4:$O$7, 2, 0)*VLOOKUP($F31, Factor!$Q$4:$V$15, 6, 0)*IF(MOD($G31,10)=0, 10, MOD($G31, 10))*((INDEX(Factor!$X$4:$AC$13, _xlfn.XMATCH($G31, Factor!$X$4:$X$13, 1),6)*IF(MOD(G31, 10) = 0, 10, MOD(G31, 10)))+INDEX(Factor!$AE$4:$AJ$13, _xlfn.XMATCH(MonsterData!$G31, Factor!$AE$4:$AE$13, 1),6))</f>
        <v>25.6</v>
      </c>
      <c r="Z31" s="21">
        <f>$Q31*VLOOKUP($J31, Factor!$B$12:$H$13, 7, 0)</f>
        <v>1</v>
      </c>
      <c r="AA31" s="13">
        <v>1</v>
      </c>
      <c r="AB31" s="21">
        <f t="shared" si="4"/>
        <v>0</v>
      </c>
      <c r="AC31" s="13" t="s">
        <v>394</v>
      </c>
      <c r="AD31" s="15" t="s">
        <v>389</v>
      </c>
    </row>
    <row r="32" spans="1:30" ht="15.75" customHeight="1">
      <c r="A32" s="16" t="str">
        <f>T32&amp;"_"&amp;F32&amp;VLOOKUP($C32, Factor!$AM$4:$AY$30, 7, 0)&amp;IF(COUNTIFS($C$4:C31, C32, $F$4:F31, F32)+1&gt;=100, COUNTIFS($C$4:C31, C32, $F$4:F31, F32)+1,IF(COUNTIFS($C$4:C31, C32, $F$4:F31, F32)+1&gt;=10, "0"&amp;COUNTIFS($C$4:C31, C32, $F$4:F31, F32)+1, "00"&amp;COUNTIFS($C$4:C31, C32, $F$4:F31, F32)+1))</f>
        <v>enpc_F01_B_Gorgon_002</v>
      </c>
      <c r="B32" s="16"/>
      <c r="C32" s="16" t="s">
        <v>363</v>
      </c>
      <c r="D32" s="16" t="str">
        <f t="shared" si="3"/>
        <v>고르곤</v>
      </c>
      <c r="E32" s="17" t="str">
        <f>VLOOKUP($C32, Factor!$AM$4:$AY$30, 8, 0)</f>
        <v>B</v>
      </c>
      <c r="F32" s="17" t="s">
        <v>382</v>
      </c>
      <c r="G32" s="20">
        <v>8</v>
      </c>
      <c r="H32" s="16" t="s">
        <v>56</v>
      </c>
      <c r="I32" s="17" t="str">
        <f>VLOOKUP($C32, Factor!$AM$4:$AY$30, 11, 0)</f>
        <v>B</v>
      </c>
      <c r="J32" s="17" t="str">
        <f>VLOOKUP($C32, Factor!$AM$4:$AY$30, 12, 0)</f>
        <v>ml</v>
      </c>
      <c r="K32" s="17" t="str">
        <f>VLOOKUP($C32, Factor!$AM$4:$AY$30, 13, 0)</f>
        <v>L</v>
      </c>
      <c r="L32" s="17">
        <v>1</v>
      </c>
      <c r="M32" s="17">
        <v>1</v>
      </c>
      <c r="N32" s="17">
        <v>1</v>
      </c>
      <c r="O32" s="17">
        <v>1</v>
      </c>
      <c r="P32" s="17">
        <v>1</v>
      </c>
      <c r="Q32" s="17">
        <v>1</v>
      </c>
      <c r="R32" s="17" t="str">
        <f>VLOOKUP($C32, Factor!$AM$4:$AY$30, 9, 0)</f>
        <v>Midium</v>
      </c>
      <c r="S32" s="17" t="s">
        <v>380</v>
      </c>
      <c r="T32" s="17" t="str">
        <f>VLOOKUP($C32, Factor!$AM$4:$AY$30, 10, 0)</f>
        <v>enpc</v>
      </c>
      <c r="U32" s="17" cm="1">
        <f t="array" ref="U32">L32*VLOOKUP($I32, Factor!$B$4:$G$8, 2, 0)*VLOOKUP($J32, Factor!$B$12:$G$13, 2, 0)*VLOOKUP($K32, Factor!$B$17:$G$18, 2, 0)*VLOOKUP($H32, Factor!$J$4:$O$7, 2, 0)*VLOOKUP($F32, Factor!$Q$4:$V$15, 2, 0)*IF(MOD($G32,10)=0, 10, MOD($G32, 10))*((INDEX(Factor!$X$4:$AC$13, _xlfn.XMATCH($G32, Factor!$X$4:$X$13, 1),2)*IF(MOD(G32, 10) = 0, 10, MOD(G32, 10)))+INDEX(Factor!$AE$4:$AJ$13, _xlfn.XMATCH(MonsterData!$G32, Factor!$AE$4:$AE$13, 1),2))</f>
        <v>4800</v>
      </c>
      <c r="V32" s="17" cm="1">
        <f t="array" ref="V32">M32*VLOOKUP($I32, Factor!$B$4:$G$8, 3, 0)*VLOOKUP($J32, Factor!$B$12:$G$13, 3, 0)*VLOOKUP($K32, Factor!$B$17:$G$18, 3, 0)*VLOOKUP($H32, Factor!$J$4:$O$7, 3, 0)*VLOOKUP($F32, Factor!$Q$4:$V$15, 3, 0)*IF(MOD($G32,10)=0, 10, MOD($G32, 10))*((INDEX(Factor!$X$4:$AC$13, _xlfn.XMATCH($G32, Factor!$X$4:$X$13, 1),3)*IF(MOD(G32, 10) = 0, 10, MOD(G32, 10)))+INDEX(Factor!$AE$4:$AJ$13, _xlfn.XMATCH(MonsterData!$G32, Factor!$AE$4:$AE$13, 1),3))</f>
        <v>240</v>
      </c>
      <c r="W32" s="17" cm="1">
        <f t="array" ref="W32">N32*VLOOKUP($I32, Factor!$B$4:$G$8, 4, 0)*VLOOKUP($J32, Factor!$B$12:$G$13, 4, 0)*VLOOKUP($K32, Factor!$B$17:$G$18, 4, 0)*VLOOKUP($H32, Factor!$J$4:$O$7, 4, 0)*VLOOKUP($F32, Factor!$Q$4:$V$15, 4, 0)*IF(MOD($G32,10)=0, 10, MOD($G32, 10))*((INDEX(Factor!$X$4:$AC$13, _xlfn.XMATCH($G32, Factor!$X$4:$X$13, 1),4)*IF(MOD(G32, 10) = 0, 10, MOD(G32, 10)))+INDEX(Factor!$AE$4:$AJ$13, _xlfn.XMATCH(MonsterData!$G32, Factor!$AE$4:$AE$13, 1),4))</f>
        <v>480</v>
      </c>
      <c r="X32" s="17" cm="1">
        <f t="array" ref="X32">O32*VLOOKUP($I32, Factor!$B$4:$G$8, 5, 0)*VLOOKUP($J32, Factor!$B$12:$G$13, 5, 0)*VLOOKUP($K32, Factor!$B$17:$G$18, 5, 0)*VLOOKUP($H32, Factor!$J$4:$O$7, 5, 0)*VLOOKUP($F32, Factor!$Q$4:$V$15, 5, 0)*IF(MOD($G32,10)=0, 10, MOD($G32, 10))*((INDEX(Factor!$X$4:$AC$13, _xlfn.XMATCH($G32, Factor!$X$4:$X$13, 1),5)*IF(MOD(G32, 10) = 0, 10, MOD(G32, 10)))+INDEX(Factor!$AE$4:$AJ$13, _xlfn.XMATCH(MonsterData!$G32, Factor!$AE$4:$AE$13, 1),5))</f>
        <v>11.520000000000001</v>
      </c>
      <c r="Y32" s="17" cm="1">
        <f t="array" ref="Y32">P32*VLOOKUP($I32, Factor!$B$4:$G$8, 6, 0)*VLOOKUP($J32, Factor!$B$12:$G$13, 6, 0)*VLOOKUP($K32, Factor!$B$17:$G$18, 6, 0)*VLOOKUP($H32, Factor!$J$4:$O$7, 2, 0)*VLOOKUP($F32, Factor!$Q$4:$V$15, 6, 0)*IF(MOD($G32,10)=0, 10, MOD($G32, 10))*((INDEX(Factor!$X$4:$AC$13, _xlfn.XMATCH($G32, Factor!$X$4:$X$13, 1),6)*IF(MOD(G32, 10) = 0, 10, MOD(G32, 10)))+INDEX(Factor!$AE$4:$AJ$13, _xlfn.XMATCH(MonsterData!$G32, Factor!$AE$4:$AE$13, 1),6))</f>
        <v>25.6</v>
      </c>
      <c r="Z32" s="17">
        <f>$Q32*VLOOKUP($J32, Factor!$B$12:$H$13, 7, 0)</f>
        <v>1</v>
      </c>
      <c r="AA32" s="17">
        <v>1</v>
      </c>
      <c r="AB32" s="17">
        <f t="shared" si="4"/>
        <v>0</v>
      </c>
      <c r="AC32" s="17" t="s">
        <v>395</v>
      </c>
      <c r="AD32" s="19" t="s">
        <v>390</v>
      </c>
    </row>
    <row r="33" spans="1:30" ht="15.75" customHeight="1">
      <c r="A33" s="13" t="str">
        <f>T33&amp;"_"&amp;F33&amp;VLOOKUP($C33, Factor!$AM$4:$AY$30, 7, 0)&amp;IF(COUNTIFS($C$4:C32, C33, $F$4:F32, F33)+1&gt;=100, COUNTIFS($C$4:C32, C33, $F$4:F32, F33)+1,IF(COUNTIFS($C$4:C32, C33, $F$4:F32, F33)+1&gt;=10, "0"&amp;COUNTIFS($C$4:C32, C33, $F$4:F32, F33)+1, "00"&amp;COUNTIFS($C$4:C32, C33, $F$4:F32, F33)+1))</f>
        <v>enpc_F01_B_Gargoyle_002</v>
      </c>
      <c r="B33" s="13"/>
      <c r="C33" s="13" t="s">
        <v>365</v>
      </c>
      <c r="D33" s="13" t="str">
        <f t="shared" si="3"/>
        <v>가고일</v>
      </c>
      <c r="E33" s="21" t="str">
        <f>VLOOKUP($C33, Factor!$AM$4:$AY$30, 8, 0)</f>
        <v>B</v>
      </c>
      <c r="F33" s="13" t="s">
        <v>382</v>
      </c>
      <c r="G33" s="22">
        <v>8</v>
      </c>
      <c r="H33" s="13" t="s">
        <v>55</v>
      </c>
      <c r="I33" s="21" t="str">
        <f>VLOOKUP($C33, Factor!$AM$4:$AY$30, 11, 0)</f>
        <v>B</v>
      </c>
      <c r="J33" s="21" t="str">
        <f>VLOOKUP($C33, Factor!$AM$4:$AY$30, 12, 0)</f>
        <v>ml</v>
      </c>
      <c r="K33" s="21" t="str">
        <f>VLOOKUP($C33, Factor!$AM$4:$AY$30, 13, 0)</f>
        <v>F</v>
      </c>
      <c r="L33" s="13">
        <v>1</v>
      </c>
      <c r="M33" s="13">
        <v>1</v>
      </c>
      <c r="N33" s="13">
        <v>1</v>
      </c>
      <c r="O33" s="13">
        <v>1</v>
      </c>
      <c r="P33" s="13">
        <v>1</v>
      </c>
      <c r="Q33" s="13">
        <v>1</v>
      </c>
      <c r="R33" s="21" t="str">
        <f>VLOOKUP($C33, Factor!$AM$4:$AY$30, 9, 0)</f>
        <v>Big</v>
      </c>
      <c r="S33" s="13" t="s">
        <v>402</v>
      </c>
      <c r="T33" s="21" t="str">
        <f>VLOOKUP($C33, Factor!$AM$4:$AY$30, 10, 0)</f>
        <v>enpc</v>
      </c>
      <c r="U33" s="21" cm="1">
        <f t="array" ref="U33">L33*VLOOKUP($I33, Factor!$B$4:$G$8, 2, 0)*VLOOKUP($J33, Factor!$B$12:$G$13, 2, 0)*VLOOKUP($K33, Factor!$B$17:$G$18, 2, 0)*VLOOKUP($H33, Factor!$J$4:$O$7, 2, 0)*VLOOKUP($F33, Factor!$Q$4:$V$15, 2, 0)*IF(MOD($G33,10)=0, 10, MOD($G33, 10))*((INDEX(Factor!$X$4:$AC$13, _xlfn.XMATCH($G33, Factor!$X$4:$X$13, 1),2)*IF(MOD(G33, 10) = 0, 10, MOD(G33, 10)))+INDEX(Factor!$AE$4:$AJ$13, _xlfn.XMATCH(MonsterData!$G33, Factor!$AE$4:$AE$13, 1),2))</f>
        <v>3200</v>
      </c>
      <c r="V33" s="21" cm="1">
        <f t="array" ref="V33">M33*VLOOKUP($I33, Factor!$B$4:$G$8, 3, 0)*VLOOKUP($J33, Factor!$B$12:$G$13, 3, 0)*VLOOKUP($K33, Factor!$B$17:$G$18, 3, 0)*VLOOKUP($H33, Factor!$J$4:$O$7, 3, 0)*VLOOKUP($F33, Factor!$Q$4:$V$15, 3, 0)*IF(MOD($G33,10)=0, 10, MOD($G33, 10))*((INDEX(Factor!$X$4:$AC$13, _xlfn.XMATCH($G33, Factor!$X$4:$X$13, 1),3)*IF(MOD(G33, 10) = 0, 10, MOD(G33, 10)))+INDEX(Factor!$AE$4:$AJ$13, _xlfn.XMATCH(MonsterData!$G33, Factor!$AE$4:$AE$13, 1),3))</f>
        <v>160</v>
      </c>
      <c r="W33" s="21" cm="1">
        <f t="array" ref="W33">N33*VLOOKUP($I33, Factor!$B$4:$G$8, 4, 0)*VLOOKUP($J33, Factor!$B$12:$G$13, 4, 0)*VLOOKUP($K33, Factor!$B$17:$G$18, 4, 0)*VLOOKUP($H33, Factor!$J$4:$O$7, 4, 0)*VLOOKUP($F33, Factor!$Q$4:$V$15, 4, 0)*IF(MOD($G33,10)=0, 10, MOD($G33, 10))*((INDEX(Factor!$X$4:$AC$13, _xlfn.XMATCH($G33, Factor!$X$4:$X$13, 1),4)*IF(MOD(G33, 10) = 0, 10, MOD(G33, 10)))+INDEX(Factor!$AE$4:$AJ$13, _xlfn.XMATCH(MonsterData!$G33, Factor!$AE$4:$AE$13, 1),4))</f>
        <v>160</v>
      </c>
      <c r="X33" s="21" cm="1">
        <f t="array" ref="X33">O33*VLOOKUP($I33, Factor!$B$4:$G$8, 5, 0)*VLOOKUP($J33, Factor!$B$12:$G$13, 5, 0)*VLOOKUP($K33, Factor!$B$17:$G$18, 5, 0)*VLOOKUP($H33, Factor!$J$4:$O$7, 5, 0)*VLOOKUP($F33, Factor!$Q$4:$V$15, 5, 0)*IF(MOD($G33,10)=0, 10, MOD($G33, 10))*((INDEX(Factor!$X$4:$AC$13, _xlfn.XMATCH($G33, Factor!$X$4:$X$13, 1),5)*IF(MOD(G33, 10) = 0, 10, MOD(G33, 10)))+INDEX(Factor!$AE$4:$AJ$13, _xlfn.XMATCH(MonsterData!$G33, Factor!$AE$4:$AE$13, 1),5))</f>
        <v>12.8</v>
      </c>
      <c r="Y33" s="21" cm="1">
        <f t="array" ref="Y33">P33*VLOOKUP($I33, Factor!$B$4:$G$8, 6, 0)*VLOOKUP($J33, Factor!$B$12:$G$13, 6, 0)*VLOOKUP($K33, Factor!$B$17:$G$18, 6, 0)*VLOOKUP($H33, Factor!$J$4:$O$7, 2, 0)*VLOOKUP($F33, Factor!$Q$4:$V$15, 6, 0)*IF(MOD($G33,10)=0, 10, MOD($G33, 10))*((INDEX(Factor!$X$4:$AC$13, _xlfn.XMATCH($G33, Factor!$X$4:$X$13, 1),6)*IF(MOD(G33, 10) = 0, 10, MOD(G33, 10)))+INDEX(Factor!$AE$4:$AJ$13, _xlfn.XMATCH(MonsterData!$G33, Factor!$AE$4:$AE$13, 1),6))</f>
        <v>76.800000000000011</v>
      </c>
      <c r="Z33" s="21">
        <f>$Q33*VLOOKUP($J33, Factor!$B$12:$H$13, 7, 0)</f>
        <v>1</v>
      </c>
      <c r="AA33" s="13">
        <v>1</v>
      </c>
      <c r="AB33" s="21">
        <f t="shared" si="4"/>
        <v>0</v>
      </c>
      <c r="AC33" s="13" t="s">
        <v>396</v>
      </c>
      <c r="AD33" s="15" t="s">
        <v>391</v>
      </c>
    </row>
    <row r="34" spans="1:30" ht="15.75" customHeight="1">
      <c r="A34" s="16" t="str">
        <f>T34&amp;"_"&amp;F34&amp;VLOOKUP($C34, Factor!$AM$4:$AY$30, 7, 0)&amp;IF(COUNTIFS($C$4:C33, C34, $F$4:F33, F34)+1&gt;=100, COUNTIFS($C$4:C33, C34, $F$4:F33, F34)+1,IF(COUNTIFS($C$4:C33, C34, $F$4:F33, F34)+1&gt;=10, "0"&amp;COUNTIFS($C$4:C33, C34, $F$4:F33, F34)+1, "00"&amp;COUNTIFS($C$4:C33, C34, $F$4:F33, F34)+1))</f>
        <v>enpc_F01_A_Lava_003</v>
      </c>
      <c r="B34" s="16"/>
      <c r="C34" s="16" t="s">
        <v>35</v>
      </c>
      <c r="D34" s="16" t="str">
        <f>B34&amp;C34</f>
        <v>라바</v>
      </c>
      <c r="E34" s="17" t="str">
        <f>VLOOKUP($C34, Factor!$AM$4:$AY$30, 8, 0)</f>
        <v>S</v>
      </c>
      <c r="F34" s="17" t="s">
        <v>382</v>
      </c>
      <c r="G34" s="20">
        <v>5</v>
      </c>
      <c r="H34" s="16" t="s">
        <v>54</v>
      </c>
      <c r="I34" s="17" t="str">
        <f>VLOOKUP($C34, Factor!$AM$4:$AY$30, 11, 0)</f>
        <v>A</v>
      </c>
      <c r="J34" s="17" t="str">
        <f>VLOOKUP($C34, Factor!$AM$4:$AY$30, 12, 0)</f>
        <v>ml</v>
      </c>
      <c r="K34" s="17" t="str">
        <f>VLOOKUP($C34, Factor!$AM$4:$AY$30, 13, 0)</f>
        <v>L</v>
      </c>
      <c r="L34" s="17">
        <v>1</v>
      </c>
      <c r="M34" s="17">
        <v>1</v>
      </c>
      <c r="N34" s="17">
        <v>1</v>
      </c>
      <c r="O34" s="17">
        <v>1</v>
      </c>
      <c r="P34" s="17">
        <v>1</v>
      </c>
      <c r="Q34" s="17">
        <v>1</v>
      </c>
      <c r="R34" s="17" t="str">
        <f>VLOOKUP($C34, Factor!$AM$4:$AY$30, 9, 0)</f>
        <v>Small</v>
      </c>
      <c r="S34" s="17" t="s">
        <v>88</v>
      </c>
      <c r="T34" s="17" t="str">
        <f>VLOOKUP($C34, Factor!$AM$4:$AY$30, 10, 0)</f>
        <v>enpc</v>
      </c>
      <c r="U34" s="17" cm="1">
        <f t="array" ref="U34">L34*VLOOKUP($I34, Factor!$B$4:$G$8, 2, 0)*VLOOKUP($J34, Factor!$B$12:$G$13, 2, 0)*VLOOKUP($K34, Factor!$B$17:$G$18, 2, 0)*VLOOKUP($H34, Factor!$J$4:$O$7, 2, 0)*VLOOKUP($F34, Factor!$Q$4:$V$15, 2, 0)*IF(MOD($G34,10)=0, 10, MOD($G34, 10))*((INDEX(Factor!$X$4:$AC$13, _xlfn.XMATCH($G34, Factor!$X$4:$X$13, 1),2)*IF(MOD(G34, 10) = 0, 10, MOD(G34, 10)))+INDEX(Factor!$AE$4:$AJ$13, _xlfn.XMATCH(MonsterData!$G34, Factor!$AE$4:$AE$13, 1),2))</f>
        <v>300</v>
      </c>
      <c r="V34" s="17" cm="1">
        <f t="array" ref="V34">M34*VLOOKUP($I34, Factor!$B$4:$G$8, 3, 0)*VLOOKUP($J34, Factor!$B$12:$G$13, 3, 0)*VLOOKUP($K34, Factor!$B$17:$G$18, 3, 0)*VLOOKUP($H34, Factor!$J$4:$O$7, 3, 0)*VLOOKUP($F34, Factor!$Q$4:$V$15, 3, 0)*IF(MOD($G34,10)=0, 10, MOD($G34, 10))*((INDEX(Factor!$X$4:$AC$13, _xlfn.XMATCH($G34, Factor!$X$4:$X$13, 1),3)*IF(MOD(G34, 10) = 0, 10, MOD(G34, 10)))+INDEX(Factor!$AE$4:$AJ$13, _xlfn.XMATCH(MonsterData!$G34, Factor!$AE$4:$AE$13, 1),3))</f>
        <v>15</v>
      </c>
      <c r="W34" s="17" cm="1">
        <f t="array" ref="W34">N34*VLOOKUP($I34, Factor!$B$4:$G$8, 4, 0)*VLOOKUP($J34, Factor!$B$12:$G$13, 4, 0)*VLOOKUP($K34, Factor!$B$17:$G$18, 4, 0)*VLOOKUP($H34, Factor!$J$4:$O$7, 4, 0)*VLOOKUP($F34, Factor!$Q$4:$V$15, 4, 0)*IF(MOD($G34,10)=0, 10, MOD($G34, 10))*((INDEX(Factor!$X$4:$AC$13, _xlfn.XMATCH($G34, Factor!$X$4:$X$13, 1),4)*IF(MOD(G34, 10) = 0, 10, MOD(G34, 10)))+INDEX(Factor!$AE$4:$AJ$13, _xlfn.XMATCH(MonsterData!$G34, Factor!$AE$4:$AE$13, 1),4))</f>
        <v>9</v>
      </c>
      <c r="X34" s="17" cm="1">
        <f t="array" ref="X34">O34*VLOOKUP($I34, Factor!$B$4:$G$8, 5, 0)*VLOOKUP($J34, Factor!$B$12:$G$13, 5, 0)*VLOOKUP($K34, Factor!$B$17:$G$18, 5, 0)*VLOOKUP($H34, Factor!$J$4:$O$7, 5, 0)*VLOOKUP($F34, Factor!$Q$4:$V$15, 5, 0)*IF(MOD($G34,10)=0, 10, MOD($G34, 10))*((INDEX(Factor!$X$4:$AC$13, _xlfn.XMATCH($G34, Factor!$X$4:$X$13, 1),5)*IF(MOD(G34, 10) = 0, 10, MOD(G34, 10)))+INDEX(Factor!$AE$4:$AJ$13, _xlfn.XMATCH(MonsterData!$G34, Factor!$AE$4:$AE$13, 1),5))</f>
        <v>2.5</v>
      </c>
      <c r="Y34" s="17" cm="1">
        <f t="array" ref="Y34">P34*VLOOKUP($I34, Factor!$B$4:$G$8, 6, 0)*VLOOKUP($J34, Factor!$B$12:$G$13, 6, 0)*VLOOKUP($K34, Factor!$B$17:$G$18, 6, 0)*VLOOKUP($H34, Factor!$J$4:$O$7, 2, 0)*VLOOKUP($F34, Factor!$Q$4:$V$15, 6, 0)*IF(MOD($G34,10)=0, 10, MOD($G34, 10))*((INDEX(Factor!$X$4:$AC$13, _xlfn.XMATCH($G34, Factor!$X$4:$X$13, 1),6)*IF(MOD(G34, 10) = 0, 10, MOD(G34, 10)))+INDEX(Factor!$AE$4:$AJ$13, _xlfn.XMATCH(MonsterData!$G34, Factor!$AE$4:$AE$13, 1),6))</f>
        <v>10</v>
      </c>
      <c r="Z34" s="17">
        <f>$Q34*VLOOKUP($J34, Factor!$B$12:$H$13, 7, 0)</f>
        <v>1</v>
      </c>
      <c r="AA34" s="17">
        <v>1</v>
      </c>
      <c r="AB34" s="17">
        <f t="shared" si="4"/>
        <v>0</v>
      </c>
      <c r="AC34" s="17" t="s">
        <v>139</v>
      </c>
      <c r="AD34" s="19" t="s">
        <v>142</v>
      </c>
    </row>
    <row r="35" spans="1:30" ht="15.75" customHeight="1">
      <c r="A35" s="13" t="str">
        <f>T35&amp;"_"&amp;F35&amp;VLOOKUP($C35, Factor!$AM$4:$AY$30, 7, 0)&amp;IF(COUNTIFS($C$4:C34, C35, $F$4:F34, F35)+1&gt;=100, COUNTIFS($C$4:C34, C35, $F$4:F34, F35)+1,IF(COUNTIFS($C$4:C34, C35, $F$4:F34, F35)+1&gt;=10, "0"&amp;COUNTIFS($C$4:C34, C35, $F$4:F34, F35)+1, "00"&amp;COUNTIFS($C$4:C34, C35, $F$4:F34, F35)+1))</f>
        <v>enpc_F01_A_Cocoon_003</v>
      </c>
      <c r="B35" s="13"/>
      <c r="C35" s="13" t="s">
        <v>270</v>
      </c>
      <c r="D35" s="13" t="str">
        <f t="shared" ref="D35:D46" si="5">B35&amp;C35</f>
        <v>코쿤</v>
      </c>
      <c r="E35" s="21" t="str">
        <f>VLOOKUP($C35, Factor!$AM$4:$AY$30, 8, 0)</f>
        <v>M</v>
      </c>
      <c r="F35" s="13" t="s">
        <v>382</v>
      </c>
      <c r="G35" s="22">
        <v>5</v>
      </c>
      <c r="H35" s="13" t="s">
        <v>55</v>
      </c>
      <c r="I35" s="21" t="str">
        <f>VLOOKUP($C35, Factor!$AM$4:$AY$30, 11, 0)</f>
        <v>A</v>
      </c>
      <c r="J35" s="21" t="str">
        <f>VLOOKUP($C35, Factor!$AM$4:$AY$30, 12, 0)</f>
        <v>ml</v>
      </c>
      <c r="K35" s="21" t="str">
        <f>VLOOKUP($C35, Factor!$AM$4:$AY$30, 13, 0)</f>
        <v>L</v>
      </c>
      <c r="L35" s="13">
        <v>1</v>
      </c>
      <c r="M35" s="13">
        <v>1</v>
      </c>
      <c r="N35" s="13">
        <v>1</v>
      </c>
      <c r="O35" s="13">
        <v>1</v>
      </c>
      <c r="P35" s="13">
        <v>1</v>
      </c>
      <c r="Q35" s="13">
        <v>1</v>
      </c>
      <c r="R35" s="21" t="str">
        <f>VLOOKUP($C35, Factor!$AM$4:$AY$30, 9, 0)</f>
        <v>Midium</v>
      </c>
      <c r="S35" s="13" t="s">
        <v>408</v>
      </c>
      <c r="T35" s="21" t="str">
        <f>VLOOKUP($C35, Factor!$AM$4:$AY$30, 10, 0)</f>
        <v>enpc</v>
      </c>
      <c r="U35" s="21" cm="1">
        <f t="array" ref="U35">L35*VLOOKUP($I35, Factor!$B$4:$G$8, 2, 0)*VLOOKUP($J35, Factor!$B$12:$G$13, 2, 0)*VLOOKUP($K35, Factor!$B$17:$G$18, 2, 0)*VLOOKUP($H35, Factor!$J$4:$O$7, 2, 0)*VLOOKUP($F35, Factor!$Q$4:$V$15, 2, 0)*IF(MOD($G35,10)=0, 10, MOD($G35, 10))*((INDEX(Factor!$X$4:$AC$13, _xlfn.XMATCH($G35, Factor!$X$4:$X$13, 1),2)*IF(MOD(G35, 10) = 0, 10, MOD(G35, 10)))+INDEX(Factor!$AE$4:$AJ$13, _xlfn.XMATCH(MonsterData!$G35, Factor!$AE$4:$AE$13, 1),2))</f>
        <v>375</v>
      </c>
      <c r="V35" s="21" cm="1">
        <f t="array" ref="V35">M35*VLOOKUP($I35, Factor!$B$4:$G$8, 3, 0)*VLOOKUP($J35, Factor!$B$12:$G$13, 3, 0)*VLOOKUP($K35, Factor!$B$17:$G$18, 3, 0)*VLOOKUP($H35, Factor!$J$4:$O$7, 3, 0)*VLOOKUP($F35, Factor!$Q$4:$V$15, 3, 0)*IF(MOD($G35,10)=0, 10, MOD($G35, 10))*((INDEX(Factor!$X$4:$AC$13, _xlfn.XMATCH($G35, Factor!$X$4:$X$13, 1),3)*IF(MOD(G35, 10) = 0, 10, MOD(G35, 10)))+INDEX(Factor!$AE$4:$AJ$13, _xlfn.XMATCH(MonsterData!$G35, Factor!$AE$4:$AE$13, 1),3))</f>
        <v>18.75</v>
      </c>
      <c r="W35" s="21" cm="1">
        <f t="array" ref="W35">N35*VLOOKUP($I35, Factor!$B$4:$G$8, 4, 0)*VLOOKUP($J35, Factor!$B$12:$G$13, 4, 0)*VLOOKUP($K35, Factor!$B$17:$G$18, 4, 0)*VLOOKUP($H35, Factor!$J$4:$O$7, 4, 0)*VLOOKUP($F35, Factor!$Q$4:$V$15, 4, 0)*IF(MOD($G35,10)=0, 10, MOD($G35, 10))*((INDEX(Factor!$X$4:$AC$13, _xlfn.XMATCH($G35, Factor!$X$4:$X$13, 1),4)*IF(MOD(G35, 10) = 0, 10, MOD(G35, 10)))+INDEX(Factor!$AE$4:$AJ$13, _xlfn.XMATCH(MonsterData!$G35, Factor!$AE$4:$AE$13, 1),4))</f>
        <v>11.25</v>
      </c>
      <c r="X35" s="21" cm="1">
        <f t="array" ref="X35">O35*VLOOKUP($I35, Factor!$B$4:$G$8, 5, 0)*VLOOKUP($J35, Factor!$B$12:$G$13, 5, 0)*VLOOKUP($K35, Factor!$B$17:$G$18, 5, 0)*VLOOKUP($H35, Factor!$J$4:$O$7, 5, 0)*VLOOKUP($F35, Factor!$Q$4:$V$15, 5, 0)*IF(MOD($G35,10)=0, 10, MOD($G35, 10))*((INDEX(Factor!$X$4:$AC$13, _xlfn.XMATCH($G35, Factor!$X$4:$X$13, 1),5)*IF(MOD(G35, 10) = 0, 10, MOD(G35, 10)))+INDEX(Factor!$AE$4:$AJ$13, _xlfn.XMATCH(MonsterData!$G35, Factor!$AE$4:$AE$13, 1),5))</f>
        <v>2.5</v>
      </c>
      <c r="Y35" s="21" cm="1">
        <f t="array" ref="Y35">P35*VLOOKUP($I35, Factor!$B$4:$G$8, 6, 0)*VLOOKUP($J35, Factor!$B$12:$G$13, 6, 0)*VLOOKUP($K35, Factor!$B$17:$G$18, 6, 0)*VLOOKUP($H35, Factor!$J$4:$O$7, 2, 0)*VLOOKUP($F35, Factor!$Q$4:$V$15, 6, 0)*IF(MOD($G35,10)=0, 10, MOD($G35, 10))*((INDEX(Factor!$X$4:$AC$13, _xlfn.XMATCH($G35, Factor!$X$4:$X$13, 1),6)*IF(MOD(G35, 10) = 0, 10, MOD(G35, 10)))+INDEX(Factor!$AE$4:$AJ$13, _xlfn.XMATCH(MonsterData!$G35, Factor!$AE$4:$AE$13, 1),6))</f>
        <v>12.5</v>
      </c>
      <c r="Z35" s="21">
        <f>$Q35*VLOOKUP($J35, Factor!$B$12:$H$13, 7, 0)</f>
        <v>1</v>
      </c>
      <c r="AA35" s="13">
        <v>1</v>
      </c>
      <c r="AB35" s="21">
        <f t="shared" si="4"/>
        <v>0</v>
      </c>
      <c r="AC35" s="13" t="s">
        <v>139</v>
      </c>
      <c r="AD35" s="15" t="s">
        <v>142</v>
      </c>
    </row>
    <row r="36" spans="1:30" ht="15.75" customHeight="1">
      <c r="A36" s="16" t="str">
        <f>T36&amp;"_"&amp;F36&amp;VLOOKUP($C36, Factor!$AM$4:$AY$30, 7, 0)&amp;IF(COUNTIFS($C$4:C35, C36, $F$4:F35, F36)+1&gt;=100, COUNTIFS($C$4:C35, C36, $F$4:F35, F36)+1,IF(COUNTIFS($C$4:C35, C36, $F$4:F35, F36)+1&gt;=10, "0"&amp;COUNTIFS($C$4:C35, C36, $F$4:F35, F36)+1, "00"&amp;COUNTIFS($C$4:C35, C36, $F$4:F35, F36)+1))</f>
        <v>enpc_F01_A_Antlion_003</v>
      </c>
      <c r="B36" s="16"/>
      <c r="C36" s="16" t="s">
        <v>38</v>
      </c>
      <c r="D36" s="16" t="str">
        <f t="shared" si="5"/>
        <v>앤틸리온</v>
      </c>
      <c r="E36" s="17" t="str">
        <f>VLOOKUP($C36, Factor!$AM$4:$AY$30, 8, 0)</f>
        <v>M</v>
      </c>
      <c r="F36" s="17" t="s">
        <v>382</v>
      </c>
      <c r="G36" s="20">
        <v>5</v>
      </c>
      <c r="H36" s="16" t="s">
        <v>55</v>
      </c>
      <c r="I36" s="17" t="str">
        <f>VLOOKUP($C36, Factor!$AM$4:$AY$30, 11, 0)</f>
        <v>A</v>
      </c>
      <c r="J36" s="17" t="str">
        <f>VLOOKUP($C36, Factor!$AM$4:$AY$30, 12, 0)</f>
        <v>ra</v>
      </c>
      <c r="K36" s="17" t="str">
        <f>VLOOKUP($C36, Factor!$AM$4:$AY$30, 13, 0)</f>
        <v>L</v>
      </c>
      <c r="L36" s="17">
        <v>1</v>
      </c>
      <c r="M36" s="17">
        <v>1</v>
      </c>
      <c r="N36" s="17">
        <v>1</v>
      </c>
      <c r="O36" s="17">
        <v>1</v>
      </c>
      <c r="P36" s="17">
        <v>1</v>
      </c>
      <c r="Q36" s="17">
        <v>1</v>
      </c>
      <c r="R36" s="17" t="str">
        <f>VLOOKUP($C36, Factor!$AM$4:$AY$30, 9, 0)</f>
        <v>Midium</v>
      </c>
      <c r="S36" s="17" t="s">
        <v>397</v>
      </c>
      <c r="T36" s="17" t="str">
        <f>VLOOKUP($C36, Factor!$AM$4:$AY$30, 10, 0)</f>
        <v>enpc</v>
      </c>
      <c r="U36" s="17" cm="1">
        <f t="array" ref="U36">L36*VLOOKUP($I36, Factor!$B$4:$G$8, 2, 0)*VLOOKUP($J36, Factor!$B$12:$G$13, 2, 0)*VLOOKUP($K36, Factor!$B$17:$G$18, 2, 0)*VLOOKUP($H36, Factor!$J$4:$O$7, 2, 0)*VLOOKUP($F36, Factor!$Q$4:$V$15, 2, 0)*IF(MOD($G36,10)=0, 10, MOD($G36, 10))*((INDEX(Factor!$X$4:$AC$13, _xlfn.XMATCH($G36, Factor!$X$4:$X$13, 1),2)*IF(MOD(G36, 10) = 0, 10, MOD(G36, 10)))+INDEX(Factor!$AE$4:$AJ$13, _xlfn.XMATCH(MonsterData!$G36, Factor!$AE$4:$AE$13, 1),2))</f>
        <v>300</v>
      </c>
      <c r="V36" s="17" cm="1">
        <f t="array" ref="V36">M36*VLOOKUP($I36, Factor!$B$4:$G$8, 3, 0)*VLOOKUP($J36, Factor!$B$12:$G$13, 3, 0)*VLOOKUP($K36, Factor!$B$17:$G$18, 3, 0)*VLOOKUP($H36, Factor!$J$4:$O$7, 3, 0)*VLOOKUP($F36, Factor!$Q$4:$V$15, 3, 0)*IF(MOD($G36,10)=0, 10, MOD($G36, 10))*((INDEX(Factor!$X$4:$AC$13, _xlfn.XMATCH($G36, Factor!$X$4:$X$13, 1),3)*IF(MOD(G36, 10) = 0, 10, MOD(G36, 10)))+INDEX(Factor!$AE$4:$AJ$13, _xlfn.XMATCH(MonsterData!$G36, Factor!$AE$4:$AE$13, 1),3))</f>
        <v>15</v>
      </c>
      <c r="W36" s="17" cm="1">
        <f t="array" ref="W36">N36*VLOOKUP($I36, Factor!$B$4:$G$8, 4, 0)*VLOOKUP($J36, Factor!$B$12:$G$13, 4, 0)*VLOOKUP($K36, Factor!$B$17:$G$18, 4, 0)*VLOOKUP($H36, Factor!$J$4:$O$7, 4, 0)*VLOOKUP($F36, Factor!$Q$4:$V$15, 4, 0)*IF(MOD($G36,10)=0, 10, MOD($G36, 10))*((INDEX(Factor!$X$4:$AC$13, _xlfn.XMATCH($G36, Factor!$X$4:$X$13, 1),4)*IF(MOD(G36, 10) = 0, 10, MOD(G36, 10)))+INDEX(Factor!$AE$4:$AJ$13, _xlfn.XMATCH(MonsterData!$G36, Factor!$AE$4:$AE$13, 1),4))</f>
        <v>13.499999999999998</v>
      </c>
      <c r="X36" s="17" cm="1">
        <f t="array" ref="X36">O36*VLOOKUP($I36, Factor!$B$4:$G$8, 5, 0)*VLOOKUP($J36, Factor!$B$12:$G$13, 5, 0)*VLOOKUP($K36, Factor!$B$17:$G$18, 5, 0)*VLOOKUP($H36, Factor!$J$4:$O$7, 5, 0)*VLOOKUP($F36, Factor!$Q$4:$V$15, 5, 0)*IF(MOD($G36,10)=0, 10, MOD($G36, 10))*((INDEX(Factor!$X$4:$AC$13, _xlfn.XMATCH($G36, Factor!$X$4:$X$13, 1),5)*IF(MOD(G36, 10) = 0, 10, MOD(G36, 10)))+INDEX(Factor!$AE$4:$AJ$13, _xlfn.XMATCH(MonsterData!$G36, Factor!$AE$4:$AE$13, 1),5))</f>
        <v>3.75</v>
      </c>
      <c r="Y36" s="17" cm="1">
        <f t="array" ref="Y36">P36*VLOOKUP($I36, Factor!$B$4:$G$8, 6, 0)*VLOOKUP($J36, Factor!$B$12:$G$13, 6, 0)*VLOOKUP($K36, Factor!$B$17:$G$18, 6, 0)*VLOOKUP($H36, Factor!$J$4:$O$7, 2, 0)*VLOOKUP($F36, Factor!$Q$4:$V$15, 6, 0)*IF(MOD($G36,10)=0, 10, MOD($G36, 10))*((INDEX(Factor!$X$4:$AC$13, _xlfn.XMATCH($G36, Factor!$X$4:$X$13, 1),6)*IF(MOD(G36, 10) = 0, 10, MOD(G36, 10)))+INDEX(Factor!$AE$4:$AJ$13, _xlfn.XMATCH(MonsterData!$G36, Factor!$AE$4:$AE$13, 1),6))</f>
        <v>12.5</v>
      </c>
      <c r="Z36" s="17">
        <f>$Q36*VLOOKUP($J36, Factor!$B$12:$H$13, 7, 0)</f>
        <v>4</v>
      </c>
      <c r="AA36" s="17">
        <v>1</v>
      </c>
      <c r="AB36" s="17">
        <f t="shared" si="4"/>
        <v>4</v>
      </c>
      <c r="AC36" s="17" t="s">
        <v>139</v>
      </c>
      <c r="AD36" s="19" t="s">
        <v>142</v>
      </c>
    </row>
    <row r="37" spans="1:30" ht="15.75" customHeight="1">
      <c r="A37" s="13" t="str">
        <f>T37&amp;"_"&amp;F37&amp;VLOOKUP($C37, Factor!$AM$4:$AY$30, 7, 0)&amp;IF(COUNTIFS($C$4:C36, C37, $F$4:F36, F37)+1&gt;=100, COUNTIFS($C$4:C36, C37, $F$4:F36, F37)+1,IF(COUNTIFS($C$4:C36, C37, $F$4:F36, F37)+1&gt;=10, "0"&amp;COUNTIFS($C$4:C36, C37, $F$4:F36, F37)+1, "00"&amp;COUNTIFS($C$4:C36, C37, $F$4:F36, F37)+1))</f>
        <v>enpc_F01_A_Nymphe_003</v>
      </c>
      <c r="B37" s="13"/>
      <c r="C37" s="13" t="s">
        <v>39</v>
      </c>
      <c r="D37" s="13" t="str">
        <f t="shared" si="5"/>
        <v>님프</v>
      </c>
      <c r="E37" s="21" t="str">
        <f>VLOOKUP($C37, Factor!$AM$4:$AY$30, 8, 0)</f>
        <v>S</v>
      </c>
      <c r="F37" s="13" t="s">
        <v>382</v>
      </c>
      <c r="G37" s="22">
        <v>5</v>
      </c>
      <c r="H37" s="13" t="s">
        <v>55</v>
      </c>
      <c r="I37" s="21" t="str">
        <f>VLOOKUP($C37, Factor!$AM$4:$AY$30, 11, 0)</f>
        <v>A</v>
      </c>
      <c r="J37" s="21" t="str">
        <f>VLOOKUP($C37, Factor!$AM$4:$AY$30, 12, 0)</f>
        <v>ml</v>
      </c>
      <c r="K37" s="21" t="str">
        <f>VLOOKUP($C37, Factor!$AM$4:$AY$30, 13, 0)</f>
        <v>F</v>
      </c>
      <c r="L37" s="13">
        <v>1</v>
      </c>
      <c r="M37" s="13">
        <v>1</v>
      </c>
      <c r="N37" s="13">
        <v>1</v>
      </c>
      <c r="O37" s="13">
        <v>1</v>
      </c>
      <c r="P37" s="13">
        <v>1</v>
      </c>
      <c r="Q37" s="13">
        <v>1</v>
      </c>
      <c r="R37" s="21" t="str">
        <f>VLOOKUP($C37, Factor!$AM$4:$AY$30, 9, 0)</f>
        <v>Small</v>
      </c>
      <c r="S37" s="13" t="s">
        <v>409</v>
      </c>
      <c r="T37" s="21" t="str">
        <f>VLOOKUP($C37, Factor!$AM$4:$AY$30, 10, 0)</f>
        <v>enpc</v>
      </c>
      <c r="U37" s="21" cm="1">
        <f t="array" ref="U37">L37*VLOOKUP($I37, Factor!$B$4:$G$8, 2, 0)*VLOOKUP($J37, Factor!$B$12:$G$13, 2, 0)*VLOOKUP($K37, Factor!$B$17:$G$18, 2, 0)*VLOOKUP($H37, Factor!$J$4:$O$7, 2, 0)*VLOOKUP($F37, Factor!$Q$4:$V$15, 2, 0)*IF(MOD($G37,10)=0, 10, MOD($G37, 10))*((INDEX(Factor!$X$4:$AC$13, _xlfn.XMATCH($G37, Factor!$X$4:$X$13, 1),2)*IF(MOD(G37, 10) = 0, 10, MOD(G37, 10)))+INDEX(Factor!$AE$4:$AJ$13, _xlfn.XMATCH(MonsterData!$G37, Factor!$AE$4:$AE$13, 1),2))</f>
        <v>250</v>
      </c>
      <c r="V37" s="21" cm="1">
        <f t="array" ref="V37">M37*VLOOKUP($I37, Factor!$B$4:$G$8, 3, 0)*VLOOKUP($J37, Factor!$B$12:$G$13, 3, 0)*VLOOKUP($K37, Factor!$B$17:$G$18, 3, 0)*VLOOKUP($H37, Factor!$J$4:$O$7, 3, 0)*VLOOKUP($F37, Factor!$Q$4:$V$15, 3, 0)*IF(MOD($G37,10)=0, 10, MOD($G37, 10))*((INDEX(Factor!$X$4:$AC$13, _xlfn.XMATCH($G37, Factor!$X$4:$X$13, 1),3)*IF(MOD(G37, 10) = 0, 10, MOD(G37, 10)))+INDEX(Factor!$AE$4:$AJ$13, _xlfn.XMATCH(MonsterData!$G37, Factor!$AE$4:$AE$13, 1),3))</f>
        <v>12.5</v>
      </c>
      <c r="W37" s="21" cm="1">
        <f t="array" ref="W37">N37*VLOOKUP($I37, Factor!$B$4:$G$8, 4, 0)*VLOOKUP($J37, Factor!$B$12:$G$13, 4, 0)*VLOOKUP($K37, Factor!$B$17:$G$18, 4, 0)*VLOOKUP($H37, Factor!$J$4:$O$7, 4, 0)*VLOOKUP($F37, Factor!$Q$4:$V$15, 4, 0)*IF(MOD($G37,10)=0, 10, MOD($G37, 10))*((INDEX(Factor!$X$4:$AC$13, _xlfn.XMATCH($G37, Factor!$X$4:$X$13, 1),4)*IF(MOD(G37, 10) = 0, 10, MOD(G37, 10)))+INDEX(Factor!$AE$4:$AJ$13, _xlfn.XMATCH(MonsterData!$G37, Factor!$AE$4:$AE$13, 1),4))</f>
        <v>7.5</v>
      </c>
      <c r="X37" s="21" cm="1">
        <f t="array" ref="X37">O37*VLOOKUP($I37, Factor!$B$4:$G$8, 5, 0)*VLOOKUP($J37, Factor!$B$12:$G$13, 5, 0)*VLOOKUP($K37, Factor!$B$17:$G$18, 5, 0)*VLOOKUP($H37, Factor!$J$4:$O$7, 5, 0)*VLOOKUP($F37, Factor!$Q$4:$V$15, 5, 0)*IF(MOD($G37,10)=0, 10, MOD($G37, 10))*((INDEX(Factor!$X$4:$AC$13, _xlfn.XMATCH($G37, Factor!$X$4:$X$13, 1),5)*IF(MOD(G37, 10) = 0, 10, MOD(G37, 10)))+INDEX(Factor!$AE$4:$AJ$13, _xlfn.XMATCH(MonsterData!$G37, Factor!$AE$4:$AE$13, 1),5))</f>
        <v>2.5</v>
      </c>
      <c r="Y37" s="21" cm="1">
        <f t="array" ref="Y37">P37*VLOOKUP($I37, Factor!$B$4:$G$8, 6, 0)*VLOOKUP($J37, Factor!$B$12:$G$13, 6, 0)*VLOOKUP($K37, Factor!$B$17:$G$18, 6, 0)*VLOOKUP($H37, Factor!$J$4:$O$7, 2, 0)*VLOOKUP($F37, Factor!$Q$4:$V$15, 6, 0)*IF(MOD($G37,10)=0, 10, MOD($G37, 10))*((INDEX(Factor!$X$4:$AC$13, _xlfn.XMATCH($G37, Factor!$X$4:$X$13, 1),6)*IF(MOD(G37, 10) = 0, 10, MOD(G37, 10)))+INDEX(Factor!$AE$4:$AJ$13, _xlfn.XMATCH(MonsterData!$G37, Factor!$AE$4:$AE$13, 1),6))</f>
        <v>37.5</v>
      </c>
      <c r="Z37" s="21">
        <f>$Q37*VLOOKUP($J37, Factor!$B$12:$H$13, 7, 0)</f>
        <v>1</v>
      </c>
      <c r="AA37" s="13">
        <v>1</v>
      </c>
      <c r="AB37" s="21">
        <f t="shared" si="4"/>
        <v>0</v>
      </c>
      <c r="AC37" s="13" t="s">
        <v>139</v>
      </c>
      <c r="AD37" s="15" t="s">
        <v>142</v>
      </c>
    </row>
    <row r="38" spans="1:30" ht="15.75" customHeight="1">
      <c r="A38" s="16" t="str">
        <f>T38&amp;"_"&amp;F38&amp;VLOOKUP($C38, Factor!$AM$4:$AY$30, 7, 0)&amp;IF(COUNTIFS($C$4:C37, C38, $F$4:F37, F38)+1&gt;=100, COUNTIFS($C$4:C37, C38, $F$4:F37, F38)+1,IF(COUNTIFS($C$4:C37, C38, $F$4:F37, F38)+1&gt;=10, "0"&amp;COUNTIFS($C$4:C37, C38, $F$4:F37, F38)+1, "00"&amp;COUNTIFS($C$4:C37, C38, $F$4:F37, F38)+1))</f>
        <v>enpc_F01_B_Golem_003</v>
      </c>
      <c r="B38" s="16"/>
      <c r="C38" s="16" t="s">
        <v>40</v>
      </c>
      <c r="D38" s="16" t="str">
        <f t="shared" si="5"/>
        <v>골렘</v>
      </c>
      <c r="E38" s="17" t="str">
        <f>VLOOKUP($C38, Factor!$AM$4:$AY$30, 8, 0)</f>
        <v>B</v>
      </c>
      <c r="F38" s="17" t="s">
        <v>382</v>
      </c>
      <c r="G38" s="20">
        <v>11</v>
      </c>
      <c r="H38" s="16" t="s">
        <v>57</v>
      </c>
      <c r="I38" s="17" t="str">
        <f>VLOOKUP($C38, Factor!$AM$4:$AY$30, 11, 0)</f>
        <v>B</v>
      </c>
      <c r="J38" s="17" t="str">
        <f>VLOOKUP($C38, Factor!$AM$4:$AY$30, 12, 0)</f>
        <v>ml</v>
      </c>
      <c r="K38" s="17" t="str">
        <f>VLOOKUP($C38, Factor!$AM$4:$AY$30, 13, 0)</f>
        <v>L</v>
      </c>
      <c r="L38" s="17">
        <v>1</v>
      </c>
      <c r="M38" s="17">
        <v>1</v>
      </c>
      <c r="N38" s="17">
        <v>1</v>
      </c>
      <c r="O38" s="17">
        <v>1</v>
      </c>
      <c r="P38" s="17">
        <v>1</v>
      </c>
      <c r="Q38" s="17">
        <v>1</v>
      </c>
      <c r="R38" s="17" t="str">
        <f>VLOOKUP($C38, Factor!$AM$4:$AY$30, 9, 0)</f>
        <v>Big</v>
      </c>
      <c r="S38" s="17" t="s">
        <v>398</v>
      </c>
      <c r="T38" s="17" t="str">
        <f>VLOOKUP($C38, Factor!$AM$4:$AY$30, 10, 0)</f>
        <v>enpc</v>
      </c>
      <c r="U38" s="17" cm="1">
        <f t="array" ref="U38">L38*VLOOKUP($I38, Factor!$B$4:$G$8, 2, 0)*VLOOKUP($J38, Factor!$B$12:$G$13, 2, 0)*VLOOKUP($K38, Factor!$B$17:$G$18, 2, 0)*VLOOKUP($H38, Factor!$J$4:$O$7, 2, 0)*VLOOKUP($F38, Factor!$Q$4:$V$15, 2, 0)*IF(MOD($G38,10)=0, 10, MOD($G38, 10))*((INDEX(Factor!$X$4:$AC$13, _xlfn.XMATCH($G38, Factor!$X$4:$X$13, 1),2)*IF(MOD(G38, 10) = 0, 10, MOD(G38, 10)))+INDEX(Factor!$AE$4:$AJ$13, _xlfn.XMATCH(MonsterData!$G38, Factor!$AE$4:$AE$13, 1),2))</f>
        <v>1800</v>
      </c>
      <c r="V38" s="17" cm="1">
        <f t="array" ref="V38">M38*VLOOKUP($I38, Factor!$B$4:$G$8, 3, 0)*VLOOKUP($J38, Factor!$B$12:$G$13, 3, 0)*VLOOKUP($K38, Factor!$B$17:$G$18, 3, 0)*VLOOKUP($H38, Factor!$J$4:$O$7, 3, 0)*VLOOKUP($F38, Factor!$Q$4:$V$15, 3, 0)*IF(MOD($G38,10)=0, 10, MOD($G38, 10))*((INDEX(Factor!$X$4:$AC$13, _xlfn.XMATCH($G38, Factor!$X$4:$X$13, 1),3)*IF(MOD(G38, 10) = 0, 10, MOD(G38, 10)))+INDEX(Factor!$AE$4:$AJ$13, _xlfn.XMATCH(MonsterData!$G38, Factor!$AE$4:$AE$13, 1),3))</f>
        <v>90</v>
      </c>
      <c r="W38" s="17" cm="1">
        <f t="array" ref="W38">N38*VLOOKUP($I38, Factor!$B$4:$G$8, 4, 0)*VLOOKUP($J38, Factor!$B$12:$G$13, 4, 0)*VLOOKUP($K38, Factor!$B$17:$G$18, 4, 0)*VLOOKUP($H38, Factor!$J$4:$O$7, 4, 0)*VLOOKUP($F38, Factor!$Q$4:$V$15, 4, 0)*IF(MOD($G38,10)=0, 10, MOD($G38, 10))*((INDEX(Factor!$X$4:$AC$13, _xlfn.XMATCH($G38, Factor!$X$4:$X$13, 1),4)*IF(MOD(G38, 10) = 0, 10, MOD(G38, 10)))+INDEX(Factor!$AE$4:$AJ$13, _xlfn.XMATCH(MonsterData!$G38, Factor!$AE$4:$AE$13, 1),4))</f>
        <v>4.5</v>
      </c>
      <c r="X38" s="17" cm="1">
        <f t="array" ref="X38">O38*VLOOKUP($I38, Factor!$B$4:$G$8, 5, 0)*VLOOKUP($J38, Factor!$B$12:$G$13, 5, 0)*VLOOKUP($K38, Factor!$B$17:$G$18, 5, 0)*VLOOKUP($H38, Factor!$J$4:$O$7, 5, 0)*VLOOKUP($F38, Factor!$Q$4:$V$15, 5, 0)*IF(MOD($G38,10)=0, 10, MOD($G38, 10))*((INDEX(Factor!$X$4:$AC$13, _xlfn.XMATCH($G38, Factor!$X$4:$X$13, 1),5)*IF(MOD(G38, 10) = 0, 10, MOD(G38, 10)))+INDEX(Factor!$AE$4:$AJ$13, _xlfn.XMATCH(MonsterData!$G38, Factor!$AE$4:$AE$13, 1),5))</f>
        <v>4.8</v>
      </c>
      <c r="Y38" s="17" cm="1">
        <f t="array" ref="Y38">P38*VLOOKUP($I38, Factor!$B$4:$G$8, 6, 0)*VLOOKUP($J38, Factor!$B$12:$G$13, 6, 0)*VLOOKUP($K38, Factor!$B$17:$G$18, 6, 0)*VLOOKUP($H38, Factor!$J$4:$O$7, 2, 0)*VLOOKUP($F38, Factor!$Q$4:$V$15, 6, 0)*IF(MOD($G38,10)=0, 10, MOD($G38, 10))*((INDEX(Factor!$X$4:$AC$13, _xlfn.XMATCH($G38, Factor!$X$4:$X$13, 1),6)*IF(MOD(G38, 10) = 0, 10, MOD(G38, 10)))+INDEX(Factor!$AE$4:$AJ$13, _xlfn.XMATCH(MonsterData!$G38, Factor!$AE$4:$AE$13, 1),6))</f>
        <v>9.6</v>
      </c>
      <c r="Z38" s="17">
        <f>$Q38*VLOOKUP($J38, Factor!$B$12:$H$13, 7, 0)</f>
        <v>1</v>
      </c>
      <c r="AA38" s="17">
        <v>1</v>
      </c>
      <c r="AB38" s="17">
        <f t="shared" si="4"/>
        <v>0</v>
      </c>
      <c r="AC38" s="17" t="s">
        <v>140</v>
      </c>
      <c r="AD38" s="19" t="s">
        <v>143</v>
      </c>
    </row>
    <row r="39" spans="1:30" ht="15.75" customHeight="1">
      <c r="A39" s="13" t="str">
        <f>T39&amp;"_"&amp;F39&amp;VLOOKUP($C39, Factor!$AM$4:$AY$30, 7, 0)&amp;IF(COUNTIFS($C$4:C38, C39, $F$4:F38, F39)+1&gt;=100, COUNTIFS($C$4:C38, C39, $F$4:F38, F39)+1,IF(COUNTIFS($C$4:C38, C39, $F$4:F38, F39)+1&gt;=10, "0"&amp;COUNTIFS($C$4:C38, C39, $F$4:F38, F39)+1, "00"&amp;COUNTIFS($C$4:C38, C39, $F$4:F38, F39)+1))</f>
        <v>enpc_F01_B_Banshee_003</v>
      </c>
      <c r="B39" s="13"/>
      <c r="C39" s="13" t="s">
        <v>42</v>
      </c>
      <c r="D39" s="13" t="str">
        <f t="shared" si="5"/>
        <v>밴시</v>
      </c>
      <c r="E39" s="21" t="str">
        <f>VLOOKUP($C39, Factor!$AM$4:$AY$30, 8, 0)</f>
        <v>S</v>
      </c>
      <c r="F39" s="13" t="s">
        <v>382</v>
      </c>
      <c r="G39" s="22">
        <v>11</v>
      </c>
      <c r="H39" s="13" t="s">
        <v>56</v>
      </c>
      <c r="I39" s="21" t="str">
        <f>VLOOKUP($C39, Factor!$AM$4:$AY$30, 11, 0)</f>
        <v>B</v>
      </c>
      <c r="J39" s="21" t="str">
        <f>VLOOKUP($C39, Factor!$AM$4:$AY$30, 12, 0)</f>
        <v>ra</v>
      </c>
      <c r="K39" s="21" t="str">
        <f>VLOOKUP($C39, Factor!$AM$4:$AY$30, 13, 0)</f>
        <v>L</v>
      </c>
      <c r="L39" s="13">
        <v>1</v>
      </c>
      <c r="M39" s="13">
        <v>1</v>
      </c>
      <c r="N39" s="13">
        <v>1</v>
      </c>
      <c r="O39" s="13">
        <v>1</v>
      </c>
      <c r="P39" s="13">
        <v>1</v>
      </c>
      <c r="Q39" s="13">
        <v>1</v>
      </c>
      <c r="R39" s="21" t="str">
        <f>VLOOKUP($C39, Factor!$AM$4:$AY$30, 9, 0)</f>
        <v>Midium</v>
      </c>
      <c r="S39" s="13" t="s">
        <v>410</v>
      </c>
      <c r="T39" s="21" t="str">
        <f>VLOOKUP($C39, Factor!$AM$4:$AY$30, 10, 0)</f>
        <v>enpc</v>
      </c>
      <c r="U39" s="21" cm="1">
        <f t="array" ref="U39">L39*VLOOKUP($I39, Factor!$B$4:$G$8, 2, 0)*VLOOKUP($J39, Factor!$B$12:$G$13, 2, 0)*VLOOKUP($K39, Factor!$B$17:$G$18, 2, 0)*VLOOKUP($H39, Factor!$J$4:$O$7, 2, 0)*VLOOKUP($F39, Factor!$Q$4:$V$15, 2, 0)*IF(MOD($G39,10)=0, 10, MOD($G39, 10))*((INDEX(Factor!$X$4:$AC$13, _xlfn.XMATCH($G39, Factor!$X$4:$X$13, 1),2)*IF(MOD(G39, 10) = 0, 10, MOD(G39, 10)))+INDEX(Factor!$AE$4:$AJ$13, _xlfn.XMATCH(MonsterData!$G39, Factor!$AE$4:$AE$13, 1),2))</f>
        <v>720</v>
      </c>
      <c r="V39" s="21" cm="1">
        <f t="array" ref="V39">M39*VLOOKUP($I39, Factor!$B$4:$G$8, 3, 0)*VLOOKUP($J39, Factor!$B$12:$G$13, 3, 0)*VLOOKUP($K39, Factor!$B$17:$G$18, 3, 0)*VLOOKUP($H39, Factor!$J$4:$O$7, 3, 0)*VLOOKUP($F39, Factor!$Q$4:$V$15, 3, 0)*IF(MOD($G39,10)=0, 10, MOD($G39, 10))*((INDEX(Factor!$X$4:$AC$13, _xlfn.XMATCH($G39, Factor!$X$4:$X$13, 1),3)*IF(MOD(G39, 10) = 0, 10, MOD(G39, 10)))+INDEX(Factor!$AE$4:$AJ$13, _xlfn.XMATCH(MonsterData!$G39, Factor!$AE$4:$AE$13, 1),3))</f>
        <v>36</v>
      </c>
      <c r="W39" s="21" cm="1">
        <f t="array" ref="W39">N39*VLOOKUP($I39, Factor!$B$4:$G$8, 4, 0)*VLOOKUP($J39, Factor!$B$12:$G$13, 4, 0)*VLOOKUP($K39, Factor!$B$17:$G$18, 4, 0)*VLOOKUP($H39, Factor!$J$4:$O$7, 4, 0)*VLOOKUP($F39, Factor!$Q$4:$V$15, 4, 0)*IF(MOD($G39,10)=0, 10, MOD($G39, 10))*((INDEX(Factor!$X$4:$AC$13, _xlfn.XMATCH($G39, Factor!$X$4:$X$13, 1),4)*IF(MOD(G39, 10) = 0, 10, MOD(G39, 10)))+INDEX(Factor!$AE$4:$AJ$13, _xlfn.XMATCH(MonsterData!$G39, Factor!$AE$4:$AE$13, 1),4))</f>
        <v>108</v>
      </c>
      <c r="X39" s="21" cm="1">
        <f t="array" ref="X39">O39*VLOOKUP($I39, Factor!$B$4:$G$8, 5, 0)*VLOOKUP($J39, Factor!$B$12:$G$13, 5, 0)*VLOOKUP($K39, Factor!$B$17:$G$18, 5, 0)*VLOOKUP($H39, Factor!$J$4:$O$7, 5, 0)*VLOOKUP($F39, Factor!$Q$4:$V$15, 5, 0)*IF(MOD($G39,10)=0, 10, MOD($G39, 10))*((INDEX(Factor!$X$4:$AC$13, _xlfn.XMATCH($G39, Factor!$X$4:$X$13, 1),5)*IF(MOD(G39, 10) = 0, 10, MOD(G39, 10)))+INDEX(Factor!$AE$4:$AJ$13, _xlfn.XMATCH(MonsterData!$G39, Factor!$AE$4:$AE$13, 1),5))</f>
        <v>3.24</v>
      </c>
      <c r="Y39" s="21" cm="1">
        <f t="array" ref="Y39">P39*VLOOKUP($I39, Factor!$B$4:$G$8, 6, 0)*VLOOKUP($J39, Factor!$B$12:$G$13, 6, 0)*VLOOKUP($K39, Factor!$B$17:$G$18, 6, 0)*VLOOKUP($H39, Factor!$J$4:$O$7, 2, 0)*VLOOKUP($F39, Factor!$Q$4:$V$15, 6, 0)*IF(MOD($G39,10)=0, 10, MOD($G39, 10))*((INDEX(Factor!$X$4:$AC$13, _xlfn.XMATCH($G39, Factor!$X$4:$X$13, 1),6)*IF(MOD(G39, 10) = 0, 10, MOD(G39, 10)))+INDEX(Factor!$AE$4:$AJ$13, _xlfn.XMATCH(MonsterData!$G39, Factor!$AE$4:$AE$13, 1),6))</f>
        <v>4.8</v>
      </c>
      <c r="Z39" s="21">
        <f>$Q39*VLOOKUP($J39, Factor!$B$12:$H$13, 7, 0)</f>
        <v>4</v>
      </c>
      <c r="AA39" s="13">
        <v>1</v>
      </c>
      <c r="AB39" s="21">
        <f t="shared" si="4"/>
        <v>4</v>
      </c>
      <c r="AC39" s="13" t="s">
        <v>141</v>
      </c>
      <c r="AD39" s="15" t="s">
        <v>144</v>
      </c>
    </row>
    <row r="40" spans="1:30" ht="15.75" customHeight="1">
      <c r="A40" s="16" t="str">
        <f>T40&amp;"_"&amp;F40&amp;VLOOKUP($C40, Factor!$AM$4:$AY$30, 7, 0)&amp;IF(COUNTIFS($C$4:C39, C40, $F$4:F39, F40)+1&gt;=100, COUNTIFS($C$4:C39, C40, $F$4:F39, F40)+1,IF(COUNTIFS($C$4:C39, C40, $F$4:F39, F40)+1&gt;=10, "0"&amp;COUNTIFS($C$4:C39, C40, $F$4:F39, F40)+1, "00"&amp;COUNTIFS($C$4:C39, C40, $F$4:F39, F40)+1))</f>
        <v>enpc_F01_A_Scarab_003</v>
      </c>
      <c r="B40" s="16"/>
      <c r="C40" s="16" t="s">
        <v>353</v>
      </c>
      <c r="D40" s="16" t="str">
        <f t="shared" si="5"/>
        <v>스캐럽</v>
      </c>
      <c r="E40" s="17" t="str">
        <f>VLOOKUP($C40, Factor!$AM$4:$AY$30, 8, 0)</f>
        <v>S</v>
      </c>
      <c r="F40" s="17" t="s">
        <v>382</v>
      </c>
      <c r="G40" s="20">
        <v>5</v>
      </c>
      <c r="H40" s="16" t="s">
        <v>55</v>
      </c>
      <c r="I40" s="17" t="str">
        <f>VLOOKUP($C40, Factor!$AM$4:$AY$30, 11, 0)</f>
        <v>A</v>
      </c>
      <c r="J40" s="17" t="str">
        <f>VLOOKUP($C40, Factor!$AM$4:$AY$30, 12, 0)</f>
        <v>ml</v>
      </c>
      <c r="K40" s="17" t="str">
        <f>VLOOKUP($C40, Factor!$AM$4:$AY$30, 13, 0)</f>
        <v>L</v>
      </c>
      <c r="L40" s="17">
        <v>1</v>
      </c>
      <c r="M40" s="17">
        <v>1</v>
      </c>
      <c r="N40" s="17">
        <v>1</v>
      </c>
      <c r="O40" s="17">
        <v>1</v>
      </c>
      <c r="P40" s="17">
        <v>1</v>
      </c>
      <c r="Q40" s="17">
        <v>1</v>
      </c>
      <c r="R40" s="17" t="str">
        <f>VLOOKUP($C40, Factor!$AM$4:$AY$30, 9, 0)</f>
        <v>Midium</v>
      </c>
      <c r="S40" s="17" t="s">
        <v>399</v>
      </c>
      <c r="T40" s="17" t="str">
        <f>VLOOKUP($C40, Factor!$AM$4:$AY$30, 10, 0)</f>
        <v>enpc</v>
      </c>
      <c r="U40" s="17" cm="1">
        <f t="array" ref="U40">L40*VLOOKUP($I40, Factor!$B$4:$G$8, 2, 0)*VLOOKUP($J40, Factor!$B$12:$G$13, 2, 0)*VLOOKUP($K40, Factor!$B$17:$G$18, 2, 0)*VLOOKUP($H40, Factor!$J$4:$O$7, 2, 0)*VLOOKUP($F40, Factor!$Q$4:$V$15, 2, 0)*IF(MOD($G40,10)=0, 10, MOD($G40, 10))*((INDEX(Factor!$X$4:$AC$13, _xlfn.XMATCH($G40, Factor!$X$4:$X$13, 1),2)*IF(MOD(G40, 10) = 0, 10, MOD(G40, 10)))+INDEX(Factor!$AE$4:$AJ$13, _xlfn.XMATCH(MonsterData!$G40, Factor!$AE$4:$AE$13, 1),2))</f>
        <v>375</v>
      </c>
      <c r="V40" s="17" cm="1">
        <f t="array" ref="V40">M40*VLOOKUP($I40, Factor!$B$4:$G$8, 3, 0)*VLOOKUP($J40, Factor!$B$12:$G$13, 3, 0)*VLOOKUP($K40, Factor!$B$17:$G$18, 3, 0)*VLOOKUP($H40, Factor!$J$4:$O$7, 3, 0)*VLOOKUP($F40, Factor!$Q$4:$V$15, 3, 0)*IF(MOD($G40,10)=0, 10, MOD($G40, 10))*((INDEX(Factor!$X$4:$AC$13, _xlfn.XMATCH($G40, Factor!$X$4:$X$13, 1),3)*IF(MOD(G40, 10) = 0, 10, MOD(G40, 10)))+INDEX(Factor!$AE$4:$AJ$13, _xlfn.XMATCH(MonsterData!$G40, Factor!$AE$4:$AE$13, 1),3))</f>
        <v>18.75</v>
      </c>
      <c r="W40" s="17" cm="1">
        <f t="array" ref="W40">N40*VLOOKUP($I40, Factor!$B$4:$G$8, 4, 0)*VLOOKUP($J40, Factor!$B$12:$G$13, 4, 0)*VLOOKUP($K40, Factor!$B$17:$G$18, 4, 0)*VLOOKUP($H40, Factor!$J$4:$O$7, 4, 0)*VLOOKUP($F40, Factor!$Q$4:$V$15, 4, 0)*IF(MOD($G40,10)=0, 10, MOD($G40, 10))*((INDEX(Factor!$X$4:$AC$13, _xlfn.XMATCH($G40, Factor!$X$4:$X$13, 1),4)*IF(MOD(G40, 10) = 0, 10, MOD(G40, 10)))+INDEX(Factor!$AE$4:$AJ$13, _xlfn.XMATCH(MonsterData!$G40, Factor!$AE$4:$AE$13, 1),4))</f>
        <v>11.25</v>
      </c>
      <c r="X40" s="17" cm="1">
        <f t="array" ref="X40">O40*VLOOKUP($I40, Factor!$B$4:$G$8, 5, 0)*VLOOKUP($J40, Factor!$B$12:$G$13, 5, 0)*VLOOKUP($K40, Factor!$B$17:$G$18, 5, 0)*VLOOKUP($H40, Factor!$J$4:$O$7, 5, 0)*VLOOKUP($F40, Factor!$Q$4:$V$15, 5, 0)*IF(MOD($G40,10)=0, 10, MOD($G40, 10))*((INDEX(Factor!$X$4:$AC$13, _xlfn.XMATCH($G40, Factor!$X$4:$X$13, 1),5)*IF(MOD(G40, 10) = 0, 10, MOD(G40, 10)))+INDEX(Factor!$AE$4:$AJ$13, _xlfn.XMATCH(MonsterData!$G40, Factor!$AE$4:$AE$13, 1),5))</f>
        <v>2.5</v>
      </c>
      <c r="Y40" s="17" cm="1">
        <f t="array" ref="Y40">P40*VLOOKUP($I40, Factor!$B$4:$G$8, 6, 0)*VLOOKUP($J40, Factor!$B$12:$G$13, 6, 0)*VLOOKUP($K40, Factor!$B$17:$G$18, 6, 0)*VLOOKUP($H40, Factor!$J$4:$O$7, 2, 0)*VLOOKUP($F40, Factor!$Q$4:$V$15, 6, 0)*IF(MOD($G40,10)=0, 10, MOD($G40, 10))*((INDEX(Factor!$X$4:$AC$13, _xlfn.XMATCH($G40, Factor!$X$4:$X$13, 1),6)*IF(MOD(G40, 10) = 0, 10, MOD(G40, 10)))+INDEX(Factor!$AE$4:$AJ$13, _xlfn.XMATCH(MonsterData!$G40, Factor!$AE$4:$AE$13, 1),6))</f>
        <v>12.5</v>
      </c>
      <c r="Z40" s="17">
        <f>$Q40*VLOOKUP($J40, Factor!$B$12:$H$13, 7, 0)</f>
        <v>1</v>
      </c>
      <c r="AA40" s="17">
        <v>1</v>
      </c>
      <c r="AB40" s="17">
        <f t="shared" si="4"/>
        <v>0</v>
      </c>
      <c r="AC40" s="17" t="s">
        <v>139</v>
      </c>
      <c r="AD40" s="19" t="s">
        <v>387</v>
      </c>
    </row>
    <row r="41" spans="1:30" ht="15.75" customHeight="1">
      <c r="A41" s="13" t="str">
        <f>T41&amp;"_"&amp;F41&amp;VLOOKUP($C41, Factor!$AM$4:$AY$30, 7, 0)&amp;IF(COUNTIFS($C$4:C40, C41, $F$4:F40, F41)+1&gt;=100, COUNTIFS($C$4:C40, C41, $F$4:F40, F41)+1,IF(COUNTIFS($C$4:C40, C41, $F$4:F40, F41)+1&gt;=10, "0"&amp;COUNTIFS($C$4:C40, C41, $F$4:F40, F41)+1, "00"&amp;COUNTIFS($C$4:C40, C41, $F$4:F40, F41)+1))</f>
        <v>enpc_F01_A_Swarmlet_003</v>
      </c>
      <c r="B41" s="13"/>
      <c r="C41" s="13" t="s">
        <v>355</v>
      </c>
      <c r="D41" s="13" t="str">
        <f t="shared" si="5"/>
        <v>스웜렛</v>
      </c>
      <c r="E41" s="21" t="str">
        <f>VLOOKUP($C41, Factor!$AM$4:$AY$30, 8, 0)</f>
        <v>B</v>
      </c>
      <c r="F41" s="13" t="s">
        <v>382</v>
      </c>
      <c r="G41" s="22">
        <v>5</v>
      </c>
      <c r="H41" s="13" t="s">
        <v>56</v>
      </c>
      <c r="I41" s="21" t="str">
        <f>VLOOKUP($C41, Factor!$AM$4:$AY$30, 11, 0)</f>
        <v>A</v>
      </c>
      <c r="J41" s="21" t="str">
        <f>VLOOKUP($C41, Factor!$AM$4:$AY$30, 12, 0)</f>
        <v>ml</v>
      </c>
      <c r="K41" s="21" t="str">
        <f>VLOOKUP($C41, Factor!$AM$4:$AY$30, 13, 0)</f>
        <v>L</v>
      </c>
      <c r="L41" s="13">
        <v>1</v>
      </c>
      <c r="M41" s="13">
        <v>1</v>
      </c>
      <c r="N41" s="13">
        <v>1</v>
      </c>
      <c r="O41" s="13">
        <v>1</v>
      </c>
      <c r="P41" s="13">
        <v>1</v>
      </c>
      <c r="Q41" s="13">
        <v>1</v>
      </c>
      <c r="R41" s="21" t="str">
        <f>VLOOKUP($C41, Factor!$AM$4:$AY$30, 9, 0)</f>
        <v>Small</v>
      </c>
      <c r="S41" s="13" t="s">
        <v>405</v>
      </c>
      <c r="T41" s="21" t="str">
        <f>VLOOKUP($C41, Factor!$AM$4:$AY$30, 10, 0)</f>
        <v>enpc</v>
      </c>
      <c r="U41" s="21" cm="1">
        <f t="array" ref="U41">L41*VLOOKUP($I41, Factor!$B$4:$G$8, 2, 0)*VLOOKUP($J41, Factor!$B$12:$G$13, 2, 0)*VLOOKUP($K41, Factor!$B$17:$G$18, 2, 0)*VLOOKUP($H41, Factor!$J$4:$O$7, 2, 0)*VLOOKUP($F41, Factor!$Q$4:$V$15, 2, 0)*IF(MOD($G41,10)=0, 10, MOD($G41, 10))*((INDEX(Factor!$X$4:$AC$13, _xlfn.XMATCH($G41, Factor!$X$4:$X$13, 1),2)*IF(MOD(G41, 10) = 0, 10, MOD(G41, 10)))+INDEX(Factor!$AE$4:$AJ$13, _xlfn.XMATCH(MonsterData!$G41, Factor!$AE$4:$AE$13, 1),2))</f>
        <v>375</v>
      </c>
      <c r="V41" s="21" cm="1">
        <f t="array" ref="V41">M41*VLOOKUP($I41, Factor!$B$4:$G$8, 3, 0)*VLOOKUP($J41, Factor!$B$12:$G$13, 3, 0)*VLOOKUP($K41, Factor!$B$17:$G$18, 3, 0)*VLOOKUP($H41, Factor!$J$4:$O$7, 3, 0)*VLOOKUP($F41, Factor!$Q$4:$V$15, 3, 0)*IF(MOD($G41,10)=0, 10, MOD($G41, 10))*((INDEX(Factor!$X$4:$AC$13, _xlfn.XMATCH($G41, Factor!$X$4:$X$13, 1),3)*IF(MOD(G41, 10) = 0, 10, MOD(G41, 10)))+INDEX(Factor!$AE$4:$AJ$13, _xlfn.XMATCH(MonsterData!$G41, Factor!$AE$4:$AE$13, 1),3))</f>
        <v>18.75</v>
      </c>
      <c r="W41" s="21" cm="1">
        <f t="array" ref="W41">N41*VLOOKUP($I41, Factor!$B$4:$G$8, 4, 0)*VLOOKUP($J41, Factor!$B$12:$G$13, 4, 0)*VLOOKUP($K41, Factor!$B$17:$G$18, 4, 0)*VLOOKUP($H41, Factor!$J$4:$O$7, 4, 0)*VLOOKUP($F41, Factor!$Q$4:$V$15, 4, 0)*IF(MOD($G41,10)=0, 10, MOD($G41, 10))*((INDEX(Factor!$X$4:$AC$13, _xlfn.XMATCH($G41, Factor!$X$4:$X$13, 1),4)*IF(MOD(G41, 10) = 0, 10, MOD(G41, 10)))+INDEX(Factor!$AE$4:$AJ$13, _xlfn.XMATCH(MonsterData!$G41, Factor!$AE$4:$AE$13, 1),4))</f>
        <v>22.5</v>
      </c>
      <c r="X41" s="21" cm="1">
        <f t="array" ref="X41">O41*VLOOKUP($I41, Factor!$B$4:$G$8, 5, 0)*VLOOKUP($J41, Factor!$B$12:$G$13, 5, 0)*VLOOKUP($K41, Factor!$B$17:$G$18, 5, 0)*VLOOKUP($H41, Factor!$J$4:$O$7, 5, 0)*VLOOKUP($F41, Factor!$Q$4:$V$15, 5, 0)*IF(MOD($G41,10)=0, 10, MOD($G41, 10))*((INDEX(Factor!$X$4:$AC$13, _xlfn.XMATCH($G41, Factor!$X$4:$X$13, 1),5)*IF(MOD(G41, 10) = 0, 10, MOD(G41, 10)))+INDEX(Factor!$AE$4:$AJ$13, _xlfn.XMATCH(MonsterData!$G41, Factor!$AE$4:$AE$13, 1),5))</f>
        <v>2.25</v>
      </c>
      <c r="Y41" s="21" cm="1">
        <f t="array" ref="Y41">P41*VLOOKUP($I41, Factor!$B$4:$G$8, 6, 0)*VLOOKUP($J41, Factor!$B$12:$G$13, 6, 0)*VLOOKUP($K41, Factor!$B$17:$G$18, 6, 0)*VLOOKUP($H41, Factor!$J$4:$O$7, 2, 0)*VLOOKUP($F41, Factor!$Q$4:$V$15, 6, 0)*IF(MOD($G41,10)=0, 10, MOD($G41, 10))*((INDEX(Factor!$X$4:$AC$13, _xlfn.XMATCH($G41, Factor!$X$4:$X$13, 1),6)*IF(MOD(G41, 10) = 0, 10, MOD(G41, 10)))+INDEX(Factor!$AE$4:$AJ$13, _xlfn.XMATCH(MonsterData!$G41, Factor!$AE$4:$AE$13, 1),6))</f>
        <v>12.5</v>
      </c>
      <c r="Z41" s="21">
        <f>$Q41*VLOOKUP($J41, Factor!$B$12:$H$13, 7, 0)</f>
        <v>1</v>
      </c>
      <c r="AA41" s="13">
        <v>1</v>
      </c>
      <c r="AB41" s="21">
        <f t="shared" si="4"/>
        <v>0</v>
      </c>
      <c r="AC41" s="13" t="s">
        <v>139</v>
      </c>
      <c r="AD41" s="15" t="s">
        <v>387</v>
      </c>
    </row>
    <row r="42" spans="1:30" ht="15.75" customHeight="1">
      <c r="A42" s="16" t="str">
        <f>T42&amp;"_"&amp;F42&amp;VLOOKUP($C42, Factor!$AM$4:$AY$30, 7, 0)&amp;IF(COUNTIFS($C$4:C41, C42, $F$4:F41, F42)+1&gt;=100, COUNTIFS($C$4:C41, C42, $F$4:F41, F42)+1,IF(COUNTIFS($C$4:C41, C42, $F$4:F41, F42)+1&gt;=10, "0"&amp;COUNTIFS($C$4:C41, C42, $F$4:F41, F42)+1, "00"&amp;COUNTIFS($C$4:C41, C42, $F$4:F41, F42)+1))</f>
        <v>enpc_F01_A_Mantis_003</v>
      </c>
      <c r="B42" s="16"/>
      <c r="C42" s="16" t="s">
        <v>357</v>
      </c>
      <c r="D42" s="16" t="str">
        <f t="shared" si="5"/>
        <v>맨티스</v>
      </c>
      <c r="E42" s="17" t="str">
        <f>VLOOKUP($C42, Factor!$AM$4:$AY$30, 8, 0)</f>
        <v>S</v>
      </c>
      <c r="F42" s="17" t="s">
        <v>382</v>
      </c>
      <c r="G42" s="20">
        <v>5</v>
      </c>
      <c r="H42" s="16" t="s">
        <v>55</v>
      </c>
      <c r="I42" s="17" t="str">
        <f>VLOOKUP($C42, Factor!$AM$4:$AY$30, 11, 0)</f>
        <v>A</v>
      </c>
      <c r="J42" s="17" t="str">
        <f>VLOOKUP($C42, Factor!$AM$4:$AY$30, 12, 0)</f>
        <v>ml</v>
      </c>
      <c r="K42" s="17" t="str">
        <f>VLOOKUP($C42, Factor!$AM$4:$AY$30, 13, 0)</f>
        <v>L</v>
      </c>
      <c r="L42" s="17">
        <v>1</v>
      </c>
      <c r="M42" s="17">
        <v>1</v>
      </c>
      <c r="N42" s="17">
        <v>1</v>
      </c>
      <c r="O42" s="17">
        <v>1</v>
      </c>
      <c r="P42" s="17">
        <v>1</v>
      </c>
      <c r="Q42" s="17">
        <v>1</v>
      </c>
      <c r="R42" s="17" t="str">
        <f>VLOOKUP($C42, Factor!$AM$4:$AY$30, 9, 0)</f>
        <v>Small</v>
      </c>
      <c r="S42" s="17" t="s">
        <v>400</v>
      </c>
      <c r="T42" s="17" t="str">
        <f>VLOOKUP($C42, Factor!$AM$4:$AY$30, 10, 0)</f>
        <v>enpc</v>
      </c>
      <c r="U42" s="17" cm="1">
        <f t="array" ref="U42">L42*VLOOKUP($I42, Factor!$B$4:$G$8, 2, 0)*VLOOKUP($J42, Factor!$B$12:$G$13, 2, 0)*VLOOKUP($K42, Factor!$B$17:$G$18, 2, 0)*VLOOKUP($H42, Factor!$J$4:$O$7, 2, 0)*VLOOKUP($F42, Factor!$Q$4:$V$15, 2, 0)*IF(MOD($G42,10)=0, 10, MOD($G42, 10))*((INDEX(Factor!$X$4:$AC$13, _xlfn.XMATCH($G42, Factor!$X$4:$X$13, 1),2)*IF(MOD(G42, 10) = 0, 10, MOD(G42, 10)))+INDEX(Factor!$AE$4:$AJ$13, _xlfn.XMATCH(MonsterData!$G42, Factor!$AE$4:$AE$13, 1),2))</f>
        <v>375</v>
      </c>
      <c r="V42" s="17" cm="1">
        <f t="array" ref="V42">M42*VLOOKUP($I42, Factor!$B$4:$G$8, 3, 0)*VLOOKUP($J42, Factor!$B$12:$G$13, 3, 0)*VLOOKUP($K42, Factor!$B$17:$G$18, 3, 0)*VLOOKUP($H42, Factor!$J$4:$O$7, 3, 0)*VLOOKUP($F42, Factor!$Q$4:$V$15, 3, 0)*IF(MOD($G42,10)=0, 10, MOD($G42, 10))*((INDEX(Factor!$X$4:$AC$13, _xlfn.XMATCH($G42, Factor!$X$4:$X$13, 1),3)*IF(MOD(G42, 10) = 0, 10, MOD(G42, 10)))+INDEX(Factor!$AE$4:$AJ$13, _xlfn.XMATCH(MonsterData!$G42, Factor!$AE$4:$AE$13, 1),3))</f>
        <v>18.75</v>
      </c>
      <c r="W42" s="17" cm="1">
        <f t="array" ref="W42">N42*VLOOKUP($I42, Factor!$B$4:$G$8, 4, 0)*VLOOKUP($J42, Factor!$B$12:$G$13, 4, 0)*VLOOKUP($K42, Factor!$B$17:$G$18, 4, 0)*VLOOKUP($H42, Factor!$J$4:$O$7, 4, 0)*VLOOKUP($F42, Factor!$Q$4:$V$15, 4, 0)*IF(MOD($G42,10)=0, 10, MOD($G42, 10))*((INDEX(Factor!$X$4:$AC$13, _xlfn.XMATCH($G42, Factor!$X$4:$X$13, 1),4)*IF(MOD(G42, 10) = 0, 10, MOD(G42, 10)))+INDEX(Factor!$AE$4:$AJ$13, _xlfn.XMATCH(MonsterData!$G42, Factor!$AE$4:$AE$13, 1),4))</f>
        <v>11.25</v>
      </c>
      <c r="X42" s="17" cm="1">
        <f t="array" ref="X42">O42*VLOOKUP($I42, Factor!$B$4:$G$8, 5, 0)*VLOOKUP($J42, Factor!$B$12:$G$13, 5, 0)*VLOOKUP($K42, Factor!$B$17:$G$18, 5, 0)*VLOOKUP($H42, Factor!$J$4:$O$7, 5, 0)*VLOOKUP($F42, Factor!$Q$4:$V$15, 5, 0)*IF(MOD($G42,10)=0, 10, MOD($G42, 10))*((INDEX(Factor!$X$4:$AC$13, _xlfn.XMATCH($G42, Factor!$X$4:$X$13, 1),5)*IF(MOD(G42, 10) = 0, 10, MOD(G42, 10)))+INDEX(Factor!$AE$4:$AJ$13, _xlfn.XMATCH(MonsterData!$G42, Factor!$AE$4:$AE$13, 1),5))</f>
        <v>2.5</v>
      </c>
      <c r="Y42" s="17" cm="1">
        <f t="array" ref="Y42">P42*VLOOKUP($I42, Factor!$B$4:$G$8, 6, 0)*VLOOKUP($J42, Factor!$B$12:$G$13, 6, 0)*VLOOKUP($K42, Factor!$B$17:$G$18, 6, 0)*VLOOKUP($H42, Factor!$J$4:$O$7, 2, 0)*VLOOKUP($F42, Factor!$Q$4:$V$15, 6, 0)*IF(MOD($G42,10)=0, 10, MOD($G42, 10))*((INDEX(Factor!$X$4:$AC$13, _xlfn.XMATCH($G42, Factor!$X$4:$X$13, 1),6)*IF(MOD(G42, 10) = 0, 10, MOD(G42, 10)))+INDEX(Factor!$AE$4:$AJ$13, _xlfn.XMATCH(MonsterData!$G42, Factor!$AE$4:$AE$13, 1),6))</f>
        <v>12.5</v>
      </c>
      <c r="Z42" s="17">
        <f>$Q42*VLOOKUP($J42, Factor!$B$12:$H$13, 7, 0)</f>
        <v>1</v>
      </c>
      <c r="AA42" s="17">
        <v>1</v>
      </c>
      <c r="AB42" s="17">
        <f t="shared" si="4"/>
        <v>0</v>
      </c>
      <c r="AC42" s="17" t="s">
        <v>139</v>
      </c>
      <c r="AD42" s="19" t="s">
        <v>387</v>
      </c>
    </row>
    <row r="43" spans="1:30" ht="15.75" customHeight="1">
      <c r="A43" s="13" t="str">
        <f>T43&amp;"_"&amp;F43&amp;VLOOKUP($C43, Factor!$AM$4:$AY$30, 7, 0)&amp;IF(COUNTIFS($C$4:C42, C43, $F$4:F42, F43)+1&gt;=100, COUNTIFS($C$4:C42, C43, $F$4:F42, F43)+1,IF(COUNTIFS($C$4:C42, C43, $F$4:F42, F43)+1&gt;=10, "0"&amp;COUNTIFS($C$4:C42, C43, $F$4:F42, F43)+1, "00"&amp;COUNTIFS($C$4:C42, C43, $F$4:F42, F43)+1))</f>
        <v>enpc_F01_B_Kobold_003</v>
      </c>
      <c r="B43" s="13"/>
      <c r="C43" s="13" t="s">
        <v>359</v>
      </c>
      <c r="D43" s="13" t="str">
        <f t="shared" si="5"/>
        <v>코볼트</v>
      </c>
      <c r="E43" s="21" t="str">
        <f>VLOOKUP($C43, Factor!$AM$4:$AY$30, 8, 0)</f>
        <v>M</v>
      </c>
      <c r="F43" s="13" t="s">
        <v>382</v>
      </c>
      <c r="G43" s="22">
        <v>11</v>
      </c>
      <c r="H43" s="13" t="s">
        <v>56</v>
      </c>
      <c r="I43" s="21" t="str">
        <f>VLOOKUP($C43, Factor!$AM$4:$AY$30, 11, 0)</f>
        <v>B</v>
      </c>
      <c r="J43" s="21" t="str">
        <f>VLOOKUP($C43, Factor!$AM$4:$AY$30, 12, 0)</f>
        <v>ml</v>
      </c>
      <c r="K43" s="21" t="str">
        <f>VLOOKUP($C43, Factor!$AM$4:$AY$30, 13, 0)</f>
        <v>L</v>
      </c>
      <c r="L43" s="13">
        <v>1</v>
      </c>
      <c r="M43" s="13">
        <v>1</v>
      </c>
      <c r="N43" s="13">
        <v>1</v>
      </c>
      <c r="O43" s="13">
        <v>1</v>
      </c>
      <c r="P43" s="13">
        <v>1</v>
      </c>
      <c r="Q43" s="13">
        <v>1</v>
      </c>
      <c r="R43" s="21" t="str">
        <f>VLOOKUP($C43, Factor!$AM$4:$AY$30, 9, 0)</f>
        <v>Small</v>
      </c>
      <c r="S43" s="13" t="s">
        <v>406</v>
      </c>
      <c r="T43" s="21" t="str">
        <f>VLOOKUP($C43, Factor!$AM$4:$AY$30, 10, 0)</f>
        <v>enpc</v>
      </c>
      <c r="U43" s="21" cm="1">
        <f t="array" ref="U43">L43*VLOOKUP($I43, Factor!$B$4:$G$8, 2, 0)*VLOOKUP($J43, Factor!$B$12:$G$13, 2, 0)*VLOOKUP($K43, Factor!$B$17:$G$18, 2, 0)*VLOOKUP($H43, Factor!$J$4:$O$7, 2, 0)*VLOOKUP($F43, Factor!$Q$4:$V$15, 2, 0)*IF(MOD($G43,10)=0, 10, MOD($G43, 10))*((INDEX(Factor!$X$4:$AC$13, _xlfn.XMATCH($G43, Factor!$X$4:$X$13, 1),2)*IF(MOD(G43, 10) = 0, 10, MOD(G43, 10)))+INDEX(Factor!$AE$4:$AJ$13, _xlfn.XMATCH(MonsterData!$G43, Factor!$AE$4:$AE$13, 1),2))</f>
        <v>900</v>
      </c>
      <c r="V43" s="21" cm="1">
        <f t="array" ref="V43">M43*VLOOKUP($I43, Factor!$B$4:$G$8, 3, 0)*VLOOKUP($J43, Factor!$B$12:$G$13, 3, 0)*VLOOKUP($K43, Factor!$B$17:$G$18, 3, 0)*VLOOKUP($H43, Factor!$J$4:$O$7, 3, 0)*VLOOKUP($F43, Factor!$Q$4:$V$15, 3, 0)*IF(MOD($G43,10)=0, 10, MOD($G43, 10))*((INDEX(Factor!$X$4:$AC$13, _xlfn.XMATCH($G43, Factor!$X$4:$X$13, 1),3)*IF(MOD(G43, 10) = 0, 10, MOD(G43, 10)))+INDEX(Factor!$AE$4:$AJ$13, _xlfn.XMATCH(MonsterData!$G43, Factor!$AE$4:$AE$13, 1),3))</f>
        <v>45</v>
      </c>
      <c r="W43" s="21" cm="1">
        <f t="array" ref="W43">N43*VLOOKUP($I43, Factor!$B$4:$G$8, 4, 0)*VLOOKUP($J43, Factor!$B$12:$G$13, 4, 0)*VLOOKUP($K43, Factor!$B$17:$G$18, 4, 0)*VLOOKUP($H43, Factor!$J$4:$O$7, 4, 0)*VLOOKUP($F43, Factor!$Q$4:$V$15, 4, 0)*IF(MOD($G43,10)=0, 10, MOD($G43, 10))*((INDEX(Factor!$X$4:$AC$13, _xlfn.XMATCH($G43, Factor!$X$4:$X$13, 1),4)*IF(MOD(G43, 10) = 0, 10, MOD(G43, 10)))+INDEX(Factor!$AE$4:$AJ$13, _xlfn.XMATCH(MonsterData!$G43, Factor!$AE$4:$AE$13, 1),4))</f>
        <v>90</v>
      </c>
      <c r="X43" s="21" cm="1">
        <f t="array" ref="X43">O43*VLOOKUP($I43, Factor!$B$4:$G$8, 5, 0)*VLOOKUP($J43, Factor!$B$12:$G$13, 5, 0)*VLOOKUP($K43, Factor!$B$17:$G$18, 5, 0)*VLOOKUP($H43, Factor!$J$4:$O$7, 5, 0)*VLOOKUP($F43, Factor!$Q$4:$V$15, 5, 0)*IF(MOD($G43,10)=0, 10, MOD($G43, 10))*((INDEX(Factor!$X$4:$AC$13, _xlfn.XMATCH($G43, Factor!$X$4:$X$13, 1),5)*IF(MOD(G43, 10) = 0, 10, MOD(G43, 10)))+INDEX(Factor!$AE$4:$AJ$13, _xlfn.XMATCH(MonsterData!$G43, Factor!$AE$4:$AE$13, 1),5))</f>
        <v>2.16</v>
      </c>
      <c r="Y43" s="21" cm="1">
        <f t="array" ref="Y43">P43*VLOOKUP($I43, Factor!$B$4:$G$8, 6, 0)*VLOOKUP($J43, Factor!$B$12:$G$13, 6, 0)*VLOOKUP($K43, Factor!$B$17:$G$18, 6, 0)*VLOOKUP($H43, Factor!$J$4:$O$7, 2, 0)*VLOOKUP($F43, Factor!$Q$4:$V$15, 6, 0)*IF(MOD($G43,10)=0, 10, MOD($G43, 10))*((INDEX(Factor!$X$4:$AC$13, _xlfn.XMATCH($G43, Factor!$X$4:$X$13, 1),6)*IF(MOD(G43, 10) = 0, 10, MOD(G43, 10)))+INDEX(Factor!$AE$4:$AJ$13, _xlfn.XMATCH(MonsterData!$G43, Factor!$AE$4:$AE$13, 1),6))</f>
        <v>4.8</v>
      </c>
      <c r="Z43" s="21">
        <f>$Q43*VLOOKUP($J43, Factor!$B$12:$H$13, 7, 0)</f>
        <v>1</v>
      </c>
      <c r="AA43" s="13">
        <v>1</v>
      </c>
      <c r="AB43" s="21">
        <f t="shared" si="4"/>
        <v>0</v>
      </c>
      <c r="AC43" s="13" t="s">
        <v>393</v>
      </c>
      <c r="AD43" s="15" t="s">
        <v>388</v>
      </c>
    </row>
    <row r="44" spans="1:30" ht="15.75" customHeight="1">
      <c r="A44" s="16" t="str">
        <f>T44&amp;"_"&amp;F44&amp;VLOOKUP($C44, Factor!$AM$4:$AY$30, 7, 0)&amp;IF(COUNTIFS($C$4:C43, C44, $F$4:F43, F44)+1&gt;=100, COUNTIFS($C$4:C43, C44, $F$4:F43, F44)+1,IF(COUNTIFS($C$4:C43, C44, $F$4:F43, F44)+1&gt;=10, "0"&amp;COUNTIFS($C$4:C43, C44, $F$4:F43, F44)+1, "00"&amp;COUNTIFS($C$4:C43, C44, $F$4:F43, F44)+1))</f>
        <v>enpc_F01_B_Ghoul_003</v>
      </c>
      <c r="B44" s="16"/>
      <c r="C44" s="16" t="s">
        <v>361</v>
      </c>
      <c r="D44" s="16" t="str">
        <f t="shared" si="5"/>
        <v>구울</v>
      </c>
      <c r="E44" s="17" t="str">
        <f>VLOOKUP($C44, Factor!$AM$4:$AY$30, 8, 0)</f>
        <v>M</v>
      </c>
      <c r="F44" s="17" t="s">
        <v>382</v>
      </c>
      <c r="G44" s="20">
        <v>11</v>
      </c>
      <c r="H44" s="16" t="s">
        <v>55</v>
      </c>
      <c r="I44" s="17" t="str">
        <f>VLOOKUP($C44, Factor!$AM$4:$AY$30, 11, 0)</f>
        <v>B</v>
      </c>
      <c r="J44" s="17" t="str">
        <f>VLOOKUP($C44, Factor!$AM$4:$AY$30, 12, 0)</f>
        <v>ml</v>
      </c>
      <c r="K44" s="17" t="str">
        <f>VLOOKUP($C44, Factor!$AM$4:$AY$30, 13, 0)</f>
        <v>L</v>
      </c>
      <c r="L44" s="17">
        <v>1</v>
      </c>
      <c r="M44" s="17">
        <v>1</v>
      </c>
      <c r="N44" s="17">
        <v>1</v>
      </c>
      <c r="O44" s="17">
        <v>1</v>
      </c>
      <c r="P44" s="17">
        <v>1</v>
      </c>
      <c r="Q44" s="17">
        <v>1</v>
      </c>
      <c r="R44" s="17" t="str">
        <f>VLOOKUP($C44, Factor!$AM$4:$AY$30, 9, 0)</f>
        <v>Midium</v>
      </c>
      <c r="S44" s="17" t="s">
        <v>401</v>
      </c>
      <c r="T44" s="17" t="str">
        <f>VLOOKUP($C44, Factor!$AM$4:$AY$30, 10, 0)</f>
        <v>enpc</v>
      </c>
      <c r="U44" s="17" cm="1">
        <f t="array" ref="U44">L44*VLOOKUP($I44, Factor!$B$4:$G$8, 2, 0)*VLOOKUP($J44, Factor!$B$12:$G$13, 2, 0)*VLOOKUP($K44, Factor!$B$17:$G$18, 2, 0)*VLOOKUP($H44, Factor!$J$4:$O$7, 2, 0)*VLOOKUP($F44, Factor!$Q$4:$V$15, 2, 0)*IF(MOD($G44,10)=0, 10, MOD($G44, 10))*((INDEX(Factor!$X$4:$AC$13, _xlfn.XMATCH($G44, Factor!$X$4:$X$13, 1),2)*IF(MOD(G44, 10) = 0, 10, MOD(G44, 10)))+INDEX(Factor!$AE$4:$AJ$13, _xlfn.XMATCH(MonsterData!$G44, Factor!$AE$4:$AE$13, 1),2))</f>
        <v>900</v>
      </c>
      <c r="V44" s="17" cm="1">
        <f t="array" ref="V44">M44*VLOOKUP($I44, Factor!$B$4:$G$8, 3, 0)*VLOOKUP($J44, Factor!$B$12:$G$13, 3, 0)*VLOOKUP($K44, Factor!$B$17:$G$18, 3, 0)*VLOOKUP($H44, Factor!$J$4:$O$7, 3, 0)*VLOOKUP($F44, Factor!$Q$4:$V$15, 3, 0)*IF(MOD($G44,10)=0, 10, MOD($G44, 10))*((INDEX(Factor!$X$4:$AC$13, _xlfn.XMATCH($G44, Factor!$X$4:$X$13, 1),3)*IF(MOD(G44, 10) = 0, 10, MOD(G44, 10)))+INDEX(Factor!$AE$4:$AJ$13, _xlfn.XMATCH(MonsterData!$G44, Factor!$AE$4:$AE$13, 1),3))</f>
        <v>45</v>
      </c>
      <c r="W44" s="17" cm="1">
        <f t="array" ref="W44">N44*VLOOKUP($I44, Factor!$B$4:$G$8, 4, 0)*VLOOKUP($J44, Factor!$B$12:$G$13, 4, 0)*VLOOKUP($K44, Factor!$B$17:$G$18, 4, 0)*VLOOKUP($H44, Factor!$J$4:$O$7, 4, 0)*VLOOKUP($F44, Factor!$Q$4:$V$15, 4, 0)*IF(MOD($G44,10)=0, 10, MOD($G44, 10))*((INDEX(Factor!$X$4:$AC$13, _xlfn.XMATCH($G44, Factor!$X$4:$X$13, 1),4)*IF(MOD(G44, 10) = 0, 10, MOD(G44, 10)))+INDEX(Factor!$AE$4:$AJ$13, _xlfn.XMATCH(MonsterData!$G44, Factor!$AE$4:$AE$13, 1),4))</f>
        <v>45</v>
      </c>
      <c r="X44" s="17" cm="1">
        <f t="array" ref="X44">O44*VLOOKUP($I44, Factor!$B$4:$G$8, 5, 0)*VLOOKUP($J44, Factor!$B$12:$G$13, 5, 0)*VLOOKUP($K44, Factor!$B$17:$G$18, 5, 0)*VLOOKUP($H44, Factor!$J$4:$O$7, 5, 0)*VLOOKUP($F44, Factor!$Q$4:$V$15, 5, 0)*IF(MOD($G44,10)=0, 10, MOD($G44, 10))*((INDEX(Factor!$X$4:$AC$13, _xlfn.XMATCH($G44, Factor!$X$4:$X$13, 1),5)*IF(MOD(G44, 10) = 0, 10, MOD(G44, 10)))+INDEX(Factor!$AE$4:$AJ$13, _xlfn.XMATCH(MonsterData!$G44, Factor!$AE$4:$AE$13, 1),5))</f>
        <v>2.4</v>
      </c>
      <c r="Y44" s="17" cm="1">
        <f t="array" ref="Y44">P44*VLOOKUP($I44, Factor!$B$4:$G$8, 6, 0)*VLOOKUP($J44, Factor!$B$12:$G$13, 6, 0)*VLOOKUP($K44, Factor!$B$17:$G$18, 6, 0)*VLOOKUP($H44, Factor!$J$4:$O$7, 2, 0)*VLOOKUP($F44, Factor!$Q$4:$V$15, 6, 0)*IF(MOD($G44,10)=0, 10, MOD($G44, 10))*((INDEX(Factor!$X$4:$AC$13, _xlfn.XMATCH($G44, Factor!$X$4:$X$13, 1),6)*IF(MOD(G44, 10) = 0, 10, MOD(G44, 10)))+INDEX(Factor!$AE$4:$AJ$13, _xlfn.XMATCH(MonsterData!$G44, Factor!$AE$4:$AE$13, 1),6))</f>
        <v>4.8</v>
      </c>
      <c r="Z44" s="17">
        <f>$Q44*VLOOKUP($J44, Factor!$B$12:$H$13, 7, 0)</f>
        <v>1</v>
      </c>
      <c r="AA44" s="17">
        <v>1</v>
      </c>
      <c r="AB44" s="17">
        <f t="shared" si="4"/>
        <v>0</v>
      </c>
      <c r="AC44" s="17" t="s">
        <v>394</v>
      </c>
      <c r="AD44" s="19" t="s">
        <v>389</v>
      </c>
    </row>
    <row r="45" spans="1:30" ht="15.75" customHeight="1">
      <c r="A45" s="13" t="str">
        <f>T45&amp;"_"&amp;F45&amp;VLOOKUP($C45, Factor!$AM$4:$AY$30, 7, 0)&amp;IF(COUNTIFS($C$4:C44, C45, $F$4:F44, F45)+1&gt;=100, COUNTIFS($C$4:C44, C45, $F$4:F44, F45)+1,IF(COUNTIFS($C$4:C44, C45, $F$4:F44, F45)+1&gt;=10, "0"&amp;COUNTIFS($C$4:C44, C45, $F$4:F44, F45)+1, "00"&amp;COUNTIFS($C$4:C44, C45, $F$4:F44, F45)+1))</f>
        <v>enpc_F01_B_Gorgon_003</v>
      </c>
      <c r="B45" s="13"/>
      <c r="C45" s="13" t="s">
        <v>363</v>
      </c>
      <c r="D45" s="13" t="str">
        <f t="shared" si="5"/>
        <v>고르곤</v>
      </c>
      <c r="E45" s="21" t="str">
        <f>VLOOKUP($C45, Factor!$AM$4:$AY$30, 8, 0)</f>
        <v>B</v>
      </c>
      <c r="F45" s="13" t="s">
        <v>382</v>
      </c>
      <c r="G45" s="22">
        <v>11</v>
      </c>
      <c r="H45" s="13" t="s">
        <v>56</v>
      </c>
      <c r="I45" s="21" t="str">
        <f>VLOOKUP($C45, Factor!$AM$4:$AY$30, 11, 0)</f>
        <v>B</v>
      </c>
      <c r="J45" s="21" t="str">
        <f>VLOOKUP($C45, Factor!$AM$4:$AY$30, 12, 0)</f>
        <v>ml</v>
      </c>
      <c r="K45" s="21" t="str">
        <f>VLOOKUP($C45, Factor!$AM$4:$AY$30, 13, 0)</f>
        <v>L</v>
      </c>
      <c r="L45" s="13">
        <v>1</v>
      </c>
      <c r="M45" s="13">
        <v>1</v>
      </c>
      <c r="N45" s="13">
        <v>1</v>
      </c>
      <c r="O45" s="13">
        <v>1</v>
      </c>
      <c r="P45" s="13">
        <v>1</v>
      </c>
      <c r="Q45" s="13">
        <v>1</v>
      </c>
      <c r="R45" s="21" t="str">
        <f>VLOOKUP($C45, Factor!$AM$4:$AY$30, 9, 0)</f>
        <v>Midium</v>
      </c>
      <c r="S45" s="13" t="s">
        <v>407</v>
      </c>
      <c r="T45" s="21" t="str">
        <f>VLOOKUP($C45, Factor!$AM$4:$AY$30, 10, 0)</f>
        <v>enpc</v>
      </c>
      <c r="U45" s="21" cm="1">
        <f t="array" ref="U45">L45*VLOOKUP($I45, Factor!$B$4:$G$8, 2, 0)*VLOOKUP($J45, Factor!$B$12:$G$13, 2, 0)*VLOOKUP($K45, Factor!$B$17:$G$18, 2, 0)*VLOOKUP($H45, Factor!$J$4:$O$7, 2, 0)*VLOOKUP($F45, Factor!$Q$4:$V$15, 2, 0)*IF(MOD($G45,10)=0, 10, MOD($G45, 10))*((INDEX(Factor!$X$4:$AC$13, _xlfn.XMATCH($G45, Factor!$X$4:$X$13, 1),2)*IF(MOD(G45, 10) = 0, 10, MOD(G45, 10)))+INDEX(Factor!$AE$4:$AJ$13, _xlfn.XMATCH(MonsterData!$G45, Factor!$AE$4:$AE$13, 1),2))</f>
        <v>900</v>
      </c>
      <c r="V45" s="21" cm="1">
        <f t="array" ref="V45">M45*VLOOKUP($I45, Factor!$B$4:$G$8, 3, 0)*VLOOKUP($J45, Factor!$B$12:$G$13, 3, 0)*VLOOKUP($K45, Factor!$B$17:$G$18, 3, 0)*VLOOKUP($H45, Factor!$J$4:$O$7, 3, 0)*VLOOKUP($F45, Factor!$Q$4:$V$15, 3, 0)*IF(MOD($G45,10)=0, 10, MOD($G45, 10))*((INDEX(Factor!$X$4:$AC$13, _xlfn.XMATCH($G45, Factor!$X$4:$X$13, 1),3)*IF(MOD(G45, 10) = 0, 10, MOD(G45, 10)))+INDEX(Factor!$AE$4:$AJ$13, _xlfn.XMATCH(MonsterData!$G45, Factor!$AE$4:$AE$13, 1),3))</f>
        <v>45</v>
      </c>
      <c r="W45" s="21" cm="1">
        <f t="array" ref="W45">N45*VLOOKUP($I45, Factor!$B$4:$G$8, 4, 0)*VLOOKUP($J45, Factor!$B$12:$G$13, 4, 0)*VLOOKUP($K45, Factor!$B$17:$G$18, 4, 0)*VLOOKUP($H45, Factor!$J$4:$O$7, 4, 0)*VLOOKUP($F45, Factor!$Q$4:$V$15, 4, 0)*IF(MOD($G45,10)=0, 10, MOD($G45, 10))*((INDEX(Factor!$X$4:$AC$13, _xlfn.XMATCH($G45, Factor!$X$4:$X$13, 1),4)*IF(MOD(G45, 10) = 0, 10, MOD(G45, 10)))+INDEX(Factor!$AE$4:$AJ$13, _xlfn.XMATCH(MonsterData!$G45, Factor!$AE$4:$AE$13, 1),4))</f>
        <v>90</v>
      </c>
      <c r="X45" s="21" cm="1">
        <f t="array" ref="X45">O45*VLOOKUP($I45, Factor!$B$4:$G$8, 5, 0)*VLOOKUP($J45, Factor!$B$12:$G$13, 5, 0)*VLOOKUP($K45, Factor!$B$17:$G$18, 5, 0)*VLOOKUP($H45, Factor!$J$4:$O$7, 5, 0)*VLOOKUP($F45, Factor!$Q$4:$V$15, 5, 0)*IF(MOD($G45,10)=0, 10, MOD($G45, 10))*((INDEX(Factor!$X$4:$AC$13, _xlfn.XMATCH($G45, Factor!$X$4:$X$13, 1),5)*IF(MOD(G45, 10) = 0, 10, MOD(G45, 10)))+INDEX(Factor!$AE$4:$AJ$13, _xlfn.XMATCH(MonsterData!$G45, Factor!$AE$4:$AE$13, 1),5))</f>
        <v>2.16</v>
      </c>
      <c r="Y45" s="21" cm="1">
        <f t="array" ref="Y45">P45*VLOOKUP($I45, Factor!$B$4:$G$8, 6, 0)*VLOOKUP($J45, Factor!$B$12:$G$13, 6, 0)*VLOOKUP($K45, Factor!$B$17:$G$18, 6, 0)*VLOOKUP($H45, Factor!$J$4:$O$7, 2, 0)*VLOOKUP($F45, Factor!$Q$4:$V$15, 6, 0)*IF(MOD($G45,10)=0, 10, MOD($G45, 10))*((INDEX(Factor!$X$4:$AC$13, _xlfn.XMATCH($G45, Factor!$X$4:$X$13, 1),6)*IF(MOD(G45, 10) = 0, 10, MOD(G45, 10)))+INDEX(Factor!$AE$4:$AJ$13, _xlfn.XMATCH(MonsterData!$G45, Factor!$AE$4:$AE$13, 1),6))</f>
        <v>4.8</v>
      </c>
      <c r="Z45" s="21">
        <f>$Q45*VLOOKUP($J45, Factor!$B$12:$H$13, 7, 0)</f>
        <v>1</v>
      </c>
      <c r="AA45" s="13">
        <v>1</v>
      </c>
      <c r="AB45" s="21">
        <f t="shared" si="4"/>
        <v>0</v>
      </c>
      <c r="AC45" s="13" t="s">
        <v>395</v>
      </c>
      <c r="AD45" s="15" t="s">
        <v>390</v>
      </c>
    </row>
    <row r="46" spans="1:30" ht="15.75" customHeight="1">
      <c r="A46" s="16" t="str">
        <f>T46&amp;"_"&amp;F46&amp;VLOOKUP($C46, Factor!$AM$4:$AY$30, 7, 0)&amp;IF(COUNTIFS($C$4:C45, C46, $F$4:F45, F46)+1&gt;=100, COUNTIFS($C$4:C45, C46, $F$4:F45, F46)+1,IF(COUNTIFS($C$4:C45, C46, $F$4:F45, F46)+1&gt;=10, "0"&amp;COUNTIFS($C$4:C45, C46, $F$4:F45, F46)+1, "00"&amp;COUNTIFS($C$4:C45, C46, $F$4:F45, F46)+1))</f>
        <v>enpc_F01_B_Gargoyle_003</v>
      </c>
      <c r="B46" s="16"/>
      <c r="C46" s="16" t="s">
        <v>365</v>
      </c>
      <c r="D46" s="16" t="str">
        <f t="shared" si="5"/>
        <v>가고일</v>
      </c>
      <c r="E46" s="17" t="str">
        <f>VLOOKUP($C46, Factor!$AM$4:$AY$30, 8, 0)</f>
        <v>B</v>
      </c>
      <c r="F46" s="17" t="s">
        <v>382</v>
      </c>
      <c r="G46" s="20">
        <v>11</v>
      </c>
      <c r="H46" s="16" t="s">
        <v>55</v>
      </c>
      <c r="I46" s="17" t="str">
        <f>VLOOKUP($C46, Factor!$AM$4:$AY$30, 11, 0)</f>
        <v>B</v>
      </c>
      <c r="J46" s="17" t="str">
        <f>VLOOKUP($C46, Factor!$AM$4:$AY$30, 12, 0)</f>
        <v>ml</v>
      </c>
      <c r="K46" s="17" t="str">
        <f>VLOOKUP($C46, Factor!$AM$4:$AY$30, 13, 0)</f>
        <v>F</v>
      </c>
      <c r="L46" s="17">
        <v>1</v>
      </c>
      <c r="M46" s="17">
        <v>1</v>
      </c>
      <c r="N46" s="17">
        <v>1</v>
      </c>
      <c r="O46" s="17">
        <v>1</v>
      </c>
      <c r="P46" s="17">
        <v>1</v>
      </c>
      <c r="Q46" s="17">
        <v>1</v>
      </c>
      <c r="R46" s="17" t="str">
        <f>VLOOKUP($C46, Factor!$AM$4:$AY$30, 9, 0)</f>
        <v>Big</v>
      </c>
      <c r="S46" s="17" t="s">
        <v>402</v>
      </c>
      <c r="T46" s="17" t="str">
        <f>VLOOKUP($C46, Factor!$AM$4:$AY$30, 10, 0)</f>
        <v>enpc</v>
      </c>
      <c r="U46" s="17" cm="1">
        <f t="array" ref="U46">L46*VLOOKUP($I46, Factor!$B$4:$G$8, 2, 0)*VLOOKUP($J46, Factor!$B$12:$G$13, 2, 0)*VLOOKUP($K46, Factor!$B$17:$G$18, 2, 0)*VLOOKUP($H46, Factor!$J$4:$O$7, 2, 0)*VLOOKUP($F46, Factor!$Q$4:$V$15, 2, 0)*IF(MOD($G46,10)=0, 10, MOD($G46, 10))*((INDEX(Factor!$X$4:$AC$13, _xlfn.XMATCH($G46, Factor!$X$4:$X$13, 1),2)*IF(MOD(G46, 10) = 0, 10, MOD(G46, 10)))+INDEX(Factor!$AE$4:$AJ$13, _xlfn.XMATCH(MonsterData!$G46, Factor!$AE$4:$AE$13, 1),2))</f>
        <v>600</v>
      </c>
      <c r="V46" s="17" cm="1">
        <f t="array" ref="V46">M46*VLOOKUP($I46, Factor!$B$4:$G$8, 3, 0)*VLOOKUP($J46, Factor!$B$12:$G$13, 3, 0)*VLOOKUP($K46, Factor!$B$17:$G$18, 3, 0)*VLOOKUP($H46, Factor!$J$4:$O$7, 3, 0)*VLOOKUP($F46, Factor!$Q$4:$V$15, 3, 0)*IF(MOD($G46,10)=0, 10, MOD($G46, 10))*((INDEX(Factor!$X$4:$AC$13, _xlfn.XMATCH($G46, Factor!$X$4:$X$13, 1),3)*IF(MOD(G46, 10) = 0, 10, MOD(G46, 10)))+INDEX(Factor!$AE$4:$AJ$13, _xlfn.XMATCH(MonsterData!$G46, Factor!$AE$4:$AE$13, 1),3))</f>
        <v>30</v>
      </c>
      <c r="W46" s="17" cm="1">
        <f t="array" ref="W46">N46*VLOOKUP($I46, Factor!$B$4:$G$8, 4, 0)*VLOOKUP($J46, Factor!$B$12:$G$13, 4, 0)*VLOOKUP($K46, Factor!$B$17:$G$18, 4, 0)*VLOOKUP($H46, Factor!$J$4:$O$7, 4, 0)*VLOOKUP($F46, Factor!$Q$4:$V$15, 4, 0)*IF(MOD($G46,10)=0, 10, MOD($G46, 10))*((INDEX(Factor!$X$4:$AC$13, _xlfn.XMATCH($G46, Factor!$X$4:$X$13, 1),4)*IF(MOD(G46, 10) = 0, 10, MOD(G46, 10)))+INDEX(Factor!$AE$4:$AJ$13, _xlfn.XMATCH(MonsterData!$G46, Factor!$AE$4:$AE$13, 1),4))</f>
        <v>30</v>
      </c>
      <c r="X46" s="17" cm="1">
        <f t="array" ref="X46">O46*VLOOKUP($I46, Factor!$B$4:$G$8, 5, 0)*VLOOKUP($J46, Factor!$B$12:$G$13, 5, 0)*VLOOKUP($K46, Factor!$B$17:$G$18, 5, 0)*VLOOKUP($H46, Factor!$J$4:$O$7, 5, 0)*VLOOKUP($F46, Factor!$Q$4:$V$15, 5, 0)*IF(MOD($G46,10)=0, 10, MOD($G46, 10))*((INDEX(Factor!$X$4:$AC$13, _xlfn.XMATCH($G46, Factor!$X$4:$X$13, 1),5)*IF(MOD(G46, 10) = 0, 10, MOD(G46, 10)))+INDEX(Factor!$AE$4:$AJ$13, _xlfn.XMATCH(MonsterData!$G46, Factor!$AE$4:$AE$13, 1),5))</f>
        <v>2.4</v>
      </c>
      <c r="Y46" s="17" cm="1">
        <f t="array" ref="Y46">P46*VLOOKUP($I46, Factor!$B$4:$G$8, 6, 0)*VLOOKUP($J46, Factor!$B$12:$G$13, 6, 0)*VLOOKUP($K46, Factor!$B$17:$G$18, 6, 0)*VLOOKUP($H46, Factor!$J$4:$O$7, 2, 0)*VLOOKUP($F46, Factor!$Q$4:$V$15, 6, 0)*IF(MOD($G46,10)=0, 10, MOD($G46, 10))*((INDEX(Factor!$X$4:$AC$13, _xlfn.XMATCH($G46, Factor!$X$4:$X$13, 1),6)*IF(MOD(G46, 10) = 0, 10, MOD(G46, 10)))+INDEX(Factor!$AE$4:$AJ$13, _xlfn.XMATCH(MonsterData!$G46, Factor!$AE$4:$AE$13, 1),6))</f>
        <v>14.399999999999999</v>
      </c>
      <c r="Z46" s="17">
        <f>$Q46*VLOOKUP($J46, Factor!$B$12:$H$13, 7, 0)</f>
        <v>1</v>
      </c>
      <c r="AA46" s="17">
        <v>1</v>
      </c>
      <c r="AB46" s="17">
        <f t="shared" si="4"/>
        <v>0</v>
      </c>
      <c r="AC46" s="17" t="s">
        <v>396</v>
      </c>
      <c r="AD46" s="19" t="s">
        <v>391</v>
      </c>
    </row>
    <row r="47" spans="1:30" ht="15.75" customHeight="1">
      <c r="A47" s="13" t="str">
        <f>T47&amp;"_"&amp;F47&amp;VLOOKUP($C47, Factor!$AM$4:$AY$30, 7, 0)&amp;IF(COUNTIFS($C$4:C46, C47, $F$4:F46, F47)+1&gt;=100, COUNTIFS($C$4:C46, C47, $F$4:F46, F47)+1,IF(COUNTIFS($C$4:C46, C47, $F$4:F46, F47)+1&gt;=10, "0"&amp;COUNTIFS($C$4:C46, C47, $F$4:F46, F47)+1, "00"&amp;COUNTIFS($C$4:C46, C47, $F$4:F46, F47)+1))</f>
        <v>enpc_F01_A_Lava_004</v>
      </c>
      <c r="B47" s="13"/>
      <c r="C47" s="13" t="s">
        <v>35</v>
      </c>
      <c r="D47" s="13" t="str">
        <f>B47&amp;C47</f>
        <v>라바</v>
      </c>
      <c r="E47" s="21" t="str">
        <f>VLOOKUP($C47, Factor!$AM$4:$AY$30, 8, 0)</f>
        <v>S</v>
      </c>
      <c r="F47" s="13" t="s">
        <v>382</v>
      </c>
      <c r="G47" s="22">
        <v>7</v>
      </c>
      <c r="H47" s="13" t="s">
        <v>54</v>
      </c>
      <c r="I47" s="21" t="str">
        <f>VLOOKUP($C47, Factor!$AM$4:$AY$30, 11, 0)</f>
        <v>A</v>
      </c>
      <c r="J47" s="21" t="str">
        <f>VLOOKUP($C47, Factor!$AM$4:$AY$30, 12, 0)</f>
        <v>ml</v>
      </c>
      <c r="K47" s="21" t="str">
        <f>VLOOKUP($C47, Factor!$AM$4:$AY$30, 13, 0)</f>
        <v>L</v>
      </c>
      <c r="L47" s="13">
        <v>1</v>
      </c>
      <c r="M47" s="13">
        <v>1</v>
      </c>
      <c r="N47" s="13">
        <v>1</v>
      </c>
      <c r="O47" s="13">
        <v>1</v>
      </c>
      <c r="P47" s="13">
        <v>1</v>
      </c>
      <c r="Q47" s="13">
        <v>1</v>
      </c>
      <c r="R47" s="21" t="str">
        <f>VLOOKUP($C47, Factor!$AM$4:$AY$30, 9, 0)</f>
        <v>Small</v>
      </c>
      <c r="S47" s="13" t="s">
        <v>88</v>
      </c>
      <c r="T47" s="21" t="str">
        <f>VLOOKUP($C47, Factor!$AM$4:$AY$30, 10, 0)</f>
        <v>enpc</v>
      </c>
      <c r="U47" s="21" cm="1">
        <f t="array" ref="U47">L47*VLOOKUP($I47, Factor!$B$4:$G$8, 2, 0)*VLOOKUP($J47, Factor!$B$12:$G$13, 2, 0)*VLOOKUP($K47, Factor!$B$17:$G$18, 2, 0)*VLOOKUP($H47, Factor!$J$4:$O$7, 2, 0)*VLOOKUP($F47, Factor!$Q$4:$V$15, 2, 0)*IF(MOD($G47,10)=0, 10, MOD($G47, 10))*((INDEX(Factor!$X$4:$AC$13, _xlfn.XMATCH($G47, Factor!$X$4:$X$13, 1),2)*IF(MOD(G47, 10) = 0, 10, MOD(G47, 10)))+INDEX(Factor!$AE$4:$AJ$13, _xlfn.XMATCH(MonsterData!$G47, Factor!$AE$4:$AE$13, 1),2))</f>
        <v>588</v>
      </c>
      <c r="V47" s="21" cm="1">
        <f t="array" ref="V47">M47*VLOOKUP($I47, Factor!$B$4:$G$8, 3, 0)*VLOOKUP($J47, Factor!$B$12:$G$13, 3, 0)*VLOOKUP($K47, Factor!$B$17:$G$18, 3, 0)*VLOOKUP($H47, Factor!$J$4:$O$7, 3, 0)*VLOOKUP($F47, Factor!$Q$4:$V$15, 3, 0)*IF(MOD($G47,10)=0, 10, MOD($G47, 10))*((INDEX(Factor!$X$4:$AC$13, _xlfn.XMATCH($G47, Factor!$X$4:$X$13, 1),3)*IF(MOD(G47, 10) = 0, 10, MOD(G47, 10)))+INDEX(Factor!$AE$4:$AJ$13, _xlfn.XMATCH(MonsterData!$G47, Factor!$AE$4:$AE$13, 1),3))</f>
        <v>29.400000000000002</v>
      </c>
      <c r="W47" s="21" cm="1">
        <f t="array" ref="W47">N47*VLOOKUP($I47, Factor!$B$4:$G$8, 4, 0)*VLOOKUP($J47, Factor!$B$12:$G$13, 4, 0)*VLOOKUP($K47, Factor!$B$17:$G$18, 4, 0)*VLOOKUP($H47, Factor!$J$4:$O$7, 4, 0)*VLOOKUP($F47, Factor!$Q$4:$V$15, 4, 0)*IF(MOD($G47,10)=0, 10, MOD($G47, 10))*((INDEX(Factor!$X$4:$AC$13, _xlfn.XMATCH($G47, Factor!$X$4:$X$13, 1),4)*IF(MOD(G47, 10) = 0, 10, MOD(G47, 10)))+INDEX(Factor!$AE$4:$AJ$13, _xlfn.XMATCH(MonsterData!$G47, Factor!$AE$4:$AE$13, 1),4))</f>
        <v>17.64</v>
      </c>
      <c r="X47" s="21" cm="1">
        <f t="array" ref="X47">O47*VLOOKUP($I47, Factor!$B$4:$G$8, 5, 0)*VLOOKUP($J47, Factor!$B$12:$G$13, 5, 0)*VLOOKUP($K47, Factor!$B$17:$G$18, 5, 0)*VLOOKUP($H47, Factor!$J$4:$O$7, 5, 0)*VLOOKUP($F47, Factor!$Q$4:$V$15, 5, 0)*IF(MOD($G47,10)=0, 10, MOD($G47, 10))*((INDEX(Factor!$X$4:$AC$13, _xlfn.XMATCH($G47, Factor!$X$4:$X$13, 1),5)*IF(MOD(G47, 10) = 0, 10, MOD(G47, 10)))+INDEX(Factor!$AE$4:$AJ$13, _xlfn.XMATCH(MonsterData!$G47, Factor!$AE$4:$AE$13, 1),5))</f>
        <v>4.9000000000000004</v>
      </c>
      <c r="Y47" s="21" cm="1">
        <f t="array" ref="Y47">P47*VLOOKUP($I47, Factor!$B$4:$G$8, 6, 0)*VLOOKUP($J47, Factor!$B$12:$G$13, 6, 0)*VLOOKUP($K47, Factor!$B$17:$G$18, 6, 0)*VLOOKUP($H47, Factor!$J$4:$O$7, 2, 0)*VLOOKUP($F47, Factor!$Q$4:$V$15, 6, 0)*IF(MOD($G47,10)=0, 10, MOD($G47, 10))*((INDEX(Factor!$X$4:$AC$13, _xlfn.XMATCH($G47, Factor!$X$4:$X$13, 1),6)*IF(MOD(G47, 10) = 0, 10, MOD(G47, 10)))+INDEX(Factor!$AE$4:$AJ$13, _xlfn.XMATCH(MonsterData!$G47, Factor!$AE$4:$AE$13, 1),6))</f>
        <v>19.600000000000001</v>
      </c>
      <c r="Z47" s="21">
        <f>$Q47*VLOOKUP($J47, Factor!$B$12:$H$13, 7, 0)</f>
        <v>1</v>
      </c>
      <c r="AA47" s="13">
        <v>1</v>
      </c>
      <c r="AB47" s="21">
        <f t="shared" si="4"/>
        <v>0</v>
      </c>
      <c r="AC47" s="13" t="s">
        <v>139</v>
      </c>
      <c r="AD47" s="15" t="s">
        <v>142</v>
      </c>
    </row>
    <row r="48" spans="1:30" ht="15.75" customHeight="1">
      <c r="A48" s="16" t="str">
        <f>T48&amp;"_"&amp;F48&amp;VLOOKUP($C48, Factor!$AM$4:$AY$30, 7, 0)&amp;IF(COUNTIFS($C$4:C47, C48, $F$4:F47, F48)+1&gt;=100, COUNTIFS($C$4:C47, C48, $F$4:F47, F48)+1,IF(COUNTIFS($C$4:C47, C48, $F$4:F47, F48)+1&gt;=10, "0"&amp;COUNTIFS($C$4:C47, C48, $F$4:F47, F48)+1, "00"&amp;COUNTIFS($C$4:C47, C48, $F$4:F47, F48)+1))</f>
        <v>enpc_F01_A_Cocoon_004</v>
      </c>
      <c r="B48" s="16"/>
      <c r="C48" s="16" t="s">
        <v>270</v>
      </c>
      <c r="D48" s="16" t="str">
        <f t="shared" ref="D48:D59" si="6">B48&amp;C48</f>
        <v>코쿤</v>
      </c>
      <c r="E48" s="17" t="str">
        <f>VLOOKUP($C48, Factor!$AM$4:$AY$30, 8, 0)</f>
        <v>M</v>
      </c>
      <c r="F48" s="17" t="s">
        <v>382</v>
      </c>
      <c r="G48" s="20">
        <v>7</v>
      </c>
      <c r="H48" s="16" t="s">
        <v>55</v>
      </c>
      <c r="I48" s="17" t="str">
        <f>VLOOKUP($C48, Factor!$AM$4:$AY$30, 11, 0)</f>
        <v>A</v>
      </c>
      <c r="J48" s="17" t="str">
        <f>VLOOKUP($C48, Factor!$AM$4:$AY$30, 12, 0)</f>
        <v>ml</v>
      </c>
      <c r="K48" s="17" t="str">
        <f>VLOOKUP($C48, Factor!$AM$4:$AY$30, 13, 0)</f>
        <v>L</v>
      </c>
      <c r="L48" s="17">
        <v>1</v>
      </c>
      <c r="M48" s="17">
        <v>1</v>
      </c>
      <c r="N48" s="17">
        <v>1</v>
      </c>
      <c r="O48" s="17">
        <v>1</v>
      </c>
      <c r="P48" s="17">
        <v>1</v>
      </c>
      <c r="Q48" s="17">
        <v>1</v>
      </c>
      <c r="R48" s="17" t="str">
        <f>VLOOKUP($C48, Factor!$AM$4:$AY$30, 9, 0)</f>
        <v>Midium</v>
      </c>
      <c r="S48" s="17" t="s">
        <v>196</v>
      </c>
      <c r="T48" s="17" t="str">
        <f>VLOOKUP($C48, Factor!$AM$4:$AY$30, 10, 0)</f>
        <v>enpc</v>
      </c>
      <c r="U48" s="17" cm="1">
        <f t="array" ref="U48">L48*VLOOKUP($I48, Factor!$B$4:$G$8, 2, 0)*VLOOKUP($J48, Factor!$B$12:$G$13, 2, 0)*VLOOKUP($K48, Factor!$B$17:$G$18, 2, 0)*VLOOKUP($H48, Factor!$J$4:$O$7, 2, 0)*VLOOKUP($F48, Factor!$Q$4:$V$15, 2, 0)*IF(MOD($G48,10)=0, 10, MOD($G48, 10))*((INDEX(Factor!$X$4:$AC$13, _xlfn.XMATCH($G48, Factor!$X$4:$X$13, 1),2)*IF(MOD(G48, 10) = 0, 10, MOD(G48, 10)))+INDEX(Factor!$AE$4:$AJ$13, _xlfn.XMATCH(MonsterData!$G48, Factor!$AE$4:$AE$13, 1),2))</f>
        <v>735.00000000000011</v>
      </c>
      <c r="V48" s="17" cm="1">
        <f t="array" ref="V48">M48*VLOOKUP($I48, Factor!$B$4:$G$8, 3, 0)*VLOOKUP($J48, Factor!$B$12:$G$13, 3, 0)*VLOOKUP($K48, Factor!$B$17:$G$18, 3, 0)*VLOOKUP($H48, Factor!$J$4:$O$7, 3, 0)*VLOOKUP($F48, Factor!$Q$4:$V$15, 3, 0)*IF(MOD($G48,10)=0, 10, MOD($G48, 10))*((INDEX(Factor!$X$4:$AC$13, _xlfn.XMATCH($G48, Factor!$X$4:$X$13, 1),3)*IF(MOD(G48, 10) = 0, 10, MOD(G48, 10)))+INDEX(Factor!$AE$4:$AJ$13, _xlfn.XMATCH(MonsterData!$G48, Factor!$AE$4:$AE$13, 1),3))</f>
        <v>36.75</v>
      </c>
      <c r="W48" s="17" cm="1">
        <f t="array" ref="W48">N48*VLOOKUP($I48, Factor!$B$4:$G$8, 4, 0)*VLOOKUP($J48, Factor!$B$12:$G$13, 4, 0)*VLOOKUP($K48, Factor!$B$17:$G$18, 4, 0)*VLOOKUP($H48, Factor!$J$4:$O$7, 4, 0)*VLOOKUP($F48, Factor!$Q$4:$V$15, 4, 0)*IF(MOD($G48,10)=0, 10, MOD($G48, 10))*((INDEX(Factor!$X$4:$AC$13, _xlfn.XMATCH($G48, Factor!$X$4:$X$13, 1),4)*IF(MOD(G48, 10) = 0, 10, MOD(G48, 10)))+INDEX(Factor!$AE$4:$AJ$13, _xlfn.XMATCH(MonsterData!$G48, Factor!$AE$4:$AE$13, 1),4))</f>
        <v>22.05</v>
      </c>
      <c r="X48" s="17" cm="1">
        <f t="array" ref="X48">O48*VLOOKUP($I48, Factor!$B$4:$G$8, 5, 0)*VLOOKUP($J48, Factor!$B$12:$G$13, 5, 0)*VLOOKUP($K48, Factor!$B$17:$G$18, 5, 0)*VLOOKUP($H48, Factor!$J$4:$O$7, 5, 0)*VLOOKUP($F48, Factor!$Q$4:$V$15, 5, 0)*IF(MOD($G48,10)=0, 10, MOD($G48, 10))*((INDEX(Factor!$X$4:$AC$13, _xlfn.XMATCH($G48, Factor!$X$4:$X$13, 1),5)*IF(MOD(G48, 10) = 0, 10, MOD(G48, 10)))+INDEX(Factor!$AE$4:$AJ$13, _xlfn.XMATCH(MonsterData!$G48, Factor!$AE$4:$AE$13, 1),5))</f>
        <v>4.9000000000000004</v>
      </c>
      <c r="Y48" s="17" cm="1">
        <f t="array" ref="Y48">P48*VLOOKUP($I48, Factor!$B$4:$G$8, 6, 0)*VLOOKUP($J48, Factor!$B$12:$G$13, 6, 0)*VLOOKUP($K48, Factor!$B$17:$G$18, 6, 0)*VLOOKUP($H48, Factor!$J$4:$O$7, 2, 0)*VLOOKUP($F48, Factor!$Q$4:$V$15, 6, 0)*IF(MOD($G48,10)=0, 10, MOD($G48, 10))*((INDEX(Factor!$X$4:$AC$13, _xlfn.XMATCH($G48, Factor!$X$4:$X$13, 1),6)*IF(MOD(G48, 10) = 0, 10, MOD(G48, 10)))+INDEX(Factor!$AE$4:$AJ$13, _xlfn.XMATCH(MonsterData!$G48, Factor!$AE$4:$AE$13, 1),6))</f>
        <v>24.500000000000004</v>
      </c>
      <c r="Z48" s="17">
        <f>$Q48*VLOOKUP($J48, Factor!$B$12:$H$13, 7, 0)</f>
        <v>1</v>
      </c>
      <c r="AA48" s="17">
        <v>1</v>
      </c>
      <c r="AB48" s="17">
        <f t="shared" si="4"/>
        <v>0</v>
      </c>
      <c r="AC48" s="17" t="s">
        <v>139</v>
      </c>
      <c r="AD48" s="19" t="s">
        <v>142</v>
      </c>
    </row>
    <row r="49" spans="1:30" ht="15.75" customHeight="1">
      <c r="A49" s="13" t="str">
        <f>T49&amp;"_"&amp;F49&amp;VLOOKUP($C49, Factor!$AM$4:$AY$30, 7, 0)&amp;IF(COUNTIFS($C$4:C48, C49, $F$4:F48, F49)+1&gt;=100, COUNTIFS($C$4:C48, C49, $F$4:F48, F49)+1,IF(COUNTIFS($C$4:C48, C49, $F$4:F48, F49)+1&gt;=10, "0"&amp;COUNTIFS($C$4:C48, C49, $F$4:F48, F49)+1, "00"&amp;COUNTIFS($C$4:C48, C49, $F$4:F48, F49)+1))</f>
        <v>enpc_F01_A_Antlion_004</v>
      </c>
      <c r="B49" s="13"/>
      <c r="C49" s="13" t="s">
        <v>38</v>
      </c>
      <c r="D49" s="13" t="str">
        <f t="shared" si="6"/>
        <v>앤틸리온</v>
      </c>
      <c r="E49" s="21" t="str">
        <f>VLOOKUP($C49, Factor!$AM$4:$AY$30, 8, 0)</f>
        <v>M</v>
      </c>
      <c r="F49" s="13" t="s">
        <v>382</v>
      </c>
      <c r="G49" s="22">
        <v>7</v>
      </c>
      <c r="H49" s="13" t="s">
        <v>55</v>
      </c>
      <c r="I49" s="21" t="str">
        <f>VLOOKUP($C49, Factor!$AM$4:$AY$30, 11, 0)</f>
        <v>A</v>
      </c>
      <c r="J49" s="21" t="str">
        <f>VLOOKUP($C49, Factor!$AM$4:$AY$30, 12, 0)</f>
        <v>ra</v>
      </c>
      <c r="K49" s="21" t="str">
        <f>VLOOKUP($C49, Factor!$AM$4:$AY$30, 13, 0)</f>
        <v>L</v>
      </c>
      <c r="L49" s="13">
        <v>1</v>
      </c>
      <c r="M49" s="13">
        <v>1</v>
      </c>
      <c r="N49" s="13">
        <v>1</v>
      </c>
      <c r="O49" s="13">
        <v>1</v>
      </c>
      <c r="P49" s="13">
        <v>1</v>
      </c>
      <c r="Q49" s="13">
        <v>1</v>
      </c>
      <c r="R49" s="21" t="str">
        <f>VLOOKUP($C49, Factor!$AM$4:$AY$30, 9, 0)</f>
        <v>Midium</v>
      </c>
      <c r="S49" s="13" t="s">
        <v>397</v>
      </c>
      <c r="T49" s="21" t="str">
        <f>VLOOKUP($C49, Factor!$AM$4:$AY$30, 10, 0)</f>
        <v>enpc</v>
      </c>
      <c r="U49" s="21" cm="1">
        <f t="array" ref="U49">L49*VLOOKUP($I49, Factor!$B$4:$G$8, 2, 0)*VLOOKUP($J49, Factor!$B$12:$G$13, 2, 0)*VLOOKUP($K49, Factor!$B$17:$G$18, 2, 0)*VLOOKUP($H49, Factor!$J$4:$O$7, 2, 0)*VLOOKUP($F49, Factor!$Q$4:$V$15, 2, 0)*IF(MOD($G49,10)=0, 10, MOD($G49, 10))*((INDEX(Factor!$X$4:$AC$13, _xlfn.XMATCH($G49, Factor!$X$4:$X$13, 1),2)*IF(MOD(G49, 10) = 0, 10, MOD(G49, 10)))+INDEX(Factor!$AE$4:$AJ$13, _xlfn.XMATCH(MonsterData!$G49, Factor!$AE$4:$AE$13, 1),2))</f>
        <v>588</v>
      </c>
      <c r="V49" s="21" cm="1">
        <f t="array" ref="V49">M49*VLOOKUP($I49, Factor!$B$4:$G$8, 3, 0)*VLOOKUP($J49, Factor!$B$12:$G$13, 3, 0)*VLOOKUP($K49, Factor!$B$17:$G$18, 3, 0)*VLOOKUP($H49, Factor!$J$4:$O$7, 3, 0)*VLOOKUP($F49, Factor!$Q$4:$V$15, 3, 0)*IF(MOD($G49,10)=0, 10, MOD($G49, 10))*((INDEX(Factor!$X$4:$AC$13, _xlfn.XMATCH($G49, Factor!$X$4:$X$13, 1),3)*IF(MOD(G49, 10) = 0, 10, MOD(G49, 10)))+INDEX(Factor!$AE$4:$AJ$13, _xlfn.XMATCH(MonsterData!$G49, Factor!$AE$4:$AE$13, 1),3))</f>
        <v>29.400000000000002</v>
      </c>
      <c r="W49" s="21" cm="1">
        <f t="array" ref="W49">N49*VLOOKUP($I49, Factor!$B$4:$G$8, 4, 0)*VLOOKUP($J49, Factor!$B$12:$G$13, 4, 0)*VLOOKUP($K49, Factor!$B$17:$G$18, 4, 0)*VLOOKUP($H49, Factor!$J$4:$O$7, 4, 0)*VLOOKUP($F49, Factor!$Q$4:$V$15, 4, 0)*IF(MOD($G49,10)=0, 10, MOD($G49, 10))*((INDEX(Factor!$X$4:$AC$13, _xlfn.XMATCH($G49, Factor!$X$4:$X$13, 1),4)*IF(MOD(G49, 10) = 0, 10, MOD(G49, 10)))+INDEX(Factor!$AE$4:$AJ$13, _xlfn.XMATCH(MonsterData!$G49, Factor!$AE$4:$AE$13, 1),4))</f>
        <v>26.46</v>
      </c>
      <c r="X49" s="21" cm="1">
        <f t="array" ref="X49">O49*VLOOKUP($I49, Factor!$B$4:$G$8, 5, 0)*VLOOKUP($J49, Factor!$B$12:$G$13, 5, 0)*VLOOKUP($K49, Factor!$B$17:$G$18, 5, 0)*VLOOKUP($H49, Factor!$J$4:$O$7, 5, 0)*VLOOKUP($F49, Factor!$Q$4:$V$15, 5, 0)*IF(MOD($G49,10)=0, 10, MOD($G49, 10))*((INDEX(Factor!$X$4:$AC$13, _xlfn.XMATCH($G49, Factor!$X$4:$X$13, 1),5)*IF(MOD(G49, 10) = 0, 10, MOD(G49, 10)))+INDEX(Factor!$AE$4:$AJ$13, _xlfn.XMATCH(MonsterData!$G49, Factor!$AE$4:$AE$13, 1),5))</f>
        <v>7.3500000000000005</v>
      </c>
      <c r="Y49" s="21" cm="1">
        <f t="array" ref="Y49">P49*VLOOKUP($I49, Factor!$B$4:$G$8, 6, 0)*VLOOKUP($J49, Factor!$B$12:$G$13, 6, 0)*VLOOKUP($K49, Factor!$B$17:$G$18, 6, 0)*VLOOKUP($H49, Factor!$J$4:$O$7, 2, 0)*VLOOKUP($F49, Factor!$Q$4:$V$15, 6, 0)*IF(MOD($G49,10)=0, 10, MOD($G49, 10))*((INDEX(Factor!$X$4:$AC$13, _xlfn.XMATCH($G49, Factor!$X$4:$X$13, 1),6)*IF(MOD(G49, 10) = 0, 10, MOD(G49, 10)))+INDEX(Factor!$AE$4:$AJ$13, _xlfn.XMATCH(MonsterData!$G49, Factor!$AE$4:$AE$13, 1),6))</f>
        <v>24.500000000000004</v>
      </c>
      <c r="Z49" s="21">
        <f>$Q49*VLOOKUP($J49, Factor!$B$12:$H$13, 7, 0)</f>
        <v>4</v>
      </c>
      <c r="AA49" s="13">
        <v>1</v>
      </c>
      <c r="AB49" s="21">
        <f t="shared" si="4"/>
        <v>4</v>
      </c>
      <c r="AC49" s="13" t="s">
        <v>139</v>
      </c>
      <c r="AD49" s="15" t="s">
        <v>142</v>
      </c>
    </row>
    <row r="50" spans="1:30" ht="15.75" customHeight="1">
      <c r="A50" s="16" t="str">
        <f>T50&amp;"_"&amp;F50&amp;VLOOKUP($C50, Factor!$AM$4:$AY$30, 7, 0)&amp;IF(COUNTIFS($C$4:C49, C50, $F$4:F49, F50)+1&gt;=100, COUNTIFS($C$4:C49, C50, $F$4:F49, F50)+1,IF(COUNTIFS($C$4:C49, C50, $F$4:F49, F50)+1&gt;=10, "0"&amp;COUNTIFS($C$4:C49, C50, $F$4:F49, F50)+1, "00"&amp;COUNTIFS($C$4:C49, C50, $F$4:F49, F50)+1))</f>
        <v>enpc_F01_A_Nymphe_004</v>
      </c>
      <c r="B50" s="16"/>
      <c r="C50" s="16" t="s">
        <v>39</v>
      </c>
      <c r="D50" s="16" t="str">
        <f t="shared" si="6"/>
        <v>님프</v>
      </c>
      <c r="E50" s="17" t="str">
        <f>VLOOKUP($C50, Factor!$AM$4:$AY$30, 8, 0)</f>
        <v>S</v>
      </c>
      <c r="F50" s="17" t="s">
        <v>382</v>
      </c>
      <c r="G50" s="20">
        <v>7</v>
      </c>
      <c r="H50" s="16" t="s">
        <v>55</v>
      </c>
      <c r="I50" s="17" t="str">
        <f>VLOOKUP($C50, Factor!$AM$4:$AY$30, 11, 0)</f>
        <v>A</v>
      </c>
      <c r="J50" s="17" t="str">
        <f>VLOOKUP($C50, Factor!$AM$4:$AY$30, 12, 0)</f>
        <v>ml</v>
      </c>
      <c r="K50" s="17" t="str">
        <f>VLOOKUP($C50, Factor!$AM$4:$AY$30, 13, 0)</f>
        <v>F</v>
      </c>
      <c r="L50" s="17">
        <v>1</v>
      </c>
      <c r="M50" s="17">
        <v>1</v>
      </c>
      <c r="N50" s="17">
        <v>1</v>
      </c>
      <c r="O50" s="17">
        <v>1</v>
      </c>
      <c r="P50" s="17">
        <v>1</v>
      </c>
      <c r="Q50" s="17">
        <v>1</v>
      </c>
      <c r="R50" s="17" t="str">
        <f>VLOOKUP($C50, Factor!$AM$4:$AY$30, 9, 0)</f>
        <v>Small</v>
      </c>
      <c r="S50" s="17" t="s">
        <v>197</v>
      </c>
      <c r="T50" s="17" t="str">
        <f>VLOOKUP($C50, Factor!$AM$4:$AY$30, 10, 0)</f>
        <v>enpc</v>
      </c>
      <c r="U50" s="17" cm="1">
        <f t="array" ref="U50">L50*VLOOKUP($I50, Factor!$B$4:$G$8, 2, 0)*VLOOKUP($J50, Factor!$B$12:$G$13, 2, 0)*VLOOKUP($K50, Factor!$B$17:$G$18, 2, 0)*VLOOKUP($H50, Factor!$J$4:$O$7, 2, 0)*VLOOKUP($F50, Factor!$Q$4:$V$15, 2, 0)*IF(MOD($G50,10)=0, 10, MOD($G50, 10))*((INDEX(Factor!$X$4:$AC$13, _xlfn.XMATCH($G50, Factor!$X$4:$X$13, 1),2)*IF(MOD(G50, 10) = 0, 10, MOD(G50, 10)))+INDEX(Factor!$AE$4:$AJ$13, _xlfn.XMATCH(MonsterData!$G50, Factor!$AE$4:$AE$13, 1),2))</f>
        <v>490.00000000000006</v>
      </c>
      <c r="V50" s="17" cm="1">
        <f t="array" ref="V50">M50*VLOOKUP($I50, Factor!$B$4:$G$8, 3, 0)*VLOOKUP($J50, Factor!$B$12:$G$13, 3, 0)*VLOOKUP($K50, Factor!$B$17:$G$18, 3, 0)*VLOOKUP($H50, Factor!$J$4:$O$7, 3, 0)*VLOOKUP($F50, Factor!$Q$4:$V$15, 3, 0)*IF(MOD($G50,10)=0, 10, MOD($G50, 10))*((INDEX(Factor!$X$4:$AC$13, _xlfn.XMATCH($G50, Factor!$X$4:$X$13, 1),3)*IF(MOD(G50, 10) = 0, 10, MOD(G50, 10)))+INDEX(Factor!$AE$4:$AJ$13, _xlfn.XMATCH(MonsterData!$G50, Factor!$AE$4:$AE$13, 1),3))</f>
        <v>24.500000000000004</v>
      </c>
      <c r="W50" s="17" cm="1">
        <f t="array" ref="W50">N50*VLOOKUP($I50, Factor!$B$4:$G$8, 4, 0)*VLOOKUP($J50, Factor!$B$12:$G$13, 4, 0)*VLOOKUP($K50, Factor!$B$17:$G$18, 4, 0)*VLOOKUP($H50, Factor!$J$4:$O$7, 4, 0)*VLOOKUP($F50, Factor!$Q$4:$V$15, 4, 0)*IF(MOD($G50,10)=0, 10, MOD($G50, 10))*((INDEX(Factor!$X$4:$AC$13, _xlfn.XMATCH($G50, Factor!$X$4:$X$13, 1),4)*IF(MOD(G50, 10) = 0, 10, MOD(G50, 10)))+INDEX(Factor!$AE$4:$AJ$13, _xlfn.XMATCH(MonsterData!$G50, Factor!$AE$4:$AE$13, 1),4))</f>
        <v>14.700000000000001</v>
      </c>
      <c r="X50" s="17" cm="1">
        <f t="array" ref="X50">O50*VLOOKUP($I50, Factor!$B$4:$G$8, 5, 0)*VLOOKUP($J50, Factor!$B$12:$G$13, 5, 0)*VLOOKUP($K50, Factor!$B$17:$G$18, 5, 0)*VLOOKUP($H50, Factor!$J$4:$O$7, 5, 0)*VLOOKUP($F50, Factor!$Q$4:$V$15, 5, 0)*IF(MOD($G50,10)=0, 10, MOD($G50, 10))*((INDEX(Factor!$X$4:$AC$13, _xlfn.XMATCH($G50, Factor!$X$4:$X$13, 1),5)*IF(MOD(G50, 10) = 0, 10, MOD(G50, 10)))+INDEX(Factor!$AE$4:$AJ$13, _xlfn.XMATCH(MonsterData!$G50, Factor!$AE$4:$AE$13, 1),5))</f>
        <v>4.9000000000000004</v>
      </c>
      <c r="Y50" s="17" cm="1">
        <f t="array" ref="Y50">P50*VLOOKUP($I50, Factor!$B$4:$G$8, 6, 0)*VLOOKUP($J50, Factor!$B$12:$G$13, 6, 0)*VLOOKUP($K50, Factor!$B$17:$G$18, 6, 0)*VLOOKUP($H50, Factor!$J$4:$O$7, 2, 0)*VLOOKUP($F50, Factor!$Q$4:$V$15, 6, 0)*IF(MOD($G50,10)=0, 10, MOD($G50, 10))*((INDEX(Factor!$X$4:$AC$13, _xlfn.XMATCH($G50, Factor!$X$4:$X$13, 1),6)*IF(MOD(G50, 10) = 0, 10, MOD(G50, 10)))+INDEX(Factor!$AE$4:$AJ$13, _xlfn.XMATCH(MonsterData!$G50, Factor!$AE$4:$AE$13, 1),6))</f>
        <v>73.5</v>
      </c>
      <c r="Z50" s="17">
        <f>$Q50*VLOOKUP($J50, Factor!$B$12:$H$13, 7, 0)</f>
        <v>1</v>
      </c>
      <c r="AA50" s="17">
        <v>1</v>
      </c>
      <c r="AB50" s="17">
        <f t="shared" si="4"/>
        <v>0</v>
      </c>
      <c r="AC50" s="17" t="s">
        <v>139</v>
      </c>
      <c r="AD50" s="19" t="s">
        <v>142</v>
      </c>
    </row>
    <row r="51" spans="1:30" ht="15.75" customHeight="1">
      <c r="A51" s="13" t="str">
        <f>T51&amp;"_"&amp;F51&amp;VLOOKUP($C51, Factor!$AM$4:$AY$30, 7, 0)&amp;IF(COUNTIFS($C$4:C50, C51, $F$4:F50, F51)+1&gt;=100, COUNTIFS($C$4:C50, C51, $F$4:F50, F51)+1,IF(COUNTIFS($C$4:C50, C51, $F$4:F50, F51)+1&gt;=10, "0"&amp;COUNTIFS($C$4:C50, C51, $F$4:F50, F51)+1, "00"&amp;COUNTIFS($C$4:C50, C51, $F$4:F50, F51)+1))</f>
        <v>enpc_F01_B_Golem_004</v>
      </c>
      <c r="B51" s="13"/>
      <c r="C51" s="13" t="s">
        <v>40</v>
      </c>
      <c r="D51" s="13" t="str">
        <f t="shared" si="6"/>
        <v>골렘</v>
      </c>
      <c r="E51" s="21" t="str">
        <f>VLOOKUP($C51, Factor!$AM$4:$AY$30, 8, 0)</f>
        <v>B</v>
      </c>
      <c r="F51" s="13" t="s">
        <v>382</v>
      </c>
      <c r="G51" s="22">
        <v>14</v>
      </c>
      <c r="H51" s="13" t="s">
        <v>57</v>
      </c>
      <c r="I51" s="21" t="str">
        <f>VLOOKUP($C51, Factor!$AM$4:$AY$30, 11, 0)</f>
        <v>B</v>
      </c>
      <c r="J51" s="21" t="str">
        <f>VLOOKUP($C51, Factor!$AM$4:$AY$30, 12, 0)</f>
        <v>ml</v>
      </c>
      <c r="K51" s="21" t="str">
        <f>VLOOKUP($C51, Factor!$AM$4:$AY$30, 13, 0)</f>
        <v>L</v>
      </c>
      <c r="L51" s="13">
        <v>1</v>
      </c>
      <c r="M51" s="13">
        <v>1</v>
      </c>
      <c r="N51" s="13">
        <v>1</v>
      </c>
      <c r="O51" s="13">
        <v>1</v>
      </c>
      <c r="P51" s="13">
        <v>1</v>
      </c>
      <c r="Q51" s="13">
        <v>1</v>
      </c>
      <c r="R51" s="21" t="str">
        <f>VLOOKUP($C51, Factor!$AM$4:$AY$30, 9, 0)</f>
        <v>Big</v>
      </c>
      <c r="S51" s="13" t="s">
        <v>398</v>
      </c>
      <c r="T51" s="21" t="str">
        <f>VLOOKUP($C51, Factor!$AM$4:$AY$30, 10, 0)</f>
        <v>enpc</v>
      </c>
      <c r="U51" s="21" cm="1">
        <f t="array" ref="U51">L51*VLOOKUP($I51, Factor!$B$4:$G$8, 2, 0)*VLOOKUP($J51, Factor!$B$12:$G$13, 2, 0)*VLOOKUP($K51, Factor!$B$17:$G$18, 2, 0)*VLOOKUP($H51, Factor!$J$4:$O$7, 2, 0)*VLOOKUP($F51, Factor!$Q$4:$V$15, 2, 0)*IF(MOD($G51,10)=0, 10, MOD($G51, 10))*((INDEX(Factor!$X$4:$AC$13, _xlfn.XMATCH($G51, Factor!$X$4:$X$13, 1),2)*IF(MOD(G51, 10) = 0, 10, MOD(G51, 10)))+INDEX(Factor!$AE$4:$AJ$13, _xlfn.XMATCH(MonsterData!$G51, Factor!$AE$4:$AE$13, 1),2))</f>
        <v>10800</v>
      </c>
      <c r="V51" s="21" cm="1">
        <f t="array" ref="V51">M51*VLOOKUP($I51, Factor!$B$4:$G$8, 3, 0)*VLOOKUP($J51, Factor!$B$12:$G$13, 3, 0)*VLOOKUP($K51, Factor!$B$17:$G$18, 3, 0)*VLOOKUP($H51, Factor!$J$4:$O$7, 3, 0)*VLOOKUP($F51, Factor!$Q$4:$V$15, 3, 0)*IF(MOD($G51,10)=0, 10, MOD($G51, 10))*((INDEX(Factor!$X$4:$AC$13, _xlfn.XMATCH($G51, Factor!$X$4:$X$13, 1),3)*IF(MOD(G51, 10) = 0, 10, MOD(G51, 10)))+INDEX(Factor!$AE$4:$AJ$13, _xlfn.XMATCH(MonsterData!$G51, Factor!$AE$4:$AE$13, 1),3))</f>
        <v>540</v>
      </c>
      <c r="W51" s="21" cm="1">
        <f t="array" ref="W51">N51*VLOOKUP($I51, Factor!$B$4:$G$8, 4, 0)*VLOOKUP($J51, Factor!$B$12:$G$13, 4, 0)*VLOOKUP($K51, Factor!$B$17:$G$18, 4, 0)*VLOOKUP($H51, Factor!$J$4:$O$7, 4, 0)*VLOOKUP($F51, Factor!$Q$4:$V$15, 4, 0)*IF(MOD($G51,10)=0, 10, MOD($G51, 10))*((INDEX(Factor!$X$4:$AC$13, _xlfn.XMATCH($G51, Factor!$X$4:$X$13, 1),4)*IF(MOD(G51, 10) = 0, 10, MOD(G51, 10)))+INDEX(Factor!$AE$4:$AJ$13, _xlfn.XMATCH(MonsterData!$G51, Factor!$AE$4:$AE$13, 1),4))</f>
        <v>27</v>
      </c>
      <c r="X51" s="21" cm="1">
        <f t="array" ref="X51">O51*VLOOKUP($I51, Factor!$B$4:$G$8, 5, 0)*VLOOKUP($J51, Factor!$B$12:$G$13, 5, 0)*VLOOKUP($K51, Factor!$B$17:$G$18, 5, 0)*VLOOKUP($H51, Factor!$J$4:$O$7, 5, 0)*VLOOKUP($F51, Factor!$Q$4:$V$15, 5, 0)*IF(MOD($G51,10)=0, 10, MOD($G51, 10))*((INDEX(Factor!$X$4:$AC$13, _xlfn.XMATCH($G51, Factor!$X$4:$X$13, 1),5)*IF(MOD(G51, 10) = 0, 10, MOD(G51, 10)))+INDEX(Factor!$AE$4:$AJ$13, _xlfn.XMATCH(MonsterData!$G51, Factor!$AE$4:$AE$13, 1),5))</f>
        <v>28.8</v>
      </c>
      <c r="Y51" s="21" cm="1">
        <f t="array" ref="Y51">P51*VLOOKUP($I51, Factor!$B$4:$G$8, 6, 0)*VLOOKUP($J51, Factor!$B$12:$G$13, 6, 0)*VLOOKUP($K51, Factor!$B$17:$G$18, 6, 0)*VLOOKUP($H51, Factor!$J$4:$O$7, 2, 0)*VLOOKUP($F51, Factor!$Q$4:$V$15, 6, 0)*IF(MOD($G51,10)=0, 10, MOD($G51, 10))*((INDEX(Factor!$X$4:$AC$13, _xlfn.XMATCH($G51, Factor!$X$4:$X$13, 1),6)*IF(MOD(G51, 10) = 0, 10, MOD(G51, 10)))+INDEX(Factor!$AE$4:$AJ$13, _xlfn.XMATCH(MonsterData!$G51, Factor!$AE$4:$AE$13, 1),6))</f>
        <v>57.6</v>
      </c>
      <c r="Z51" s="21">
        <f>$Q51*VLOOKUP($J51, Factor!$B$12:$H$13, 7, 0)</f>
        <v>1</v>
      </c>
      <c r="AA51" s="13">
        <v>1</v>
      </c>
      <c r="AB51" s="21">
        <f t="shared" si="4"/>
        <v>0</v>
      </c>
      <c r="AC51" s="13" t="s">
        <v>140</v>
      </c>
      <c r="AD51" s="15" t="s">
        <v>143</v>
      </c>
    </row>
    <row r="52" spans="1:30" ht="15.75" customHeight="1">
      <c r="A52" s="16" t="str">
        <f>T52&amp;"_"&amp;F52&amp;VLOOKUP($C52, Factor!$AM$4:$AY$30, 7, 0)&amp;IF(COUNTIFS($C$4:C51, C52, $F$4:F51, F52)+1&gt;=100, COUNTIFS($C$4:C51, C52, $F$4:F51, F52)+1,IF(COUNTIFS($C$4:C51, C52, $F$4:F51, F52)+1&gt;=10, "0"&amp;COUNTIFS($C$4:C51, C52, $F$4:F51, F52)+1, "00"&amp;COUNTIFS($C$4:C51, C52, $F$4:F51, F52)+1))</f>
        <v>enpc_F01_B_Banshee_004</v>
      </c>
      <c r="B52" s="16"/>
      <c r="C52" s="16" t="s">
        <v>42</v>
      </c>
      <c r="D52" s="16" t="str">
        <f t="shared" si="6"/>
        <v>밴시</v>
      </c>
      <c r="E52" s="17" t="str">
        <f>VLOOKUP($C52, Factor!$AM$4:$AY$30, 8, 0)</f>
        <v>S</v>
      </c>
      <c r="F52" s="17" t="s">
        <v>382</v>
      </c>
      <c r="G52" s="20">
        <v>14</v>
      </c>
      <c r="H52" s="16" t="s">
        <v>56</v>
      </c>
      <c r="I52" s="17" t="str">
        <f>VLOOKUP($C52, Factor!$AM$4:$AY$30, 11, 0)</f>
        <v>B</v>
      </c>
      <c r="J52" s="17" t="str">
        <f>VLOOKUP($C52, Factor!$AM$4:$AY$30, 12, 0)</f>
        <v>ra</v>
      </c>
      <c r="K52" s="17" t="str">
        <f>VLOOKUP($C52, Factor!$AM$4:$AY$30, 13, 0)</f>
        <v>L</v>
      </c>
      <c r="L52" s="17">
        <v>1</v>
      </c>
      <c r="M52" s="17">
        <v>1</v>
      </c>
      <c r="N52" s="17">
        <v>1</v>
      </c>
      <c r="O52" s="17">
        <v>1</v>
      </c>
      <c r="P52" s="17">
        <v>1</v>
      </c>
      <c r="Q52" s="17">
        <v>1</v>
      </c>
      <c r="R52" s="17" t="str">
        <f>VLOOKUP($C52, Factor!$AM$4:$AY$30, 9, 0)</f>
        <v>Midium</v>
      </c>
      <c r="S52" s="17" t="s">
        <v>198</v>
      </c>
      <c r="T52" s="17" t="str">
        <f>VLOOKUP($C52, Factor!$AM$4:$AY$30, 10, 0)</f>
        <v>enpc</v>
      </c>
      <c r="U52" s="17" cm="1">
        <f t="array" ref="U52">L52*VLOOKUP($I52, Factor!$B$4:$G$8, 2, 0)*VLOOKUP($J52, Factor!$B$12:$G$13, 2, 0)*VLOOKUP($K52, Factor!$B$17:$G$18, 2, 0)*VLOOKUP($H52, Factor!$J$4:$O$7, 2, 0)*VLOOKUP($F52, Factor!$Q$4:$V$15, 2, 0)*IF(MOD($G52,10)=0, 10, MOD($G52, 10))*((INDEX(Factor!$X$4:$AC$13, _xlfn.XMATCH($G52, Factor!$X$4:$X$13, 1),2)*IF(MOD(G52, 10) = 0, 10, MOD(G52, 10)))+INDEX(Factor!$AE$4:$AJ$13, _xlfn.XMATCH(MonsterData!$G52, Factor!$AE$4:$AE$13, 1),2))</f>
        <v>4320</v>
      </c>
      <c r="V52" s="17" cm="1">
        <f t="array" ref="V52">M52*VLOOKUP($I52, Factor!$B$4:$G$8, 3, 0)*VLOOKUP($J52, Factor!$B$12:$G$13, 3, 0)*VLOOKUP($K52, Factor!$B$17:$G$18, 3, 0)*VLOOKUP($H52, Factor!$J$4:$O$7, 3, 0)*VLOOKUP($F52, Factor!$Q$4:$V$15, 3, 0)*IF(MOD($G52,10)=0, 10, MOD($G52, 10))*((INDEX(Factor!$X$4:$AC$13, _xlfn.XMATCH($G52, Factor!$X$4:$X$13, 1),3)*IF(MOD(G52, 10) = 0, 10, MOD(G52, 10)))+INDEX(Factor!$AE$4:$AJ$13, _xlfn.XMATCH(MonsterData!$G52, Factor!$AE$4:$AE$13, 1),3))</f>
        <v>216</v>
      </c>
      <c r="W52" s="17" cm="1">
        <f t="array" ref="W52">N52*VLOOKUP($I52, Factor!$B$4:$G$8, 4, 0)*VLOOKUP($J52, Factor!$B$12:$G$13, 4, 0)*VLOOKUP($K52, Factor!$B$17:$G$18, 4, 0)*VLOOKUP($H52, Factor!$J$4:$O$7, 4, 0)*VLOOKUP($F52, Factor!$Q$4:$V$15, 4, 0)*IF(MOD($G52,10)=0, 10, MOD($G52, 10))*((INDEX(Factor!$X$4:$AC$13, _xlfn.XMATCH($G52, Factor!$X$4:$X$13, 1),4)*IF(MOD(G52, 10) = 0, 10, MOD(G52, 10)))+INDEX(Factor!$AE$4:$AJ$13, _xlfn.XMATCH(MonsterData!$G52, Factor!$AE$4:$AE$13, 1),4))</f>
        <v>648</v>
      </c>
      <c r="X52" s="17" cm="1">
        <f t="array" ref="X52">O52*VLOOKUP($I52, Factor!$B$4:$G$8, 5, 0)*VLOOKUP($J52, Factor!$B$12:$G$13, 5, 0)*VLOOKUP($K52, Factor!$B$17:$G$18, 5, 0)*VLOOKUP($H52, Factor!$J$4:$O$7, 5, 0)*VLOOKUP($F52, Factor!$Q$4:$V$15, 5, 0)*IF(MOD($G52,10)=0, 10, MOD($G52, 10))*((INDEX(Factor!$X$4:$AC$13, _xlfn.XMATCH($G52, Factor!$X$4:$X$13, 1),5)*IF(MOD(G52, 10) = 0, 10, MOD(G52, 10)))+INDEX(Factor!$AE$4:$AJ$13, _xlfn.XMATCH(MonsterData!$G52, Factor!$AE$4:$AE$13, 1),5))</f>
        <v>19.440000000000001</v>
      </c>
      <c r="Y52" s="17" cm="1">
        <f t="array" ref="Y52">P52*VLOOKUP($I52, Factor!$B$4:$G$8, 6, 0)*VLOOKUP($J52, Factor!$B$12:$G$13, 6, 0)*VLOOKUP($K52, Factor!$B$17:$G$18, 6, 0)*VLOOKUP($H52, Factor!$J$4:$O$7, 2, 0)*VLOOKUP($F52, Factor!$Q$4:$V$15, 6, 0)*IF(MOD($G52,10)=0, 10, MOD($G52, 10))*((INDEX(Factor!$X$4:$AC$13, _xlfn.XMATCH($G52, Factor!$X$4:$X$13, 1),6)*IF(MOD(G52, 10) = 0, 10, MOD(G52, 10)))+INDEX(Factor!$AE$4:$AJ$13, _xlfn.XMATCH(MonsterData!$G52, Factor!$AE$4:$AE$13, 1),6))</f>
        <v>28.8</v>
      </c>
      <c r="Z52" s="17">
        <f>$Q52*VLOOKUP($J52, Factor!$B$12:$H$13, 7, 0)</f>
        <v>4</v>
      </c>
      <c r="AA52" s="17">
        <v>1</v>
      </c>
      <c r="AB52" s="17">
        <f t="shared" si="4"/>
        <v>4</v>
      </c>
      <c r="AC52" s="17" t="s">
        <v>141</v>
      </c>
      <c r="AD52" s="19" t="s">
        <v>144</v>
      </c>
    </row>
    <row r="53" spans="1:30" ht="15.75" customHeight="1">
      <c r="A53" s="13" t="str">
        <f>T53&amp;"_"&amp;F53&amp;VLOOKUP($C53, Factor!$AM$4:$AY$30, 7, 0)&amp;IF(COUNTIFS($C$4:C52, C53, $F$4:F52, F53)+1&gt;=100, COUNTIFS($C$4:C52, C53, $F$4:F52, F53)+1,IF(COUNTIFS($C$4:C52, C53, $F$4:F52, F53)+1&gt;=10, "0"&amp;COUNTIFS($C$4:C52, C53, $F$4:F52, F53)+1, "00"&amp;COUNTIFS($C$4:C52, C53, $F$4:F52, F53)+1))</f>
        <v>enpc_F01_A_Scarab_004</v>
      </c>
      <c r="B53" s="13"/>
      <c r="C53" s="13" t="s">
        <v>353</v>
      </c>
      <c r="D53" s="13" t="str">
        <f t="shared" si="6"/>
        <v>스캐럽</v>
      </c>
      <c r="E53" s="21" t="str">
        <f>VLOOKUP($C53, Factor!$AM$4:$AY$30, 8, 0)</f>
        <v>S</v>
      </c>
      <c r="F53" s="13" t="s">
        <v>382</v>
      </c>
      <c r="G53" s="22">
        <v>7</v>
      </c>
      <c r="H53" s="13" t="s">
        <v>55</v>
      </c>
      <c r="I53" s="21" t="str">
        <f>VLOOKUP($C53, Factor!$AM$4:$AY$30, 11, 0)</f>
        <v>A</v>
      </c>
      <c r="J53" s="21" t="str">
        <f>VLOOKUP($C53, Factor!$AM$4:$AY$30, 12, 0)</f>
        <v>ml</v>
      </c>
      <c r="K53" s="21" t="str">
        <f>VLOOKUP($C53, Factor!$AM$4:$AY$30, 13, 0)</f>
        <v>L</v>
      </c>
      <c r="L53" s="13">
        <v>1</v>
      </c>
      <c r="M53" s="13">
        <v>1</v>
      </c>
      <c r="N53" s="13">
        <v>1</v>
      </c>
      <c r="O53" s="13">
        <v>1</v>
      </c>
      <c r="P53" s="13">
        <v>1</v>
      </c>
      <c r="Q53" s="13">
        <v>1</v>
      </c>
      <c r="R53" s="21" t="str">
        <f>VLOOKUP($C53, Factor!$AM$4:$AY$30, 9, 0)</f>
        <v>Midium</v>
      </c>
      <c r="S53" s="13" t="s">
        <v>399</v>
      </c>
      <c r="T53" s="21" t="str">
        <f>VLOOKUP($C53, Factor!$AM$4:$AY$30, 10, 0)</f>
        <v>enpc</v>
      </c>
      <c r="U53" s="21" cm="1">
        <f t="array" ref="U53">L53*VLOOKUP($I53, Factor!$B$4:$G$8, 2, 0)*VLOOKUP($J53, Factor!$B$12:$G$13, 2, 0)*VLOOKUP($K53, Factor!$B$17:$G$18, 2, 0)*VLOOKUP($H53, Factor!$J$4:$O$7, 2, 0)*VLOOKUP($F53, Factor!$Q$4:$V$15, 2, 0)*IF(MOD($G53,10)=0, 10, MOD($G53, 10))*((INDEX(Factor!$X$4:$AC$13, _xlfn.XMATCH($G53, Factor!$X$4:$X$13, 1),2)*IF(MOD(G53, 10) = 0, 10, MOD(G53, 10)))+INDEX(Factor!$AE$4:$AJ$13, _xlfn.XMATCH(MonsterData!$G53, Factor!$AE$4:$AE$13, 1),2))</f>
        <v>735.00000000000011</v>
      </c>
      <c r="V53" s="21" cm="1">
        <f t="array" ref="V53">M53*VLOOKUP($I53, Factor!$B$4:$G$8, 3, 0)*VLOOKUP($J53, Factor!$B$12:$G$13, 3, 0)*VLOOKUP($K53, Factor!$B$17:$G$18, 3, 0)*VLOOKUP($H53, Factor!$J$4:$O$7, 3, 0)*VLOOKUP($F53, Factor!$Q$4:$V$15, 3, 0)*IF(MOD($G53,10)=0, 10, MOD($G53, 10))*((INDEX(Factor!$X$4:$AC$13, _xlfn.XMATCH($G53, Factor!$X$4:$X$13, 1),3)*IF(MOD(G53, 10) = 0, 10, MOD(G53, 10)))+INDEX(Factor!$AE$4:$AJ$13, _xlfn.XMATCH(MonsterData!$G53, Factor!$AE$4:$AE$13, 1),3))</f>
        <v>36.75</v>
      </c>
      <c r="W53" s="21" cm="1">
        <f t="array" ref="W53">N53*VLOOKUP($I53, Factor!$B$4:$G$8, 4, 0)*VLOOKUP($J53, Factor!$B$12:$G$13, 4, 0)*VLOOKUP($K53, Factor!$B$17:$G$18, 4, 0)*VLOOKUP($H53, Factor!$J$4:$O$7, 4, 0)*VLOOKUP($F53, Factor!$Q$4:$V$15, 4, 0)*IF(MOD($G53,10)=0, 10, MOD($G53, 10))*((INDEX(Factor!$X$4:$AC$13, _xlfn.XMATCH($G53, Factor!$X$4:$X$13, 1),4)*IF(MOD(G53, 10) = 0, 10, MOD(G53, 10)))+INDEX(Factor!$AE$4:$AJ$13, _xlfn.XMATCH(MonsterData!$G53, Factor!$AE$4:$AE$13, 1),4))</f>
        <v>22.05</v>
      </c>
      <c r="X53" s="21" cm="1">
        <f t="array" ref="X53">O53*VLOOKUP($I53, Factor!$B$4:$G$8, 5, 0)*VLOOKUP($J53, Factor!$B$12:$G$13, 5, 0)*VLOOKUP($K53, Factor!$B$17:$G$18, 5, 0)*VLOOKUP($H53, Factor!$J$4:$O$7, 5, 0)*VLOOKUP($F53, Factor!$Q$4:$V$15, 5, 0)*IF(MOD($G53,10)=0, 10, MOD($G53, 10))*((INDEX(Factor!$X$4:$AC$13, _xlfn.XMATCH($G53, Factor!$X$4:$X$13, 1),5)*IF(MOD(G53, 10) = 0, 10, MOD(G53, 10)))+INDEX(Factor!$AE$4:$AJ$13, _xlfn.XMATCH(MonsterData!$G53, Factor!$AE$4:$AE$13, 1),5))</f>
        <v>4.9000000000000004</v>
      </c>
      <c r="Y53" s="21" cm="1">
        <f t="array" ref="Y53">P53*VLOOKUP($I53, Factor!$B$4:$G$8, 6, 0)*VLOOKUP($J53, Factor!$B$12:$G$13, 6, 0)*VLOOKUP($K53, Factor!$B$17:$G$18, 6, 0)*VLOOKUP($H53, Factor!$J$4:$O$7, 2, 0)*VLOOKUP($F53, Factor!$Q$4:$V$15, 6, 0)*IF(MOD($G53,10)=0, 10, MOD($G53, 10))*((INDEX(Factor!$X$4:$AC$13, _xlfn.XMATCH($G53, Factor!$X$4:$X$13, 1),6)*IF(MOD(G53, 10) = 0, 10, MOD(G53, 10)))+INDEX(Factor!$AE$4:$AJ$13, _xlfn.XMATCH(MonsterData!$G53, Factor!$AE$4:$AE$13, 1),6))</f>
        <v>24.500000000000004</v>
      </c>
      <c r="Z53" s="21">
        <f>$Q53*VLOOKUP($J53, Factor!$B$12:$H$13, 7, 0)</f>
        <v>1</v>
      </c>
      <c r="AA53" s="13">
        <v>1</v>
      </c>
      <c r="AB53" s="21">
        <f t="shared" si="4"/>
        <v>0</v>
      </c>
      <c r="AC53" s="13" t="s">
        <v>139</v>
      </c>
      <c r="AD53" s="15" t="s">
        <v>387</v>
      </c>
    </row>
    <row r="54" spans="1:30" ht="15.75" customHeight="1">
      <c r="A54" s="16" t="str">
        <f>T54&amp;"_"&amp;F54&amp;VLOOKUP($C54, Factor!$AM$4:$AY$30, 7, 0)&amp;IF(COUNTIFS($C$4:C53, C54, $F$4:F53, F54)+1&gt;=100, COUNTIFS($C$4:C53, C54, $F$4:F53, F54)+1,IF(COUNTIFS($C$4:C53, C54, $F$4:F53, F54)+1&gt;=10, "0"&amp;COUNTIFS($C$4:C53, C54, $F$4:F53, F54)+1, "00"&amp;COUNTIFS($C$4:C53, C54, $F$4:F53, F54)+1))</f>
        <v>enpc_F01_A_Swarmlet_004</v>
      </c>
      <c r="B54" s="16"/>
      <c r="C54" s="16" t="s">
        <v>355</v>
      </c>
      <c r="D54" s="16" t="str">
        <f t="shared" si="6"/>
        <v>스웜렛</v>
      </c>
      <c r="E54" s="17" t="str">
        <f>VLOOKUP($C54, Factor!$AM$4:$AY$30, 8, 0)</f>
        <v>B</v>
      </c>
      <c r="F54" s="17" t="s">
        <v>382</v>
      </c>
      <c r="G54" s="20">
        <v>7</v>
      </c>
      <c r="H54" s="16" t="s">
        <v>56</v>
      </c>
      <c r="I54" s="17" t="str">
        <f>VLOOKUP($C54, Factor!$AM$4:$AY$30, 11, 0)</f>
        <v>A</v>
      </c>
      <c r="J54" s="17" t="str">
        <f>VLOOKUP($C54, Factor!$AM$4:$AY$30, 12, 0)</f>
        <v>ml</v>
      </c>
      <c r="K54" s="17" t="str">
        <f>VLOOKUP($C54, Factor!$AM$4:$AY$30, 13, 0)</f>
        <v>L</v>
      </c>
      <c r="L54" s="17">
        <v>1</v>
      </c>
      <c r="M54" s="17">
        <v>1</v>
      </c>
      <c r="N54" s="17">
        <v>1</v>
      </c>
      <c r="O54" s="17">
        <v>1</v>
      </c>
      <c r="P54" s="17">
        <v>1</v>
      </c>
      <c r="Q54" s="17">
        <v>1</v>
      </c>
      <c r="R54" s="17" t="str">
        <f>VLOOKUP($C54, Factor!$AM$4:$AY$30, 9, 0)</f>
        <v>Small</v>
      </c>
      <c r="S54" s="17" t="s">
        <v>376</v>
      </c>
      <c r="T54" s="17" t="str">
        <f>VLOOKUP($C54, Factor!$AM$4:$AY$30, 10, 0)</f>
        <v>enpc</v>
      </c>
      <c r="U54" s="17" cm="1">
        <f t="array" ref="U54">L54*VLOOKUP($I54, Factor!$B$4:$G$8, 2, 0)*VLOOKUP($J54, Factor!$B$12:$G$13, 2, 0)*VLOOKUP($K54, Factor!$B$17:$G$18, 2, 0)*VLOOKUP($H54, Factor!$J$4:$O$7, 2, 0)*VLOOKUP($F54, Factor!$Q$4:$V$15, 2, 0)*IF(MOD($G54,10)=0, 10, MOD($G54, 10))*((INDEX(Factor!$X$4:$AC$13, _xlfn.XMATCH($G54, Factor!$X$4:$X$13, 1),2)*IF(MOD(G54, 10) = 0, 10, MOD(G54, 10)))+INDEX(Factor!$AE$4:$AJ$13, _xlfn.XMATCH(MonsterData!$G54, Factor!$AE$4:$AE$13, 1),2))</f>
        <v>735.00000000000011</v>
      </c>
      <c r="V54" s="17" cm="1">
        <f t="array" ref="V54">M54*VLOOKUP($I54, Factor!$B$4:$G$8, 3, 0)*VLOOKUP($J54, Factor!$B$12:$G$13, 3, 0)*VLOOKUP($K54, Factor!$B$17:$G$18, 3, 0)*VLOOKUP($H54, Factor!$J$4:$O$7, 3, 0)*VLOOKUP($F54, Factor!$Q$4:$V$15, 3, 0)*IF(MOD($G54,10)=0, 10, MOD($G54, 10))*((INDEX(Factor!$X$4:$AC$13, _xlfn.XMATCH($G54, Factor!$X$4:$X$13, 1),3)*IF(MOD(G54, 10) = 0, 10, MOD(G54, 10)))+INDEX(Factor!$AE$4:$AJ$13, _xlfn.XMATCH(MonsterData!$G54, Factor!$AE$4:$AE$13, 1),3))</f>
        <v>36.75</v>
      </c>
      <c r="W54" s="17" cm="1">
        <f t="array" ref="W54">N54*VLOOKUP($I54, Factor!$B$4:$G$8, 4, 0)*VLOOKUP($J54, Factor!$B$12:$G$13, 4, 0)*VLOOKUP($K54, Factor!$B$17:$G$18, 4, 0)*VLOOKUP($H54, Factor!$J$4:$O$7, 4, 0)*VLOOKUP($F54, Factor!$Q$4:$V$15, 4, 0)*IF(MOD($G54,10)=0, 10, MOD($G54, 10))*((INDEX(Factor!$X$4:$AC$13, _xlfn.XMATCH($G54, Factor!$X$4:$X$13, 1),4)*IF(MOD(G54, 10) = 0, 10, MOD(G54, 10)))+INDEX(Factor!$AE$4:$AJ$13, _xlfn.XMATCH(MonsterData!$G54, Factor!$AE$4:$AE$13, 1),4))</f>
        <v>44.1</v>
      </c>
      <c r="X54" s="17" cm="1">
        <f t="array" ref="X54">O54*VLOOKUP($I54, Factor!$B$4:$G$8, 5, 0)*VLOOKUP($J54, Factor!$B$12:$G$13, 5, 0)*VLOOKUP($K54, Factor!$B$17:$G$18, 5, 0)*VLOOKUP($H54, Factor!$J$4:$O$7, 5, 0)*VLOOKUP($F54, Factor!$Q$4:$V$15, 5, 0)*IF(MOD($G54,10)=0, 10, MOD($G54, 10))*((INDEX(Factor!$X$4:$AC$13, _xlfn.XMATCH($G54, Factor!$X$4:$X$13, 1),5)*IF(MOD(G54, 10) = 0, 10, MOD(G54, 10)))+INDEX(Factor!$AE$4:$AJ$13, _xlfn.XMATCH(MonsterData!$G54, Factor!$AE$4:$AE$13, 1),5))</f>
        <v>4.41</v>
      </c>
      <c r="Y54" s="17" cm="1">
        <f t="array" ref="Y54">P54*VLOOKUP($I54, Factor!$B$4:$G$8, 6, 0)*VLOOKUP($J54, Factor!$B$12:$G$13, 6, 0)*VLOOKUP($K54, Factor!$B$17:$G$18, 6, 0)*VLOOKUP($H54, Factor!$J$4:$O$7, 2, 0)*VLOOKUP($F54, Factor!$Q$4:$V$15, 6, 0)*IF(MOD($G54,10)=0, 10, MOD($G54, 10))*((INDEX(Factor!$X$4:$AC$13, _xlfn.XMATCH($G54, Factor!$X$4:$X$13, 1),6)*IF(MOD(G54, 10) = 0, 10, MOD(G54, 10)))+INDEX(Factor!$AE$4:$AJ$13, _xlfn.XMATCH(MonsterData!$G54, Factor!$AE$4:$AE$13, 1),6))</f>
        <v>24.500000000000004</v>
      </c>
      <c r="Z54" s="17">
        <f>$Q54*VLOOKUP($J54, Factor!$B$12:$H$13, 7, 0)</f>
        <v>1</v>
      </c>
      <c r="AA54" s="17">
        <v>1</v>
      </c>
      <c r="AB54" s="17">
        <f t="shared" si="4"/>
        <v>0</v>
      </c>
      <c r="AC54" s="17" t="s">
        <v>139</v>
      </c>
      <c r="AD54" s="19" t="s">
        <v>387</v>
      </c>
    </row>
    <row r="55" spans="1:30" ht="15.75" customHeight="1">
      <c r="A55" s="13" t="str">
        <f>T55&amp;"_"&amp;F55&amp;VLOOKUP($C55, Factor!$AM$4:$AY$30, 7, 0)&amp;IF(COUNTIFS($C$4:C54, C55, $F$4:F54, F55)+1&gt;=100, COUNTIFS($C$4:C54, C55, $F$4:F54, F55)+1,IF(COUNTIFS($C$4:C54, C55, $F$4:F54, F55)+1&gt;=10, "0"&amp;COUNTIFS($C$4:C54, C55, $F$4:F54, F55)+1, "00"&amp;COUNTIFS($C$4:C54, C55, $F$4:F54, F55)+1))</f>
        <v>enpc_F01_A_Mantis_004</v>
      </c>
      <c r="B55" s="13"/>
      <c r="C55" s="13" t="s">
        <v>357</v>
      </c>
      <c r="D55" s="13" t="str">
        <f t="shared" si="6"/>
        <v>맨티스</v>
      </c>
      <c r="E55" s="21" t="str">
        <f>VLOOKUP($C55, Factor!$AM$4:$AY$30, 8, 0)</f>
        <v>S</v>
      </c>
      <c r="F55" s="13" t="s">
        <v>382</v>
      </c>
      <c r="G55" s="22">
        <v>7</v>
      </c>
      <c r="H55" s="13" t="s">
        <v>55</v>
      </c>
      <c r="I55" s="21" t="str">
        <f>VLOOKUP($C55, Factor!$AM$4:$AY$30, 11, 0)</f>
        <v>A</v>
      </c>
      <c r="J55" s="21" t="str">
        <f>VLOOKUP($C55, Factor!$AM$4:$AY$30, 12, 0)</f>
        <v>ml</v>
      </c>
      <c r="K55" s="21" t="str">
        <f>VLOOKUP($C55, Factor!$AM$4:$AY$30, 13, 0)</f>
        <v>L</v>
      </c>
      <c r="L55" s="13">
        <v>1</v>
      </c>
      <c r="M55" s="13">
        <v>1</v>
      </c>
      <c r="N55" s="13">
        <v>1</v>
      </c>
      <c r="O55" s="13">
        <v>1</v>
      </c>
      <c r="P55" s="13">
        <v>1</v>
      </c>
      <c r="Q55" s="13">
        <v>1</v>
      </c>
      <c r="R55" s="21" t="str">
        <f>VLOOKUP($C55, Factor!$AM$4:$AY$30, 9, 0)</f>
        <v>Small</v>
      </c>
      <c r="S55" s="13" t="s">
        <v>400</v>
      </c>
      <c r="T55" s="21" t="str">
        <f>VLOOKUP($C55, Factor!$AM$4:$AY$30, 10, 0)</f>
        <v>enpc</v>
      </c>
      <c r="U55" s="21" cm="1">
        <f t="array" ref="U55">L55*VLOOKUP($I55, Factor!$B$4:$G$8, 2, 0)*VLOOKUP($J55, Factor!$B$12:$G$13, 2, 0)*VLOOKUP($K55, Factor!$B$17:$G$18, 2, 0)*VLOOKUP($H55, Factor!$J$4:$O$7, 2, 0)*VLOOKUP($F55, Factor!$Q$4:$V$15, 2, 0)*IF(MOD($G55,10)=0, 10, MOD($G55, 10))*((INDEX(Factor!$X$4:$AC$13, _xlfn.XMATCH($G55, Factor!$X$4:$X$13, 1),2)*IF(MOD(G55, 10) = 0, 10, MOD(G55, 10)))+INDEX(Factor!$AE$4:$AJ$13, _xlfn.XMATCH(MonsterData!$G55, Factor!$AE$4:$AE$13, 1),2))</f>
        <v>735.00000000000011</v>
      </c>
      <c r="V55" s="21" cm="1">
        <f t="array" ref="V55">M55*VLOOKUP($I55, Factor!$B$4:$G$8, 3, 0)*VLOOKUP($J55, Factor!$B$12:$G$13, 3, 0)*VLOOKUP($K55, Factor!$B$17:$G$18, 3, 0)*VLOOKUP($H55, Factor!$J$4:$O$7, 3, 0)*VLOOKUP($F55, Factor!$Q$4:$V$15, 3, 0)*IF(MOD($G55,10)=0, 10, MOD($G55, 10))*((INDEX(Factor!$X$4:$AC$13, _xlfn.XMATCH($G55, Factor!$X$4:$X$13, 1),3)*IF(MOD(G55, 10) = 0, 10, MOD(G55, 10)))+INDEX(Factor!$AE$4:$AJ$13, _xlfn.XMATCH(MonsterData!$G55, Factor!$AE$4:$AE$13, 1),3))</f>
        <v>36.75</v>
      </c>
      <c r="W55" s="21" cm="1">
        <f t="array" ref="W55">N55*VLOOKUP($I55, Factor!$B$4:$G$8, 4, 0)*VLOOKUP($J55, Factor!$B$12:$G$13, 4, 0)*VLOOKUP($K55, Factor!$B$17:$G$18, 4, 0)*VLOOKUP($H55, Factor!$J$4:$O$7, 4, 0)*VLOOKUP($F55, Factor!$Q$4:$V$15, 4, 0)*IF(MOD($G55,10)=0, 10, MOD($G55, 10))*((INDEX(Factor!$X$4:$AC$13, _xlfn.XMATCH($G55, Factor!$X$4:$X$13, 1),4)*IF(MOD(G55, 10) = 0, 10, MOD(G55, 10)))+INDEX(Factor!$AE$4:$AJ$13, _xlfn.XMATCH(MonsterData!$G55, Factor!$AE$4:$AE$13, 1),4))</f>
        <v>22.05</v>
      </c>
      <c r="X55" s="21" cm="1">
        <f t="array" ref="X55">O55*VLOOKUP($I55, Factor!$B$4:$G$8, 5, 0)*VLOOKUP($J55, Factor!$B$12:$G$13, 5, 0)*VLOOKUP($K55, Factor!$B$17:$G$18, 5, 0)*VLOOKUP($H55, Factor!$J$4:$O$7, 5, 0)*VLOOKUP($F55, Factor!$Q$4:$V$15, 5, 0)*IF(MOD($G55,10)=0, 10, MOD($G55, 10))*((INDEX(Factor!$X$4:$AC$13, _xlfn.XMATCH($G55, Factor!$X$4:$X$13, 1),5)*IF(MOD(G55, 10) = 0, 10, MOD(G55, 10)))+INDEX(Factor!$AE$4:$AJ$13, _xlfn.XMATCH(MonsterData!$G55, Factor!$AE$4:$AE$13, 1),5))</f>
        <v>4.9000000000000004</v>
      </c>
      <c r="Y55" s="21" cm="1">
        <f t="array" ref="Y55">P55*VLOOKUP($I55, Factor!$B$4:$G$8, 6, 0)*VLOOKUP($J55, Factor!$B$12:$G$13, 6, 0)*VLOOKUP($K55, Factor!$B$17:$G$18, 6, 0)*VLOOKUP($H55, Factor!$J$4:$O$7, 2, 0)*VLOOKUP($F55, Factor!$Q$4:$V$15, 6, 0)*IF(MOD($G55,10)=0, 10, MOD($G55, 10))*((INDEX(Factor!$X$4:$AC$13, _xlfn.XMATCH($G55, Factor!$X$4:$X$13, 1),6)*IF(MOD(G55, 10) = 0, 10, MOD(G55, 10)))+INDEX(Factor!$AE$4:$AJ$13, _xlfn.XMATCH(MonsterData!$G55, Factor!$AE$4:$AE$13, 1),6))</f>
        <v>24.500000000000004</v>
      </c>
      <c r="Z55" s="21">
        <f>$Q55*VLOOKUP($J55, Factor!$B$12:$H$13, 7, 0)</f>
        <v>1</v>
      </c>
      <c r="AA55" s="13">
        <v>1</v>
      </c>
      <c r="AB55" s="21">
        <f t="shared" si="4"/>
        <v>0</v>
      </c>
      <c r="AC55" s="13" t="s">
        <v>139</v>
      </c>
      <c r="AD55" s="15" t="s">
        <v>387</v>
      </c>
    </row>
    <row r="56" spans="1:30" ht="15.75" customHeight="1">
      <c r="A56" s="16" t="str">
        <f>T56&amp;"_"&amp;F56&amp;VLOOKUP($C56, Factor!$AM$4:$AY$30, 7, 0)&amp;IF(COUNTIFS($C$4:C55, C56, $F$4:F55, F56)+1&gt;=100, COUNTIFS($C$4:C55, C56, $F$4:F55, F56)+1,IF(COUNTIFS($C$4:C55, C56, $F$4:F55, F56)+1&gt;=10, "0"&amp;COUNTIFS($C$4:C55, C56, $F$4:F55, F56)+1, "00"&amp;COUNTIFS($C$4:C55, C56, $F$4:F55, F56)+1))</f>
        <v>enpc_F01_B_Kobold_004</v>
      </c>
      <c r="B56" s="16"/>
      <c r="C56" s="16" t="s">
        <v>359</v>
      </c>
      <c r="D56" s="16" t="str">
        <f t="shared" si="6"/>
        <v>코볼트</v>
      </c>
      <c r="E56" s="17" t="str">
        <f>VLOOKUP($C56, Factor!$AM$4:$AY$30, 8, 0)</f>
        <v>M</v>
      </c>
      <c r="F56" s="17" t="s">
        <v>382</v>
      </c>
      <c r="G56" s="20">
        <v>14</v>
      </c>
      <c r="H56" s="16" t="s">
        <v>56</v>
      </c>
      <c r="I56" s="17" t="str">
        <f>VLOOKUP($C56, Factor!$AM$4:$AY$30, 11, 0)</f>
        <v>B</v>
      </c>
      <c r="J56" s="17" t="str">
        <f>VLOOKUP($C56, Factor!$AM$4:$AY$30, 12, 0)</f>
        <v>ml</v>
      </c>
      <c r="K56" s="17" t="str">
        <f>VLOOKUP($C56, Factor!$AM$4:$AY$30, 13, 0)</f>
        <v>L</v>
      </c>
      <c r="L56" s="17">
        <v>1</v>
      </c>
      <c r="M56" s="17">
        <v>1</v>
      </c>
      <c r="N56" s="17">
        <v>1</v>
      </c>
      <c r="O56" s="17">
        <v>1</v>
      </c>
      <c r="P56" s="17">
        <v>1</v>
      </c>
      <c r="Q56" s="17">
        <v>1</v>
      </c>
      <c r="R56" s="17" t="str">
        <f>VLOOKUP($C56, Factor!$AM$4:$AY$30, 9, 0)</f>
        <v>Small</v>
      </c>
      <c r="S56" s="17" t="s">
        <v>378</v>
      </c>
      <c r="T56" s="17" t="str">
        <f>VLOOKUP($C56, Factor!$AM$4:$AY$30, 10, 0)</f>
        <v>enpc</v>
      </c>
      <c r="U56" s="17" cm="1">
        <f t="array" ref="U56">L56*VLOOKUP($I56, Factor!$B$4:$G$8, 2, 0)*VLOOKUP($J56, Factor!$B$12:$G$13, 2, 0)*VLOOKUP($K56, Factor!$B$17:$G$18, 2, 0)*VLOOKUP($H56, Factor!$J$4:$O$7, 2, 0)*VLOOKUP($F56, Factor!$Q$4:$V$15, 2, 0)*IF(MOD($G56,10)=0, 10, MOD($G56, 10))*((INDEX(Factor!$X$4:$AC$13, _xlfn.XMATCH($G56, Factor!$X$4:$X$13, 1),2)*IF(MOD(G56, 10) = 0, 10, MOD(G56, 10)))+INDEX(Factor!$AE$4:$AJ$13, _xlfn.XMATCH(MonsterData!$G56, Factor!$AE$4:$AE$13, 1),2))</f>
        <v>5400</v>
      </c>
      <c r="V56" s="17" cm="1">
        <f t="array" ref="V56">M56*VLOOKUP($I56, Factor!$B$4:$G$8, 3, 0)*VLOOKUP($J56, Factor!$B$12:$G$13, 3, 0)*VLOOKUP($K56, Factor!$B$17:$G$18, 3, 0)*VLOOKUP($H56, Factor!$J$4:$O$7, 3, 0)*VLOOKUP($F56, Factor!$Q$4:$V$15, 3, 0)*IF(MOD($G56,10)=0, 10, MOD($G56, 10))*((INDEX(Factor!$X$4:$AC$13, _xlfn.XMATCH($G56, Factor!$X$4:$X$13, 1),3)*IF(MOD(G56, 10) = 0, 10, MOD(G56, 10)))+INDEX(Factor!$AE$4:$AJ$13, _xlfn.XMATCH(MonsterData!$G56, Factor!$AE$4:$AE$13, 1),3))</f>
        <v>270</v>
      </c>
      <c r="W56" s="17" cm="1">
        <f t="array" ref="W56">N56*VLOOKUP($I56, Factor!$B$4:$G$8, 4, 0)*VLOOKUP($J56, Factor!$B$12:$G$13, 4, 0)*VLOOKUP($K56, Factor!$B$17:$G$18, 4, 0)*VLOOKUP($H56, Factor!$J$4:$O$7, 4, 0)*VLOOKUP($F56, Factor!$Q$4:$V$15, 4, 0)*IF(MOD($G56,10)=0, 10, MOD($G56, 10))*((INDEX(Factor!$X$4:$AC$13, _xlfn.XMATCH($G56, Factor!$X$4:$X$13, 1),4)*IF(MOD(G56, 10) = 0, 10, MOD(G56, 10)))+INDEX(Factor!$AE$4:$AJ$13, _xlfn.XMATCH(MonsterData!$G56, Factor!$AE$4:$AE$13, 1),4))</f>
        <v>540</v>
      </c>
      <c r="X56" s="17" cm="1">
        <f t="array" ref="X56">O56*VLOOKUP($I56, Factor!$B$4:$G$8, 5, 0)*VLOOKUP($J56, Factor!$B$12:$G$13, 5, 0)*VLOOKUP($K56, Factor!$B$17:$G$18, 5, 0)*VLOOKUP($H56, Factor!$J$4:$O$7, 5, 0)*VLOOKUP($F56, Factor!$Q$4:$V$15, 5, 0)*IF(MOD($G56,10)=0, 10, MOD($G56, 10))*((INDEX(Factor!$X$4:$AC$13, _xlfn.XMATCH($G56, Factor!$X$4:$X$13, 1),5)*IF(MOD(G56, 10) = 0, 10, MOD(G56, 10)))+INDEX(Factor!$AE$4:$AJ$13, _xlfn.XMATCH(MonsterData!$G56, Factor!$AE$4:$AE$13, 1),5))</f>
        <v>12.96</v>
      </c>
      <c r="Y56" s="17" cm="1">
        <f t="array" ref="Y56">P56*VLOOKUP($I56, Factor!$B$4:$G$8, 6, 0)*VLOOKUP($J56, Factor!$B$12:$G$13, 6, 0)*VLOOKUP($K56, Factor!$B$17:$G$18, 6, 0)*VLOOKUP($H56, Factor!$J$4:$O$7, 2, 0)*VLOOKUP($F56, Factor!$Q$4:$V$15, 6, 0)*IF(MOD($G56,10)=0, 10, MOD($G56, 10))*((INDEX(Factor!$X$4:$AC$13, _xlfn.XMATCH($G56, Factor!$X$4:$X$13, 1),6)*IF(MOD(G56, 10) = 0, 10, MOD(G56, 10)))+INDEX(Factor!$AE$4:$AJ$13, _xlfn.XMATCH(MonsterData!$G56, Factor!$AE$4:$AE$13, 1),6))</f>
        <v>28.8</v>
      </c>
      <c r="Z56" s="17">
        <f>$Q56*VLOOKUP($J56, Factor!$B$12:$H$13, 7, 0)</f>
        <v>1</v>
      </c>
      <c r="AA56" s="17">
        <v>1</v>
      </c>
      <c r="AB56" s="17">
        <f t="shared" si="4"/>
        <v>0</v>
      </c>
      <c r="AC56" s="17" t="s">
        <v>393</v>
      </c>
      <c r="AD56" s="19" t="s">
        <v>388</v>
      </c>
    </row>
    <row r="57" spans="1:30" ht="15.75" customHeight="1">
      <c r="A57" s="13" t="str">
        <f>T57&amp;"_"&amp;F57&amp;VLOOKUP($C57, Factor!$AM$4:$AY$30, 7, 0)&amp;IF(COUNTIFS($C$4:C56, C57, $F$4:F56, F57)+1&gt;=100, COUNTIFS($C$4:C56, C57, $F$4:F56, F57)+1,IF(COUNTIFS($C$4:C56, C57, $F$4:F56, F57)+1&gt;=10, "0"&amp;COUNTIFS($C$4:C56, C57, $F$4:F56, F57)+1, "00"&amp;COUNTIFS($C$4:C56, C57, $F$4:F56, F57)+1))</f>
        <v>enpc_F01_B_Ghoul_004</v>
      </c>
      <c r="B57" s="13"/>
      <c r="C57" s="13" t="s">
        <v>361</v>
      </c>
      <c r="D57" s="13" t="str">
        <f t="shared" si="6"/>
        <v>구울</v>
      </c>
      <c r="E57" s="21" t="str">
        <f>VLOOKUP($C57, Factor!$AM$4:$AY$30, 8, 0)</f>
        <v>M</v>
      </c>
      <c r="F57" s="13" t="s">
        <v>382</v>
      </c>
      <c r="G57" s="22">
        <v>14</v>
      </c>
      <c r="H57" s="13" t="s">
        <v>55</v>
      </c>
      <c r="I57" s="21" t="str">
        <f>VLOOKUP($C57, Factor!$AM$4:$AY$30, 11, 0)</f>
        <v>B</v>
      </c>
      <c r="J57" s="21" t="str">
        <f>VLOOKUP($C57, Factor!$AM$4:$AY$30, 12, 0)</f>
        <v>ml</v>
      </c>
      <c r="K57" s="21" t="str">
        <f>VLOOKUP($C57, Factor!$AM$4:$AY$30, 13, 0)</f>
        <v>L</v>
      </c>
      <c r="L57" s="13">
        <v>1</v>
      </c>
      <c r="M57" s="13">
        <v>1</v>
      </c>
      <c r="N57" s="13">
        <v>1</v>
      </c>
      <c r="O57" s="13">
        <v>1</v>
      </c>
      <c r="P57" s="13">
        <v>1</v>
      </c>
      <c r="Q57" s="13">
        <v>1</v>
      </c>
      <c r="R57" s="21" t="str">
        <f>VLOOKUP($C57, Factor!$AM$4:$AY$30, 9, 0)</f>
        <v>Midium</v>
      </c>
      <c r="S57" s="13" t="s">
        <v>401</v>
      </c>
      <c r="T57" s="21" t="str">
        <f>VLOOKUP($C57, Factor!$AM$4:$AY$30, 10, 0)</f>
        <v>enpc</v>
      </c>
      <c r="U57" s="21" cm="1">
        <f t="array" ref="U57">L57*VLOOKUP($I57, Factor!$B$4:$G$8, 2, 0)*VLOOKUP($J57, Factor!$B$12:$G$13, 2, 0)*VLOOKUP($K57, Factor!$B$17:$G$18, 2, 0)*VLOOKUP($H57, Factor!$J$4:$O$7, 2, 0)*VLOOKUP($F57, Factor!$Q$4:$V$15, 2, 0)*IF(MOD($G57,10)=0, 10, MOD($G57, 10))*((INDEX(Factor!$X$4:$AC$13, _xlfn.XMATCH($G57, Factor!$X$4:$X$13, 1),2)*IF(MOD(G57, 10) = 0, 10, MOD(G57, 10)))+INDEX(Factor!$AE$4:$AJ$13, _xlfn.XMATCH(MonsterData!$G57, Factor!$AE$4:$AE$13, 1),2))</f>
        <v>5400</v>
      </c>
      <c r="V57" s="21" cm="1">
        <f t="array" ref="V57">M57*VLOOKUP($I57, Factor!$B$4:$G$8, 3, 0)*VLOOKUP($J57, Factor!$B$12:$G$13, 3, 0)*VLOOKUP($K57, Factor!$B$17:$G$18, 3, 0)*VLOOKUP($H57, Factor!$J$4:$O$7, 3, 0)*VLOOKUP($F57, Factor!$Q$4:$V$15, 3, 0)*IF(MOD($G57,10)=0, 10, MOD($G57, 10))*((INDEX(Factor!$X$4:$AC$13, _xlfn.XMATCH($G57, Factor!$X$4:$X$13, 1),3)*IF(MOD(G57, 10) = 0, 10, MOD(G57, 10)))+INDEX(Factor!$AE$4:$AJ$13, _xlfn.XMATCH(MonsterData!$G57, Factor!$AE$4:$AE$13, 1),3))</f>
        <v>270</v>
      </c>
      <c r="W57" s="21" cm="1">
        <f t="array" ref="W57">N57*VLOOKUP($I57, Factor!$B$4:$G$8, 4, 0)*VLOOKUP($J57, Factor!$B$12:$G$13, 4, 0)*VLOOKUP($K57, Factor!$B$17:$G$18, 4, 0)*VLOOKUP($H57, Factor!$J$4:$O$7, 4, 0)*VLOOKUP($F57, Factor!$Q$4:$V$15, 4, 0)*IF(MOD($G57,10)=0, 10, MOD($G57, 10))*((INDEX(Factor!$X$4:$AC$13, _xlfn.XMATCH($G57, Factor!$X$4:$X$13, 1),4)*IF(MOD(G57, 10) = 0, 10, MOD(G57, 10)))+INDEX(Factor!$AE$4:$AJ$13, _xlfn.XMATCH(MonsterData!$G57, Factor!$AE$4:$AE$13, 1),4))</f>
        <v>270</v>
      </c>
      <c r="X57" s="21" cm="1">
        <f t="array" ref="X57">O57*VLOOKUP($I57, Factor!$B$4:$G$8, 5, 0)*VLOOKUP($J57, Factor!$B$12:$G$13, 5, 0)*VLOOKUP($K57, Factor!$B$17:$G$18, 5, 0)*VLOOKUP($H57, Factor!$J$4:$O$7, 5, 0)*VLOOKUP($F57, Factor!$Q$4:$V$15, 5, 0)*IF(MOD($G57,10)=0, 10, MOD($G57, 10))*((INDEX(Factor!$X$4:$AC$13, _xlfn.XMATCH($G57, Factor!$X$4:$X$13, 1),5)*IF(MOD(G57, 10) = 0, 10, MOD(G57, 10)))+INDEX(Factor!$AE$4:$AJ$13, _xlfn.XMATCH(MonsterData!$G57, Factor!$AE$4:$AE$13, 1),5))</f>
        <v>14.4</v>
      </c>
      <c r="Y57" s="21" cm="1">
        <f t="array" ref="Y57">P57*VLOOKUP($I57, Factor!$B$4:$G$8, 6, 0)*VLOOKUP($J57, Factor!$B$12:$G$13, 6, 0)*VLOOKUP($K57, Factor!$B$17:$G$18, 6, 0)*VLOOKUP($H57, Factor!$J$4:$O$7, 2, 0)*VLOOKUP($F57, Factor!$Q$4:$V$15, 6, 0)*IF(MOD($G57,10)=0, 10, MOD($G57, 10))*((INDEX(Factor!$X$4:$AC$13, _xlfn.XMATCH($G57, Factor!$X$4:$X$13, 1),6)*IF(MOD(G57, 10) = 0, 10, MOD(G57, 10)))+INDEX(Factor!$AE$4:$AJ$13, _xlfn.XMATCH(MonsterData!$G57, Factor!$AE$4:$AE$13, 1),6))</f>
        <v>28.8</v>
      </c>
      <c r="Z57" s="21">
        <f>$Q57*VLOOKUP($J57, Factor!$B$12:$H$13, 7, 0)</f>
        <v>1</v>
      </c>
      <c r="AA57" s="13">
        <v>1</v>
      </c>
      <c r="AB57" s="21">
        <f t="shared" si="4"/>
        <v>0</v>
      </c>
      <c r="AC57" s="13" t="s">
        <v>394</v>
      </c>
      <c r="AD57" s="15" t="s">
        <v>389</v>
      </c>
    </row>
    <row r="58" spans="1:30" ht="15.75" customHeight="1">
      <c r="A58" s="16" t="str">
        <f>T58&amp;"_"&amp;F58&amp;VLOOKUP($C58, Factor!$AM$4:$AY$30, 7, 0)&amp;IF(COUNTIFS($C$4:C57, C58, $F$4:F57, F58)+1&gt;=100, COUNTIFS($C$4:C57, C58, $F$4:F57, F58)+1,IF(COUNTIFS($C$4:C57, C58, $F$4:F57, F58)+1&gt;=10, "0"&amp;COUNTIFS($C$4:C57, C58, $F$4:F57, F58)+1, "00"&amp;COUNTIFS($C$4:C57, C58, $F$4:F57, F58)+1))</f>
        <v>enpc_F01_B_Gorgon_004</v>
      </c>
      <c r="B58" s="16"/>
      <c r="C58" s="16" t="s">
        <v>363</v>
      </c>
      <c r="D58" s="16" t="str">
        <f t="shared" si="6"/>
        <v>고르곤</v>
      </c>
      <c r="E58" s="17" t="str">
        <f>VLOOKUP($C58, Factor!$AM$4:$AY$30, 8, 0)</f>
        <v>B</v>
      </c>
      <c r="F58" s="17" t="s">
        <v>382</v>
      </c>
      <c r="G58" s="20">
        <v>14</v>
      </c>
      <c r="H58" s="16" t="s">
        <v>56</v>
      </c>
      <c r="I58" s="17" t="str">
        <f>VLOOKUP($C58, Factor!$AM$4:$AY$30, 11, 0)</f>
        <v>B</v>
      </c>
      <c r="J58" s="17" t="str">
        <f>VLOOKUP($C58, Factor!$AM$4:$AY$30, 12, 0)</f>
        <v>ml</v>
      </c>
      <c r="K58" s="17" t="str">
        <f>VLOOKUP($C58, Factor!$AM$4:$AY$30, 13, 0)</f>
        <v>L</v>
      </c>
      <c r="L58" s="17">
        <v>1</v>
      </c>
      <c r="M58" s="17">
        <v>1</v>
      </c>
      <c r="N58" s="17">
        <v>1</v>
      </c>
      <c r="O58" s="17">
        <v>1</v>
      </c>
      <c r="P58" s="17">
        <v>1</v>
      </c>
      <c r="Q58" s="17">
        <v>1</v>
      </c>
      <c r="R58" s="17" t="str">
        <f>VLOOKUP($C58, Factor!$AM$4:$AY$30, 9, 0)</f>
        <v>Midium</v>
      </c>
      <c r="S58" s="17" t="s">
        <v>380</v>
      </c>
      <c r="T58" s="17" t="str">
        <f>VLOOKUP($C58, Factor!$AM$4:$AY$30, 10, 0)</f>
        <v>enpc</v>
      </c>
      <c r="U58" s="17" cm="1">
        <f t="array" ref="U58">L58*VLOOKUP($I58, Factor!$B$4:$G$8, 2, 0)*VLOOKUP($J58, Factor!$B$12:$G$13, 2, 0)*VLOOKUP($K58, Factor!$B$17:$G$18, 2, 0)*VLOOKUP($H58, Factor!$J$4:$O$7, 2, 0)*VLOOKUP($F58, Factor!$Q$4:$V$15, 2, 0)*IF(MOD($G58,10)=0, 10, MOD($G58, 10))*((INDEX(Factor!$X$4:$AC$13, _xlfn.XMATCH($G58, Factor!$X$4:$X$13, 1),2)*IF(MOD(G58, 10) = 0, 10, MOD(G58, 10)))+INDEX(Factor!$AE$4:$AJ$13, _xlfn.XMATCH(MonsterData!$G58, Factor!$AE$4:$AE$13, 1),2))</f>
        <v>5400</v>
      </c>
      <c r="V58" s="17" cm="1">
        <f t="array" ref="V58">M58*VLOOKUP($I58, Factor!$B$4:$G$8, 3, 0)*VLOOKUP($J58, Factor!$B$12:$G$13, 3, 0)*VLOOKUP($K58, Factor!$B$17:$G$18, 3, 0)*VLOOKUP($H58, Factor!$J$4:$O$7, 3, 0)*VLOOKUP($F58, Factor!$Q$4:$V$15, 3, 0)*IF(MOD($G58,10)=0, 10, MOD($G58, 10))*((INDEX(Factor!$X$4:$AC$13, _xlfn.XMATCH($G58, Factor!$X$4:$X$13, 1),3)*IF(MOD(G58, 10) = 0, 10, MOD(G58, 10)))+INDEX(Factor!$AE$4:$AJ$13, _xlfn.XMATCH(MonsterData!$G58, Factor!$AE$4:$AE$13, 1),3))</f>
        <v>270</v>
      </c>
      <c r="W58" s="17" cm="1">
        <f t="array" ref="W58">N58*VLOOKUP($I58, Factor!$B$4:$G$8, 4, 0)*VLOOKUP($J58, Factor!$B$12:$G$13, 4, 0)*VLOOKUP($K58, Factor!$B$17:$G$18, 4, 0)*VLOOKUP($H58, Factor!$J$4:$O$7, 4, 0)*VLOOKUP($F58, Factor!$Q$4:$V$15, 4, 0)*IF(MOD($G58,10)=0, 10, MOD($G58, 10))*((INDEX(Factor!$X$4:$AC$13, _xlfn.XMATCH($G58, Factor!$X$4:$X$13, 1),4)*IF(MOD(G58, 10) = 0, 10, MOD(G58, 10)))+INDEX(Factor!$AE$4:$AJ$13, _xlfn.XMATCH(MonsterData!$G58, Factor!$AE$4:$AE$13, 1),4))</f>
        <v>540</v>
      </c>
      <c r="X58" s="17" cm="1">
        <f t="array" ref="X58">O58*VLOOKUP($I58, Factor!$B$4:$G$8, 5, 0)*VLOOKUP($J58, Factor!$B$12:$G$13, 5, 0)*VLOOKUP($K58, Factor!$B$17:$G$18, 5, 0)*VLOOKUP($H58, Factor!$J$4:$O$7, 5, 0)*VLOOKUP($F58, Factor!$Q$4:$V$15, 5, 0)*IF(MOD($G58,10)=0, 10, MOD($G58, 10))*((INDEX(Factor!$X$4:$AC$13, _xlfn.XMATCH($G58, Factor!$X$4:$X$13, 1),5)*IF(MOD(G58, 10) = 0, 10, MOD(G58, 10)))+INDEX(Factor!$AE$4:$AJ$13, _xlfn.XMATCH(MonsterData!$G58, Factor!$AE$4:$AE$13, 1),5))</f>
        <v>12.96</v>
      </c>
      <c r="Y58" s="17" cm="1">
        <f t="array" ref="Y58">P58*VLOOKUP($I58, Factor!$B$4:$G$8, 6, 0)*VLOOKUP($J58, Factor!$B$12:$G$13, 6, 0)*VLOOKUP($K58, Factor!$B$17:$G$18, 6, 0)*VLOOKUP($H58, Factor!$J$4:$O$7, 2, 0)*VLOOKUP($F58, Factor!$Q$4:$V$15, 6, 0)*IF(MOD($G58,10)=0, 10, MOD($G58, 10))*((INDEX(Factor!$X$4:$AC$13, _xlfn.XMATCH($G58, Factor!$X$4:$X$13, 1),6)*IF(MOD(G58, 10) = 0, 10, MOD(G58, 10)))+INDEX(Factor!$AE$4:$AJ$13, _xlfn.XMATCH(MonsterData!$G58, Factor!$AE$4:$AE$13, 1),6))</f>
        <v>28.8</v>
      </c>
      <c r="Z58" s="17">
        <f>$Q58*VLOOKUP($J58, Factor!$B$12:$H$13, 7, 0)</f>
        <v>1</v>
      </c>
      <c r="AA58" s="17">
        <v>1</v>
      </c>
      <c r="AB58" s="17">
        <f t="shared" si="4"/>
        <v>0</v>
      </c>
      <c r="AC58" s="17" t="s">
        <v>395</v>
      </c>
      <c r="AD58" s="19" t="s">
        <v>390</v>
      </c>
    </row>
    <row r="59" spans="1:30" ht="15.75" customHeight="1">
      <c r="A59" s="13" t="str">
        <f>T59&amp;"_"&amp;F59&amp;VLOOKUP($C59, Factor!$AM$4:$AY$30, 7, 0)&amp;IF(COUNTIFS($C$4:C58, C59, $F$4:F58, F59)+1&gt;=100, COUNTIFS($C$4:C58, C59, $F$4:F58, F59)+1,IF(COUNTIFS($C$4:C58, C59, $F$4:F58, F59)+1&gt;=10, "0"&amp;COUNTIFS($C$4:C58, C59, $F$4:F58, F59)+1, "00"&amp;COUNTIFS($C$4:C58, C59, $F$4:F58, F59)+1))</f>
        <v>enpc_F01_B_Gargoyle_004</v>
      </c>
      <c r="B59" s="13"/>
      <c r="C59" s="13" t="s">
        <v>365</v>
      </c>
      <c r="D59" s="13" t="str">
        <f t="shared" si="6"/>
        <v>가고일</v>
      </c>
      <c r="E59" s="21" t="str">
        <f>VLOOKUP($C59, Factor!$AM$4:$AY$30, 8, 0)</f>
        <v>B</v>
      </c>
      <c r="F59" s="13" t="s">
        <v>382</v>
      </c>
      <c r="G59" s="22">
        <v>14</v>
      </c>
      <c r="H59" s="13" t="s">
        <v>55</v>
      </c>
      <c r="I59" s="21" t="str">
        <f>VLOOKUP($C59, Factor!$AM$4:$AY$30, 11, 0)</f>
        <v>B</v>
      </c>
      <c r="J59" s="21" t="str">
        <f>VLOOKUP($C59, Factor!$AM$4:$AY$30, 12, 0)</f>
        <v>ml</v>
      </c>
      <c r="K59" s="21" t="str">
        <f>VLOOKUP($C59, Factor!$AM$4:$AY$30, 13, 0)</f>
        <v>F</v>
      </c>
      <c r="L59" s="13">
        <v>1</v>
      </c>
      <c r="M59" s="13">
        <v>1</v>
      </c>
      <c r="N59" s="13">
        <v>1</v>
      </c>
      <c r="O59" s="13">
        <v>1</v>
      </c>
      <c r="P59" s="13">
        <v>1</v>
      </c>
      <c r="Q59" s="13">
        <v>1</v>
      </c>
      <c r="R59" s="21" t="str">
        <f>VLOOKUP($C59, Factor!$AM$4:$AY$30, 9, 0)</f>
        <v>Big</v>
      </c>
      <c r="S59" s="13" t="s">
        <v>402</v>
      </c>
      <c r="T59" s="21" t="str">
        <f>VLOOKUP($C59, Factor!$AM$4:$AY$30, 10, 0)</f>
        <v>enpc</v>
      </c>
      <c r="U59" s="21" cm="1">
        <f t="array" ref="U59">L59*VLOOKUP($I59, Factor!$B$4:$G$8, 2, 0)*VLOOKUP($J59, Factor!$B$12:$G$13, 2, 0)*VLOOKUP($K59, Factor!$B$17:$G$18, 2, 0)*VLOOKUP($H59, Factor!$J$4:$O$7, 2, 0)*VLOOKUP($F59, Factor!$Q$4:$V$15, 2, 0)*IF(MOD($G59,10)=0, 10, MOD($G59, 10))*((INDEX(Factor!$X$4:$AC$13, _xlfn.XMATCH($G59, Factor!$X$4:$X$13, 1),2)*IF(MOD(G59, 10) = 0, 10, MOD(G59, 10)))+INDEX(Factor!$AE$4:$AJ$13, _xlfn.XMATCH(MonsterData!$G59, Factor!$AE$4:$AE$13, 1),2))</f>
        <v>3600</v>
      </c>
      <c r="V59" s="21" cm="1">
        <f t="array" ref="V59">M59*VLOOKUP($I59, Factor!$B$4:$G$8, 3, 0)*VLOOKUP($J59, Factor!$B$12:$G$13, 3, 0)*VLOOKUP($K59, Factor!$B$17:$G$18, 3, 0)*VLOOKUP($H59, Factor!$J$4:$O$7, 3, 0)*VLOOKUP($F59, Factor!$Q$4:$V$15, 3, 0)*IF(MOD($G59,10)=0, 10, MOD($G59, 10))*((INDEX(Factor!$X$4:$AC$13, _xlfn.XMATCH($G59, Factor!$X$4:$X$13, 1),3)*IF(MOD(G59, 10) = 0, 10, MOD(G59, 10)))+INDEX(Factor!$AE$4:$AJ$13, _xlfn.XMATCH(MonsterData!$G59, Factor!$AE$4:$AE$13, 1),3))</f>
        <v>180</v>
      </c>
      <c r="W59" s="21" cm="1">
        <f t="array" ref="W59">N59*VLOOKUP($I59, Factor!$B$4:$G$8, 4, 0)*VLOOKUP($J59, Factor!$B$12:$G$13, 4, 0)*VLOOKUP($K59, Factor!$B$17:$G$18, 4, 0)*VLOOKUP($H59, Factor!$J$4:$O$7, 4, 0)*VLOOKUP($F59, Factor!$Q$4:$V$15, 4, 0)*IF(MOD($G59,10)=0, 10, MOD($G59, 10))*((INDEX(Factor!$X$4:$AC$13, _xlfn.XMATCH($G59, Factor!$X$4:$X$13, 1),4)*IF(MOD(G59, 10) = 0, 10, MOD(G59, 10)))+INDEX(Factor!$AE$4:$AJ$13, _xlfn.XMATCH(MonsterData!$G59, Factor!$AE$4:$AE$13, 1),4))</f>
        <v>180</v>
      </c>
      <c r="X59" s="21" cm="1">
        <f t="array" ref="X59">O59*VLOOKUP($I59, Factor!$B$4:$G$8, 5, 0)*VLOOKUP($J59, Factor!$B$12:$G$13, 5, 0)*VLOOKUP($K59, Factor!$B$17:$G$18, 5, 0)*VLOOKUP($H59, Factor!$J$4:$O$7, 5, 0)*VLOOKUP($F59, Factor!$Q$4:$V$15, 5, 0)*IF(MOD($G59,10)=0, 10, MOD($G59, 10))*((INDEX(Factor!$X$4:$AC$13, _xlfn.XMATCH($G59, Factor!$X$4:$X$13, 1),5)*IF(MOD(G59, 10) = 0, 10, MOD(G59, 10)))+INDEX(Factor!$AE$4:$AJ$13, _xlfn.XMATCH(MonsterData!$G59, Factor!$AE$4:$AE$13, 1),5))</f>
        <v>14.4</v>
      </c>
      <c r="Y59" s="21" cm="1">
        <f t="array" ref="Y59">P59*VLOOKUP($I59, Factor!$B$4:$G$8, 6, 0)*VLOOKUP($J59, Factor!$B$12:$G$13, 6, 0)*VLOOKUP($K59, Factor!$B$17:$G$18, 6, 0)*VLOOKUP($H59, Factor!$J$4:$O$7, 2, 0)*VLOOKUP($F59, Factor!$Q$4:$V$15, 6, 0)*IF(MOD($G59,10)=0, 10, MOD($G59, 10))*((INDEX(Factor!$X$4:$AC$13, _xlfn.XMATCH($G59, Factor!$X$4:$X$13, 1),6)*IF(MOD(G59, 10) = 0, 10, MOD(G59, 10)))+INDEX(Factor!$AE$4:$AJ$13, _xlfn.XMATCH(MonsterData!$G59, Factor!$AE$4:$AE$13, 1),6))</f>
        <v>86.4</v>
      </c>
      <c r="Z59" s="21">
        <f>$Q59*VLOOKUP($J59, Factor!$B$12:$H$13, 7, 0)</f>
        <v>1</v>
      </c>
      <c r="AA59" s="13">
        <v>1</v>
      </c>
      <c r="AB59" s="21">
        <f t="shared" si="4"/>
        <v>0</v>
      </c>
      <c r="AC59" s="13" t="s">
        <v>396</v>
      </c>
      <c r="AD59" s="15" t="s">
        <v>391</v>
      </c>
    </row>
    <row r="60" spans="1:30" ht="15.75" customHeight="1">
      <c r="A60" s="16" t="str">
        <f>T60&amp;"_"&amp;F60&amp;VLOOKUP($C60, Factor!$AM$4:$AY$30, 7, 0)&amp;IF(COUNTIFS($C$4:C59, C60, $F$4:F59, F60)+1&gt;=100, COUNTIFS($C$4:C59, C60, $F$4:F59, F60)+1,IF(COUNTIFS($C$4:C59, C60, $F$4:F59, F60)+1&gt;=10, "0"&amp;COUNTIFS($C$4:C59, C60, $F$4:F59, F60)+1, "00"&amp;COUNTIFS($C$4:C59, C60, $F$4:F59, F60)+1))</f>
        <v>enpc_F01_A_Lava_005</v>
      </c>
      <c r="B60" s="16"/>
      <c r="C60" s="16" t="s">
        <v>35</v>
      </c>
      <c r="D60" s="16" t="str">
        <f>B60&amp;C60</f>
        <v>라바</v>
      </c>
      <c r="E60" s="17" t="str">
        <f>VLOOKUP($C60, Factor!$AM$4:$AY$30, 8, 0)</f>
        <v>S</v>
      </c>
      <c r="F60" s="17" t="s">
        <v>382</v>
      </c>
      <c r="G60" s="20">
        <v>9</v>
      </c>
      <c r="H60" s="16" t="s">
        <v>54</v>
      </c>
      <c r="I60" s="17" t="str">
        <f>VLOOKUP($C60, Factor!$AM$4:$AY$30, 11, 0)</f>
        <v>A</v>
      </c>
      <c r="J60" s="17" t="str">
        <f>VLOOKUP($C60, Factor!$AM$4:$AY$30, 12, 0)</f>
        <v>ml</v>
      </c>
      <c r="K60" s="17" t="str">
        <f>VLOOKUP($C60, Factor!$AM$4:$AY$30, 13, 0)</f>
        <v>L</v>
      </c>
      <c r="L60" s="17">
        <v>1</v>
      </c>
      <c r="M60" s="17">
        <v>1</v>
      </c>
      <c r="N60" s="17">
        <v>1</v>
      </c>
      <c r="O60" s="17">
        <v>1</v>
      </c>
      <c r="P60" s="17">
        <v>1</v>
      </c>
      <c r="Q60" s="17">
        <v>1</v>
      </c>
      <c r="R60" s="17" t="str">
        <f>VLOOKUP($C60, Factor!$AM$4:$AY$30, 9, 0)</f>
        <v>Small</v>
      </c>
      <c r="S60" s="17" t="s">
        <v>88</v>
      </c>
      <c r="T60" s="17" t="str">
        <f>VLOOKUP($C60, Factor!$AM$4:$AY$30, 10, 0)</f>
        <v>enpc</v>
      </c>
      <c r="U60" s="17" cm="1">
        <f t="array" ref="U60">L60*VLOOKUP($I60, Factor!$B$4:$G$8, 2, 0)*VLOOKUP($J60, Factor!$B$12:$G$13, 2, 0)*VLOOKUP($K60, Factor!$B$17:$G$18, 2, 0)*VLOOKUP($H60, Factor!$J$4:$O$7, 2, 0)*VLOOKUP($F60, Factor!$Q$4:$V$15, 2, 0)*IF(MOD($G60,10)=0, 10, MOD($G60, 10))*((INDEX(Factor!$X$4:$AC$13, _xlfn.XMATCH($G60, Factor!$X$4:$X$13, 1),2)*IF(MOD(G60, 10) = 0, 10, MOD(G60, 10)))+INDEX(Factor!$AE$4:$AJ$13, _xlfn.XMATCH(MonsterData!$G60, Factor!$AE$4:$AE$13, 1),2))</f>
        <v>972</v>
      </c>
      <c r="V60" s="17" cm="1">
        <f t="array" ref="V60">M60*VLOOKUP($I60, Factor!$B$4:$G$8, 3, 0)*VLOOKUP($J60, Factor!$B$12:$G$13, 3, 0)*VLOOKUP($K60, Factor!$B$17:$G$18, 3, 0)*VLOOKUP($H60, Factor!$J$4:$O$7, 3, 0)*VLOOKUP($F60, Factor!$Q$4:$V$15, 3, 0)*IF(MOD($G60,10)=0, 10, MOD($G60, 10))*((INDEX(Factor!$X$4:$AC$13, _xlfn.XMATCH($G60, Factor!$X$4:$X$13, 1),3)*IF(MOD(G60, 10) = 0, 10, MOD(G60, 10)))+INDEX(Factor!$AE$4:$AJ$13, _xlfn.XMATCH(MonsterData!$G60, Factor!$AE$4:$AE$13, 1),3))</f>
        <v>48.6</v>
      </c>
      <c r="W60" s="17" cm="1">
        <f t="array" ref="W60">N60*VLOOKUP($I60, Factor!$B$4:$G$8, 4, 0)*VLOOKUP($J60, Factor!$B$12:$G$13, 4, 0)*VLOOKUP($K60, Factor!$B$17:$G$18, 4, 0)*VLOOKUP($H60, Factor!$J$4:$O$7, 4, 0)*VLOOKUP($F60, Factor!$Q$4:$V$15, 4, 0)*IF(MOD($G60,10)=0, 10, MOD($G60, 10))*((INDEX(Factor!$X$4:$AC$13, _xlfn.XMATCH($G60, Factor!$X$4:$X$13, 1),4)*IF(MOD(G60, 10) = 0, 10, MOD(G60, 10)))+INDEX(Factor!$AE$4:$AJ$13, _xlfn.XMATCH(MonsterData!$G60, Factor!$AE$4:$AE$13, 1),4))</f>
        <v>29.16</v>
      </c>
      <c r="X60" s="17" cm="1">
        <f t="array" ref="X60">O60*VLOOKUP($I60, Factor!$B$4:$G$8, 5, 0)*VLOOKUP($J60, Factor!$B$12:$G$13, 5, 0)*VLOOKUP($K60, Factor!$B$17:$G$18, 5, 0)*VLOOKUP($H60, Factor!$J$4:$O$7, 5, 0)*VLOOKUP($F60, Factor!$Q$4:$V$15, 5, 0)*IF(MOD($G60,10)=0, 10, MOD($G60, 10))*((INDEX(Factor!$X$4:$AC$13, _xlfn.XMATCH($G60, Factor!$X$4:$X$13, 1),5)*IF(MOD(G60, 10) = 0, 10, MOD(G60, 10)))+INDEX(Factor!$AE$4:$AJ$13, _xlfn.XMATCH(MonsterData!$G60, Factor!$AE$4:$AE$13, 1),5))</f>
        <v>8.1</v>
      </c>
      <c r="Y60" s="17" cm="1">
        <f t="array" ref="Y60">P60*VLOOKUP($I60, Factor!$B$4:$G$8, 6, 0)*VLOOKUP($J60, Factor!$B$12:$G$13, 6, 0)*VLOOKUP($K60, Factor!$B$17:$G$18, 6, 0)*VLOOKUP($H60, Factor!$J$4:$O$7, 2, 0)*VLOOKUP($F60, Factor!$Q$4:$V$15, 6, 0)*IF(MOD($G60,10)=0, 10, MOD($G60, 10))*((INDEX(Factor!$X$4:$AC$13, _xlfn.XMATCH($G60, Factor!$X$4:$X$13, 1),6)*IF(MOD(G60, 10) = 0, 10, MOD(G60, 10)))+INDEX(Factor!$AE$4:$AJ$13, _xlfn.XMATCH(MonsterData!$G60, Factor!$AE$4:$AE$13, 1),6))</f>
        <v>32.4</v>
      </c>
      <c r="Z60" s="17">
        <f>$Q60*VLOOKUP($J60, Factor!$B$12:$H$13, 7, 0)</f>
        <v>1</v>
      </c>
      <c r="AA60" s="17">
        <v>1</v>
      </c>
      <c r="AB60" s="17">
        <f t="shared" si="4"/>
        <v>0</v>
      </c>
      <c r="AC60" s="17" t="s">
        <v>139</v>
      </c>
      <c r="AD60" s="19" t="s">
        <v>142</v>
      </c>
    </row>
    <row r="61" spans="1:30" ht="15.75" customHeight="1">
      <c r="A61" s="13" t="str">
        <f>T61&amp;"_"&amp;F61&amp;VLOOKUP($C61, Factor!$AM$4:$AY$30, 7, 0)&amp;IF(COUNTIFS($C$4:C60, C61, $F$4:F60, F61)+1&gt;=100, COUNTIFS($C$4:C60, C61, $F$4:F60, F61)+1,IF(COUNTIFS($C$4:C60, C61, $F$4:F60, F61)+1&gt;=10, "0"&amp;COUNTIFS($C$4:C60, C61, $F$4:F60, F61)+1, "00"&amp;COUNTIFS($C$4:C60, C61, $F$4:F60, F61)+1))</f>
        <v>enpc_F01_A_Cocoon_005</v>
      </c>
      <c r="B61" s="13"/>
      <c r="C61" s="13" t="s">
        <v>270</v>
      </c>
      <c r="D61" s="13" t="str">
        <f t="shared" ref="D61:D72" si="7">B61&amp;C61</f>
        <v>코쿤</v>
      </c>
      <c r="E61" s="21" t="str">
        <f>VLOOKUP($C61, Factor!$AM$4:$AY$30, 8, 0)</f>
        <v>M</v>
      </c>
      <c r="F61" s="13" t="s">
        <v>382</v>
      </c>
      <c r="G61" s="22">
        <v>9</v>
      </c>
      <c r="H61" s="13" t="s">
        <v>55</v>
      </c>
      <c r="I61" s="21" t="str">
        <f>VLOOKUP($C61, Factor!$AM$4:$AY$30, 11, 0)</f>
        <v>A</v>
      </c>
      <c r="J61" s="21" t="str">
        <f>VLOOKUP($C61, Factor!$AM$4:$AY$30, 12, 0)</f>
        <v>ml</v>
      </c>
      <c r="K61" s="21" t="str">
        <f>VLOOKUP($C61, Factor!$AM$4:$AY$30, 13, 0)</f>
        <v>L</v>
      </c>
      <c r="L61" s="13">
        <v>1</v>
      </c>
      <c r="M61" s="13">
        <v>1</v>
      </c>
      <c r="N61" s="13">
        <v>1</v>
      </c>
      <c r="O61" s="13">
        <v>1</v>
      </c>
      <c r="P61" s="13">
        <v>1</v>
      </c>
      <c r="Q61" s="13">
        <v>1</v>
      </c>
      <c r="R61" s="21" t="str">
        <f>VLOOKUP($C61, Factor!$AM$4:$AY$30, 9, 0)</f>
        <v>Midium</v>
      </c>
      <c r="S61" s="13" t="s">
        <v>408</v>
      </c>
      <c r="T61" s="21" t="str">
        <f>VLOOKUP($C61, Factor!$AM$4:$AY$30, 10, 0)</f>
        <v>enpc</v>
      </c>
      <c r="U61" s="21" cm="1">
        <f t="array" ref="U61">L61*VLOOKUP($I61, Factor!$B$4:$G$8, 2, 0)*VLOOKUP($J61, Factor!$B$12:$G$13, 2, 0)*VLOOKUP($K61, Factor!$B$17:$G$18, 2, 0)*VLOOKUP($H61, Factor!$J$4:$O$7, 2, 0)*VLOOKUP($F61, Factor!$Q$4:$V$15, 2, 0)*IF(MOD($G61,10)=0, 10, MOD($G61, 10))*((INDEX(Factor!$X$4:$AC$13, _xlfn.XMATCH($G61, Factor!$X$4:$X$13, 1),2)*IF(MOD(G61, 10) = 0, 10, MOD(G61, 10)))+INDEX(Factor!$AE$4:$AJ$13, _xlfn.XMATCH(MonsterData!$G61, Factor!$AE$4:$AE$13, 1),2))</f>
        <v>1215</v>
      </c>
      <c r="V61" s="21" cm="1">
        <f t="array" ref="V61">M61*VLOOKUP($I61, Factor!$B$4:$G$8, 3, 0)*VLOOKUP($J61, Factor!$B$12:$G$13, 3, 0)*VLOOKUP($K61, Factor!$B$17:$G$18, 3, 0)*VLOOKUP($H61, Factor!$J$4:$O$7, 3, 0)*VLOOKUP($F61, Factor!$Q$4:$V$15, 3, 0)*IF(MOD($G61,10)=0, 10, MOD($G61, 10))*((INDEX(Factor!$X$4:$AC$13, _xlfn.XMATCH($G61, Factor!$X$4:$X$13, 1),3)*IF(MOD(G61, 10) = 0, 10, MOD(G61, 10)))+INDEX(Factor!$AE$4:$AJ$13, _xlfn.XMATCH(MonsterData!$G61, Factor!$AE$4:$AE$13, 1),3))</f>
        <v>60.75</v>
      </c>
      <c r="W61" s="21" cm="1">
        <f t="array" ref="W61">N61*VLOOKUP($I61, Factor!$B$4:$G$8, 4, 0)*VLOOKUP($J61, Factor!$B$12:$G$13, 4, 0)*VLOOKUP($K61, Factor!$B$17:$G$18, 4, 0)*VLOOKUP($H61, Factor!$J$4:$O$7, 4, 0)*VLOOKUP($F61, Factor!$Q$4:$V$15, 4, 0)*IF(MOD($G61,10)=0, 10, MOD($G61, 10))*((INDEX(Factor!$X$4:$AC$13, _xlfn.XMATCH($G61, Factor!$X$4:$X$13, 1),4)*IF(MOD(G61, 10) = 0, 10, MOD(G61, 10)))+INDEX(Factor!$AE$4:$AJ$13, _xlfn.XMATCH(MonsterData!$G61, Factor!$AE$4:$AE$13, 1),4))</f>
        <v>36.450000000000003</v>
      </c>
      <c r="X61" s="21" cm="1">
        <f t="array" ref="X61">O61*VLOOKUP($I61, Factor!$B$4:$G$8, 5, 0)*VLOOKUP($J61, Factor!$B$12:$G$13, 5, 0)*VLOOKUP($K61, Factor!$B$17:$G$18, 5, 0)*VLOOKUP($H61, Factor!$J$4:$O$7, 5, 0)*VLOOKUP($F61, Factor!$Q$4:$V$15, 5, 0)*IF(MOD($G61,10)=0, 10, MOD($G61, 10))*((INDEX(Factor!$X$4:$AC$13, _xlfn.XMATCH($G61, Factor!$X$4:$X$13, 1),5)*IF(MOD(G61, 10) = 0, 10, MOD(G61, 10)))+INDEX(Factor!$AE$4:$AJ$13, _xlfn.XMATCH(MonsterData!$G61, Factor!$AE$4:$AE$13, 1),5))</f>
        <v>8.1</v>
      </c>
      <c r="Y61" s="21" cm="1">
        <f t="array" ref="Y61">P61*VLOOKUP($I61, Factor!$B$4:$G$8, 6, 0)*VLOOKUP($J61, Factor!$B$12:$G$13, 6, 0)*VLOOKUP($K61, Factor!$B$17:$G$18, 6, 0)*VLOOKUP($H61, Factor!$J$4:$O$7, 2, 0)*VLOOKUP($F61, Factor!$Q$4:$V$15, 6, 0)*IF(MOD($G61,10)=0, 10, MOD($G61, 10))*((INDEX(Factor!$X$4:$AC$13, _xlfn.XMATCH($G61, Factor!$X$4:$X$13, 1),6)*IF(MOD(G61, 10) = 0, 10, MOD(G61, 10)))+INDEX(Factor!$AE$4:$AJ$13, _xlfn.XMATCH(MonsterData!$G61, Factor!$AE$4:$AE$13, 1),6))</f>
        <v>40.5</v>
      </c>
      <c r="Z61" s="21">
        <f>$Q61*VLOOKUP($J61, Factor!$B$12:$H$13, 7, 0)</f>
        <v>1</v>
      </c>
      <c r="AA61" s="13">
        <v>1</v>
      </c>
      <c r="AB61" s="21">
        <f t="shared" si="4"/>
        <v>0</v>
      </c>
      <c r="AC61" s="13" t="s">
        <v>139</v>
      </c>
      <c r="AD61" s="15" t="s">
        <v>142</v>
      </c>
    </row>
    <row r="62" spans="1:30" ht="15.75" customHeight="1">
      <c r="A62" s="16" t="str">
        <f>T62&amp;"_"&amp;F62&amp;VLOOKUP($C62, Factor!$AM$4:$AY$30, 7, 0)&amp;IF(COUNTIFS($C$4:C61, C62, $F$4:F61, F62)+1&gt;=100, COUNTIFS($C$4:C61, C62, $F$4:F61, F62)+1,IF(COUNTIFS($C$4:C61, C62, $F$4:F61, F62)+1&gt;=10, "0"&amp;COUNTIFS($C$4:C61, C62, $F$4:F61, F62)+1, "00"&amp;COUNTIFS($C$4:C61, C62, $F$4:F61, F62)+1))</f>
        <v>enpc_F01_A_Antlion_005</v>
      </c>
      <c r="B62" s="16"/>
      <c r="C62" s="16" t="s">
        <v>38</v>
      </c>
      <c r="D62" s="16" t="str">
        <f t="shared" si="7"/>
        <v>앤틸리온</v>
      </c>
      <c r="E62" s="17" t="str">
        <f>VLOOKUP($C62, Factor!$AM$4:$AY$30, 8, 0)</f>
        <v>M</v>
      </c>
      <c r="F62" s="17" t="s">
        <v>382</v>
      </c>
      <c r="G62" s="20">
        <v>9</v>
      </c>
      <c r="H62" s="16" t="s">
        <v>55</v>
      </c>
      <c r="I62" s="17" t="str">
        <f>VLOOKUP($C62, Factor!$AM$4:$AY$30, 11, 0)</f>
        <v>A</v>
      </c>
      <c r="J62" s="17" t="str">
        <f>VLOOKUP($C62, Factor!$AM$4:$AY$30, 12, 0)</f>
        <v>ra</v>
      </c>
      <c r="K62" s="17" t="str">
        <f>VLOOKUP($C62, Factor!$AM$4:$AY$30, 13, 0)</f>
        <v>L</v>
      </c>
      <c r="L62" s="17">
        <v>1</v>
      </c>
      <c r="M62" s="17">
        <v>1</v>
      </c>
      <c r="N62" s="17">
        <v>1</v>
      </c>
      <c r="O62" s="17">
        <v>1</v>
      </c>
      <c r="P62" s="17">
        <v>1</v>
      </c>
      <c r="Q62" s="17">
        <v>1</v>
      </c>
      <c r="R62" s="17" t="str">
        <f>VLOOKUP($C62, Factor!$AM$4:$AY$30, 9, 0)</f>
        <v>Midium</v>
      </c>
      <c r="S62" s="17" t="s">
        <v>397</v>
      </c>
      <c r="T62" s="17" t="str">
        <f>VLOOKUP($C62, Factor!$AM$4:$AY$30, 10, 0)</f>
        <v>enpc</v>
      </c>
      <c r="U62" s="17" cm="1">
        <f t="array" ref="U62">L62*VLOOKUP($I62, Factor!$B$4:$G$8, 2, 0)*VLOOKUP($J62, Factor!$B$12:$G$13, 2, 0)*VLOOKUP($K62, Factor!$B$17:$G$18, 2, 0)*VLOOKUP($H62, Factor!$J$4:$O$7, 2, 0)*VLOOKUP($F62, Factor!$Q$4:$V$15, 2, 0)*IF(MOD($G62,10)=0, 10, MOD($G62, 10))*((INDEX(Factor!$X$4:$AC$13, _xlfn.XMATCH($G62, Factor!$X$4:$X$13, 1),2)*IF(MOD(G62, 10) = 0, 10, MOD(G62, 10)))+INDEX(Factor!$AE$4:$AJ$13, _xlfn.XMATCH(MonsterData!$G62, Factor!$AE$4:$AE$13, 1),2))</f>
        <v>972</v>
      </c>
      <c r="V62" s="17" cm="1">
        <f t="array" ref="V62">M62*VLOOKUP($I62, Factor!$B$4:$G$8, 3, 0)*VLOOKUP($J62, Factor!$B$12:$G$13, 3, 0)*VLOOKUP($K62, Factor!$B$17:$G$18, 3, 0)*VLOOKUP($H62, Factor!$J$4:$O$7, 3, 0)*VLOOKUP($F62, Factor!$Q$4:$V$15, 3, 0)*IF(MOD($G62,10)=0, 10, MOD($G62, 10))*((INDEX(Factor!$X$4:$AC$13, _xlfn.XMATCH($G62, Factor!$X$4:$X$13, 1),3)*IF(MOD(G62, 10) = 0, 10, MOD(G62, 10)))+INDEX(Factor!$AE$4:$AJ$13, _xlfn.XMATCH(MonsterData!$G62, Factor!$AE$4:$AE$13, 1),3))</f>
        <v>48.6</v>
      </c>
      <c r="W62" s="17" cm="1">
        <f t="array" ref="W62">N62*VLOOKUP($I62, Factor!$B$4:$G$8, 4, 0)*VLOOKUP($J62, Factor!$B$12:$G$13, 4, 0)*VLOOKUP($K62, Factor!$B$17:$G$18, 4, 0)*VLOOKUP($H62, Factor!$J$4:$O$7, 4, 0)*VLOOKUP($F62, Factor!$Q$4:$V$15, 4, 0)*IF(MOD($G62,10)=0, 10, MOD($G62, 10))*((INDEX(Factor!$X$4:$AC$13, _xlfn.XMATCH($G62, Factor!$X$4:$X$13, 1),4)*IF(MOD(G62, 10) = 0, 10, MOD(G62, 10)))+INDEX(Factor!$AE$4:$AJ$13, _xlfn.XMATCH(MonsterData!$G62, Factor!$AE$4:$AE$13, 1),4))</f>
        <v>43.739999999999995</v>
      </c>
      <c r="X62" s="17" cm="1">
        <f t="array" ref="X62">O62*VLOOKUP($I62, Factor!$B$4:$G$8, 5, 0)*VLOOKUP($J62, Factor!$B$12:$G$13, 5, 0)*VLOOKUP($K62, Factor!$B$17:$G$18, 5, 0)*VLOOKUP($H62, Factor!$J$4:$O$7, 5, 0)*VLOOKUP($F62, Factor!$Q$4:$V$15, 5, 0)*IF(MOD($G62,10)=0, 10, MOD($G62, 10))*((INDEX(Factor!$X$4:$AC$13, _xlfn.XMATCH($G62, Factor!$X$4:$X$13, 1),5)*IF(MOD(G62, 10) = 0, 10, MOD(G62, 10)))+INDEX(Factor!$AE$4:$AJ$13, _xlfn.XMATCH(MonsterData!$G62, Factor!$AE$4:$AE$13, 1),5))</f>
        <v>12.15</v>
      </c>
      <c r="Y62" s="17" cm="1">
        <f t="array" ref="Y62">P62*VLOOKUP($I62, Factor!$B$4:$G$8, 6, 0)*VLOOKUP($J62, Factor!$B$12:$G$13, 6, 0)*VLOOKUP($K62, Factor!$B$17:$G$18, 6, 0)*VLOOKUP($H62, Factor!$J$4:$O$7, 2, 0)*VLOOKUP($F62, Factor!$Q$4:$V$15, 6, 0)*IF(MOD($G62,10)=0, 10, MOD($G62, 10))*((INDEX(Factor!$X$4:$AC$13, _xlfn.XMATCH($G62, Factor!$X$4:$X$13, 1),6)*IF(MOD(G62, 10) = 0, 10, MOD(G62, 10)))+INDEX(Factor!$AE$4:$AJ$13, _xlfn.XMATCH(MonsterData!$G62, Factor!$AE$4:$AE$13, 1),6))</f>
        <v>40.5</v>
      </c>
      <c r="Z62" s="17">
        <f>$Q62*VLOOKUP($J62, Factor!$B$12:$H$13, 7, 0)</f>
        <v>4</v>
      </c>
      <c r="AA62" s="17">
        <v>1</v>
      </c>
      <c r="AB62" s="17">
        <f t="shared" si="4"/>
        <v>4</v>
      </c>
      <c r="AC62" s="17" t="s">
        <v>139</v>
      </c>
      <c r="AD62" s="19" t="s">
        <v>142</v>
      </c>
    </row>
    <row r="63" spans="1:30" ht="15.75" customHeight="1">
      <c r="A63" s="13" t="str">
        <f>T63&amp;"_"&amp;F63&amp;VLOOKUP($C63, Factor!$AM$4:$AY$30, 7, 0)&amp;IF(COUNTIFS($C$4:C62, C63, $F$4:F62, F63)+1&gt;=100, COUNTIFS($C$4:C62, C63, $F$4:F62, F63)+1,IF(COUNTIFS($C$4:C62, C63, $F$4:F62, F63)+1&gt;=10, "0"&amp;COUNTIFS($C$4:C62, C63, $F$4:F62, F63)+1, "00"&amp;COUNTIFS($C$4:C62, C63, $F$4:F62, F63)+1))</f>
        <v>enpc_F01_A_Nymphe_005</v>
      </c>
      <c r="B63" s="13"/>
      <c r="C63" s="13" t="s">
        <v>39</v>
      </c>
      <c r="D63" s="13" t="str">
        <f t="shared" si="7"/>
        <v>님프</v>
      </c>
      <c r="E63" s="21" t="str">
        <f>VLOOKUP($C63, Factor!$AM$4:$AY$30, 8, 0)</f>
        <v>S</v>
      </c>
      <c r="F63" s="13" t="s">
        <v>382</v>
      </c>
      <c r="G63" s="22">
        <v>9</v>
      </c>
      <c r="H63" s="13" t="s">
        <v>55</v>
      </c>
      <c r="I63" s="21" t="str">
        <f>VLOOKUP($C63, Factor!$AM$4:$AY$30, 11, 0)</f>
        <v>A</v>
      </c>
      <c r="J63" s="21" t="str">
        <f>VLOOKUP($C63, Factor!$AM$4:$AY$30, 12, 0)</f>
        <v>ml</v>
      </c>
      <c r="K63" s="21" t="str">
        <f>VLOOKUP($C63, Factor!$AM$4:$AY$30, 13, 0)</f>
        <v>F</v>
      </c>
      <c r="L63" s="13">
        <v>1</v>
      </c>
      <c r="M63" s="13">
        <v>1</v>
      </c>
      <c r="N63" s="13">
        <v>1</v>
      </c>
      <c r="O63" s="13">
        <v>1</v>
      </c>
      <c r="P63" s="13">
        <v>1</v>
      </c>
      <c r="Q63" s="13">
        <v>1</v>
      </c>
      <c r="R63" s="21" t="str">
        <f>VLOOKUP($C63, Factor!$AM$4:$AY$30, 9, 0)</f>
        <v>Small</v>
      </c>
      <c r="S63" s="13" t="s">
        <v>409</v>
      </c>
      <c r="T63" s="21" t="str">
        <f>VLOOKUP($C63, Factor!$AM$4:$AY$30, 10, 0)</f>
        <v>enpc</v>
      </c>
      <c r="U63" s="21" cm="1">
        <f t="array" ref="U63">L63*VLOOKUP($I63, Factor!$B$4:$G$8, 2, 0)*VLOOKUP($J63, Factor!$B$12:$G$13, 2, 0)*VLOOKUP($K63, Factor!$B$17:$G$18, 2, 0)*VLOOKUP($H63, Factor!$J$4:$O$7, 2, 0)*VLOOKUP($F63, Factor!$Q$4:$V$15, 2, 0)*IF(MOD($G63,10)=0, 10, MOD($G63, 10))*((INDEX(Factor!$X$4:$AC$13, _xlfn.XMATCH($G63, Factor!$X$4:$X$13, 1),2)*IF(MOD(G63, 10) = 0, 10, MOD(G63, 10)))+INDEX(Factor!$AE$4:$AJ$13, _xlfn.XMATCH(MonsterData!$G63, Factor!$AE$4:$AE$13, 1),2))</f>
        <v>810</v>
      </c>
      <c r="V63" s="21" cm="1">
        <f t="array" ref="V63">M63*VLOOKUP($I63, Factor!$B$4:$G$8, 3, 0)*VLOOKUP($J63, Factor!$B$12:$G$13, 3, 0)*VLOOKUP($K63, Factor!$B$17:$G$18, 3, 0)*VLOOKUP($H63, Factor!$J$4:$O$7, 3, 0)*VLOOKUP($F63, Factor!$Q$4:$V$15, 3, 0)*IF(MOD($G63,10)=0, 10, MOD($G63, 10))*((INDEX(Factor!$X$4:$AC$13, _xlfn.XMATCH($G63, Factor!$X$4:$X$13, 1),3)*IF(MOD(G63, 10) = 0, 10, MOD(G63, 10)))+INDEX(Factor!$AE$4:$AJ$13, _xlfn.XMATCH(MonsterData!$G63, Factor!$AE$4:$AE$13, 1),3))</f>
        <v>40.5</v>
      </c>
      <c r="W63" s="21" cm="1">
        <f t="array" ref="W63">N63*VLOOKUP($I63, Factor!$B$4:$G$8, 4, 0)*VLOOKUP($J63, Factor!$B$12:$G$13, 4, 0)*VLOOKUP($K63, Factor!$B$17:$G$18, 4, 0)*VLOOKUP($H63, Factor!$J$4:$O$7, 4, 0)*VLOOKUP($F63, Factor!$Q$4:$V$15, 4, 0)*IF(MOD($G63,10)=0, 10, MOD($G63, 10))*((INDEX(Factor!$X$4:$AC$13, _xlfn.XMATCH($G63, Factor!$X$4:$X$13, 1),4)*IF(MOD(G63, 10) = 0, 10, MOD(G63, 10)))+INDEX(Factor!$AE$4:$AJ$13, _xlfn.XMATCH(MonsterData!$G63, Factor!$AE$4:$AE$13, 1),4))</f>
        <v>24.3</v>
      </c>
      <c r="X63" s="21" cm="1">
        <f t="array" ref="X63">O63*VLOOKUP($I63, Factor!$B$4:$G$8, 5, 0)*VLOOKUP($J63, Factor!$B$12:$G$13, 5, 0)*VLOOKUP($K63, Factor!$B$17:$G$18, 5, 0)*VLOOKUP($H63, Factor!$J$4:$O$7, 5, 0)*VLOOKUP($F63, Factor!$Q$4:$V$15, 5, 0)*IF(MOD($G63,10)=0, 10, MOD($G63, 10))*((INDEX(Factor!$X$4:$AC$13, _xlfn.XMATCH($G63, Factor!$X$4:$X$13, 1),5)*IF(MOD(G63, 10) = 0, 10, MOD(G63, 10)))+INDEX(Factor!$AE$4:$AJ$13, _xlfn.XMATCH(MonsterData!$G63, Factor!$AE$4:$AE$13, 1),5))</f>
        <v>8.1</v>
      </c>
      <c r="Y63" s="21" cm="1">
        <f t="array" ref="Y63">P63*VLOOKUP($I63, Factor!$B$4:$G$8, 6, 0)*VLOOKUP($J63, Factor!$B$12:$G$13, 6, 0)*VLOOKUP($K63, Factor!$B$17:$G$18, 6, 0)*VLOOKUP($H63, Factor!$J$4:$O$7, 2, 0)*VLOOKUP($F63, Factor!$Q$4:$V$15, 6, 0)*IF(MOD($G63,10)=0, 10, MOD($G63, 10))*((INDEX(Factor!$X$4:$AC$13, _xlfn.XMATCH($G63, Factor!$X$4:$X$13, 1),6)*IF(MOD(G63, 10) = 0, 10, MOD(G63, 10)))+INDEX(Factor!$AE$4:$AJ$13, _xlfn.XMATCH(MonsterData!$G63, Factor!$AE$4:$AE$13, 1),6))</f>
        <v>121.5</v>
      </c>
      <c r="Z63" s="21">
        <f>$Q63*VLOOKUP($J63, Factor!$B$12:$H$13, 7, 0)</f>
        <v>1</v>
      </c>
      <c r="AA63" s="13">
        <v>1</v>
      </c>
      <c r="AB63" s="21">
        <f t="shared" si="4"/>
        <v>0</v>
      </c>
      <c r="AC63" s="13" t="s">
        <v>139</v>
      </c>
      <c r="AD63" s="15" t="s">
        <v>142</v>
      </c>
    </row>
    <row r="64" spans="1:30" ht="15.75" customHeight="1">
      <c r="A64" s="16" t="str">
        <f>T64&amp;"_"&amp;F64&amp;VLOOKUP($C64, Factor!$AM$4:$AY$30, 7, 0)&amp;IF(COUNTIFS($C$4:C63, C64, $F$4:F63, F64)+1&gt;=100, COUNTIFS($C$4:C63, C64, $F$4:F63, F64)+1,IF(COUNTIFS($C$4:C63, C64, $F$4:F63, F64)+1&gt;=10, "0"&amp;COUNTIFS($C$4:C63, C64, $F$4:F63, F64)+1, "00"&amp;COUNTIFS($C$4:C63, C64, $F$4:F63, F64)+1))</f>
        <v>enpc_F01_B_Golem_005</v>
      </c>
      <c r="B64" s="16"/>
      <c r="C64" s="16" t="s">
        <v>40</v>
      </c>
      <c r="D64" s="16" t="str">
        <f t="shared" si="7"/>
        <v>골렘</v>
      </c>
      <c r="E64" s="17" t="str">
        <f>VLOOKUP($C64, Factor!$AM$4:$AY$30, 8, 0)</f>
        <v>B</v>
      </c>
      <c r="F64" s="17" t="s">
        <v>382</v>
      </c>
      <c r="G64" s="20">
        <v>17</v>
      </c>
      <c r="H64" s="16" t="s">
        <v>57</v>
      </c>
      <c r="I64" s="17" t="str">
        <f>VLOOKUP($C64, Factor!$AM$4:$AY$30, 11, 0)</f>
        <v>B</v>
      </c>
      <c r="J64" s="17" t="str">
        <f>VLOOKUP($C64, Factor!$AM$4:$AY$30, 12, 0)</f>
        <v>ml</v>
      </c>
      <c r="K64" s="17" t="str">
        <f>VLOOKUP($C64, Factor!$AM$4:$AY$30, 13, 0)</f>
        <v>L</v>
      </c>
      <c r="L64" s="17">
        <v>1</v>
      </c>
      <c r="M64" s="17">
        <v>1</v>
      </c>
      <c r="N64" s="17">
        <v>1</v>
      </c>
      <c r="O64" s="17">
        <v>1</v>
      </c>
      <c r="P64" s="17">
        <v>1</v>
      </c>
      <c r="Q64" s="17">
        <v>1</v>
      </c>
      <c r="R64" s="17" t="str">
        <f>VLOOKUP($C64, Factor!$AM$4:$AY$30, 9, 0)</f>
        <v>Big</v>
      </c>
      <c r="S64" s="17" t="s">
        <v>398</v>
      </c>
      <c r="T64" s="17" t="str">
        <f>VLOOKUP($C64, Factor!$AM$4:$AY$30, 10, 0)</f>
        <v>enpc</v>
      </c>
      <c r="U64" s="17" cm="1">
        <f t="array" ref="U64">L64*VLOOKUP($I64, Factor!$B$4:$G$8, 2, 0)*VLOOKUP($J64, Factor!$B$12:$G$13, 2, 0)*VLOOKUP($K64, Factor!$B$17:$G$18, 2, 0)*VLOOKUP($H64, Factor!$J$4:$O$7, 2, 0)*VLOOKUP($F64, Factor!$Q$4:$V$15, 2, 0)*IF(MOD($G64,10)=0, 10, MOD($G64, 10))*((INDEX(Factor!$X$4:$AC$13, _xlfn.XMATCH($G64, Factor!$X$4:$X$13, 1),2)*IF(MOD(G64, 10) = 0, 10, MOD(G64, 10)))+INDEX(Factor!$AE$4:$AJ$13, _xlfn.XMATCH(MonsterData!$G64, Factor!$AE$4:$AE$13, 1),2))</f>
        <v>25200.000000000004</v>
      </c>
      <c r="V64" s="17" cm="1">
        <f t="array" ref="V64">M64*VLOOKUP($I64, Factor!$B$4:$G$8, 3, 0)*VLOOKUP($J64, Factor!$B$12:$G$13, 3, 0)*VLOOKUP($K64, Factor!$B$17:$G$18, 3, 0)*VLOOKUP($H64, Factor!$J$4:$O$7, 3, 0)*VLOOKUP($F64, Factor!$Q$4:$V$15, 3, 0)*IF(MOD($G64,10)=0, 10, MOD($G64, 10))*((INDEX(Factor!$X$4:$AC$13, _xlfn.XMATCH($G64, Factor!$X$4:$X$13, 1),3)*IF(MOD(G64, 10) = 0, 10, MOD(G64, 10)))+INDEX(Factor!$AE$4:$AJ$13, _xlfn.XMATCH(MonsterData!$G64, Factor!$AE$4:$AE$13, 1),3))</f>
        <v>1260.0000000000002</v>
      </c>
      <c r="W64" s="17" cm="1">
        <f t="array" ref="W64">N64*VLOOKUP($I64, Factor!$B$4:$G$8, 4, 0)*VLOOKUP($J64, Factor!$B$12:$G$13, 4, 0)*VLOOKUP($K64, Factor!$B$17:$G$18, 4, 0)*VLOOKUP($H64, Factor!$J$4:$O$7, 4, 0)*VLOOKUP($F64, Factor!$Q$4:$V$15, 4, 0)*IF(MOD($G64,10)=0, 10, MOD($G64, 10))*((INDEX(Factor!$X$4:$AC$13, _xlfn.XMATCH($G64, Factor!$X$4:$X$13, 1),4)*IF(MOD(G64, 10) = 0, 10, MOD(G64, 10)))+INDEX(Factor!$AE$4:$AJ$13, _xlfn.XMATCH(MonsterData!$G64, Factor!$AE$4:$AE$13, 1),4))</f>
        <v>63.000000000000007</v>
      </c>
      <c r="X64" s="17" cm="1">
        <f t="array" ref="X64">O64*VLOOKUP($I64, Factor!$B$4:$G$8, 5, 0)*VLOOKUP($J64, Factor!$B$12:$G$13, 5, 0)*VLOOKUP($K64, Factor!$B$17:$G$18, 5, 0)*VLOOKUP($H64, Factor!$J$4:$O$7, 5, 0)*VLOOKUP($F64, Factor!$Q$4:$V$15, 5, 0)*IF(MOD($G64,10)=0, 10, MOD($G64, 10))*((INDEX(Factor!$X$4:$AC$13, _xlfn.XMATCH($G64, Factor!$X$4:$X$13, 1),5)*IF(MOD(G64, 10) = 0, 10, MOD(G64, 10)))+INDEX(Factor!$AE$4:$AJ$13, _xlfn.XMATCH(MonsterData!$G64, Factor!$AE$4:$AE$13, 1),5))</f>
        <v>67.200000000000017</v>
      </c>
      <c r="Y64" s="17" cm="1">
        <f t="array" ref="Y64">P64*VLOOKUP($I64, Factor!$B$4:$G$8, 6, 0)*VLOOKUP($J64, Factor!$B$12:$G$13, 6, 0)*VLOOKUP($K64, Factor!$B$17:$G$18, 6, 0)*VLOOKUP($H64, Factor!$J$4:$O$7, 2, 0)*VLOOKUP($F64, Factor!$Q$4:$V$15, 6, 0)*IF(MOD($G64,10)=0, 10, MOD($G64, 10))*((INDEX(Factor!$X$4:$AC$13, _xlfn.XMATCH($G64, Factor!$X$4:$X$13, 1),6)*IF(MOD(G64, 10) = 0, 10, MOD(G64, 10)))+INDEX(Factor!$AE$4:$AJ$13, _xlfn.XMATCH(MonsterData!$G64, Factor!$AE$4:$AE$13, 1),6))</f>
        <v>134.40000000000003</v>
      </c>
      <c r="Z64" s="17">
        <f>$Q64*VLOOKUP($J64, Factor!$B$12:$H$13, 7, 0)</f>
        <v>1</v>
      </c>
      <c r="AA64" s="17">
        <v>1</v>
      </c>
      <c r="AB64" s="17">
        <f t="shared" si="4"/>
        <v>0</v>
      </c>
      <c r="AC64" s="17" t="s">
        <v>140</v>
      </c>
      <c r="AD64" s="19" t="s">
        <v>143</v>
      </c>
    </row>
    <row r="65" spans="1:30" ht="15.75" customHeight="1">
      <c r="A65" s="13" t="str">
        <f>T65&amp;"_"&amp;F65&amp;VLOOKUP($C65, Factor!$AM$4:$AY$30, 7, 0)&amp;IF(COUNTIFS($C$4:C64, C65, $F$4:F64, F65)+1&gt;=100, COUNTIFS($C$4:C64, C65, $F$4:F64, F65)+1,IF(COUNTIFS($C$4:C64, C65, $F$4:F64, F65)+1&gt;=10, "0"&amp;COUNTIFS($C$4:C64, C65, $F$4:F64, F65)+1, "00"&amp;COUNTIFS($C$4:C64, C65, $F$4:F64, F65)+1))</f>
        <v>enpc_F01_B_Banshee_005</v>
      </c>
      <c r="B65" s="13"/>
      <c r="C65" s="13" t="s">
        <v>42</v>
      </c>
      <c r="D65" s="13" t="str">
        <f t="shared" si="7"/>
        <v>밴시</v>
      </c>
      <c r="E65" s="21" t="str">
        <f>VLOOKUP($C65, Factor!$AM$4:$AY$30, 8, 0)</f>
        <v>S</v>
      </c>
      <c r="F65" s="13" t="s">
        <v>382</v>
      </c>
      <c r="G65" s="22">
        <v>17</v>
      </c>
      <c r="H65" s="13" t="s">
        <v>56</v>
      </c>
      <c r="I65" s="21" t="str">
        <f>VLOOKUP($C65, Factor!$AM$4:$AY$30, 11, 0)</f>
        <v>B</v>
      </c>
      <c r="J65" s="21" t="str">
        <f>VLOOKUP($C65, Factor!$AM$4:$AY$30, 12, 0)</f>
        <v>ra</v>
      </c>
      <c r="K65" s="21" t="str">
        <f>VLOOKUP($C65, Factor!$AM$4:$AY$30, 13, 0)</f>
        <v>L</v>
      </c>
      <c r="L65" s="13">
        <v>1</v>
      </c>
      <c r="M65" s="13">
        <v>1</v>
      </c>
      <c r="N65" s="13">
        <v>1</v>
      </c>
      <c r="O65" s="13">
        <v>1</v>
      </c>
      <c r="P65" s="13">
        <v>1</v>
      </c>
      <c r="Q65" s="13">
        <v>1</v>
      </c>
      <c r="R65" s="21" t="str">
        <f>VLOOKUP($C65, Factor!$AM$4:$AY$30, 9, 0)</f>
        <v>Midium</v>
      </c>
      <c r="S65" s="13" t="s">
        <v>410</v>
      </c>
      <c r="T65" s="21" t="str">
        <f>VLOOKUP($C65, Factor!$AM$4:$AY$30, 10, 0)</f>
        <v>enpc</v>
      </c>
      <c r="U65" s="21" cm="1">
        <f t="array" ref="U65">L65*VLOOKUP($I65, Factor!$B$4:$G$8, 2, 0)*VLOOKUP($J65, Factor!$B$12:$G$13, 2, 0)*VLOOKUP($K65, Factor!$B$17:$G$18, 2, 0)*VLOOKUP($H65, Factor!$J$4:$O$7, 2, 0)*VLOOKUP($F65, Factor!$Q$4:$V$15, 2, 0)*IF(MOD($G65,10)=0, 10, MOD($G65, 10))*((INDEX(Factor!$X$4:$AC$13, _xlfn.XMATCH($G65, Factor!$X$4:$X$13, 1),2)*IF(MOD(G65, 10) = 0, 10, MOD(G65, 10)))+INDEX(Factor!$AE$4:$AJ$13, _xlfn.XMATCH(MonsterData!$G65, Factor!$AE$4:$AE$13, 1),2))</f>
        <v>10080.000000000002</v>
      </c>
      <c r="V65" s="21" cm="1">
        <f t="array" ref="V65">M65*VLOOKUP($I65, Factor!$B$4:$G$8, 3, 0)*VLOOKUP($J65, Factor!$B$12:$G$13, 3, 0)*VLOOKUP($K65, Factor!$B$17:$G$18, 3, 0)*VLOOKUP($H65, Factor!$J$4:$O$7, 3, 0)*VLOOKUP($F65, Factor!$Q$4:$V$15, 3, 0)*IF(MOD($G65,10)=0, 10, MOD($G65, 10))*((INDEX(Factor!$X$4:$AC$13, _xlfn.XMATCH($G65, Factor!$X$4:$X$13, 1),3)*IF(MOD(G65, 10) = 0, 10, MOD(G65, 10)))+INDEX(Factor!$AE$4:$AJ$13, _xlfn.XMATCH(MonsterData!$G65, Factor!$AE$4:$AE$13, 1),3))</f>
        <v>504.00000000000006</v>
      </c>
      <c r="W65" s="21" cm="1">
        <f t="array" ref="W65">N65*VLOOKUP($I65, Factor!$B$4:$G$8, 4, 0)*VLOOKUP($J65, Factor!$B$12:$G$13, 4, 0)*VLOOKUP($K65, Factor!$B$17:$G$18, 4, 0)*VLOOKUP($H65, Factor!$J$4:$O$7, 4, 0)*VLOOKUP($F65, Factor!$Q$4:$V$15, 4, 0)*IF(MOD($G65,10)=0, 10, MOD($G65, 10))*((INDEX(Factor!$X$4:$AC$13, _xlfn.XMATCH($G65, Factor!$X$4:$X$13, 1),4)*IF(MOD(G65, 10) = 0, 10, MOD(G65, 10)))+INDEX(Factor!$AE$4:$AJ$13, _xlfn.XMATCH(MonsterData!$G65, Factor!$AE$4:$AE$13, 1),4))</f>
        <v>1512.0000000000002</v>
      </c>
      <c r="X65" s="21" cm="1">
        <f t="array" ref="X65">O65*VLOOKUP($I65, Factor!$B$4:$G$8, 5, 0)*VLOOKUP($J65, Factor!$B$12:$G$13, 5, 0)*VLOOKUP($K65, Factor!$B$17:$G$18, 5, 0)*VLOOKUP($H65, Factor!$J$4:$O$7, 5, 0)*VLOOKUP($F65, Factor!$Q$4:$V$15, 5, 0)*IF(MOD($G65,10)=0, 10, MOD($G65, 10))*((INDEX(Factor!$X$4:$AC$13, _xlfn.XMATCH($G65, Factor!$X$4:$X$13, 1),5)*IF(MOD(G65, 10) = 0, 10, MOD(G65, 10)))+INDEX(Factor!$AE$4:$AJ$13, _xlfn.XMATCH(MonsterData!$G65, Factor!$AE$4:$AE$13, 1),5))</f>
        <v>45.360000000000014</v>
      </c>
      <c r="Y65" s="21" cm="1">
        <f t="array" ref="Y65">P65*VLOOKUP($I65, Factor!$B$4:$G$8, 6, 0)*VLOOKUP($J65, Factor!$B$12:$G$13, 6, 0)*VLOOKUP($K65, Factor!$B$17:$G$18, 6, 0)*VLOOKUP($H65, Factor!$J$4:$O$7, 2, 0)*VLOOKUP($F65, Factor!$Q$4:$V$15, 6, 0)*IF(MOD($G65,10)=0, 10, MOD($G65, 10))*((INDEX(Factor!$X$4:$AC$13, _xlfn.XMATCH($G65, Factor!$X$4:$X$13, 1),6)*IF(MOD(G65, 10) = 0, 10, MOD(G65, 10)))+INDEX(Factor!$AE$4:$AJ$13, _xlfn.XMATCH(MonsterData!$G65, Factor!$AE$4:$AE$13, 1),6))</f>
        <v>67.200000000000017</v>
      </c>
      <c r="Z65" s="21">
        <f>$Q65*VLOOKUP($J65, Factor!$B$12:$H$13, 7, 0)</f>
        <v>4</v>
      </c>
      <c r="AA65" s="13">
        <v>1</v>
      </c>
      <c r="AB65" s="21">
        <f t="shared" si="4"/>
        <v>4</v>
      </c>
      <c r="AC65" s="13" t="s">
        <v>141</v>
      </c>
      <c r="AD65" s="15" t="s">
        <v>144</v>
      </c>
    </row>
    <row r="66" spans="1:30" ht="15.75" customHeight="1">
      <c r="A66" s="16" t="str">
        <f>T66&amp;"_"&amp;F66&amp;VLOOKUP($C66, Factor!$AM$4:$AY$30, 7, 0)&amp;IF(COUNTIFS($C$4:C65, C66, $F$4:F65, F66)+1&gt;=100, COUNTIFS($C$4:C65, C66, $F$4:F65, F66)+1,IF(COUNTIFS($C$4:C65, C66, $F$4:F65, F66)+1&gt;=10, "0"&amp;COUNTIFS($C$4:C65, C66, $F$4:F65, F66)+1, "00"&amp;COUNTIFS($C$4:C65, C66, $F$4:F65, F66)+1))</f>
        <v>enpc_F01_A_Scarab_005</v>
      </c>
      <c r="B66" s="16"/>
      <c r="C66" s="16" t="s">
        <v>353</v>
      </c>
      <c r="D66" s="16" t="str">
        <f t="shared" si="7"/>
        <v>스캐럽</v>
      </c>
      <c r="E66" s="17" t="str">
        <f>VLOOKUP($C66, Factor!$AM$4:$AY$30, 8, 0)</f>
        <v>S</v>
      </c>
      <c r="F66" s="17" t="s">
        <v>382</v>
      </c>
      <c r="G66" s="20">
        <v>9</v>
      </c>
      <c r="H66" s="16" t="s">
        <v>55</v>
      </c>
      <c r="I66" s="17" t="str">
        <f>VLOOKUP($C66, Factor!$AM$4:$AY$30, 11, 0)</f>
        <v>A</v>
      </c>
      <c r="J66" s="17" t="str">
        <f>VLOOKUP($C66, Factor!$AM$4:$AY$30, 12, 0)</f>
        <v>ml</v>
      </c>
      <c r="K66" s="17" t="str">
        <f>VLOOKUP($C66, Factor!$AM$4:$AY$30, 13, 0)</f>
        <v>L</v>
      </c>
      <c r="L66" s="17">
        <v>1</v>
      </c>
      <c r="M66" s="17">
        <v>1</v>
      </c>
      <c r="N66" s="17">
        <v>1</v>
      </c>
      <c r="O66" s="17">
        <v>1</v>
      </c>
      <c r="P66" s="17">
        <v>1</v>
      </c>
      <c r="Q66" s="17">
        <v>1</v>
      </c>
      <c r="R66" s="17" t="str">
        <f>VLOOKUP($C66, Factor!$AM$4:$AY$30, 9, 0)</f>
        <v>Midium</v>
      </c>
      <c r="S66" s="17" t="s">
        <v>399</v>
      </c>
      <c r="T66" s="17" t="str">
        <f>VLOOKUP($C66, Factor!$AM$4:$AY$30, 10, 0)</f>
        <v>enpc</v>
      </c>
      <c r="U66" s="17" cm="1">
        <f t="array" ref="U66">L66*VLOOKUP($I66, Factor!$B$4:$G$8, 2, 0)*VLOOKUP($J66, Factor!$B$12:$G$13, 2, 0)*VLOOKUP($K66, Factor!$B$17:$G$18, 2, 0)*VLOOKUP($H66, Factor!$J$4:$O$7, 2, 0)*VLOOKUP($F66, Factor!$Q$4:$V$15, 2, 0)*IF(MOD($G66,10)=0, 10, MOD($G66, 10))*((INDEX(Factor!$X$4:$AC$13, _xlfn.XMATCH($G66, Factor!$X$4:$X$13, 1),2)*IF(MOD(G66, 10) = 0, 10, MOD(G66, 10)))+INDEX(Factor!$AE$4:$AJ$13, _xlfn.XMATCH(MonsterData!$G66, Factor!$AE$4:$AE$13, 1),2))</f>
        <v>1215</v>
      </c>
      <c r="V66" s="17" cm="1">
        <f t="array" ref="V66">M66*VLOOKUP($I66, Factor!$B$4:$G$8, 3, 0)*VLOOKUP($J66, Factor!$B$12:$G$13, 3, 0)*VLOOKUP($K66, Factor!$B$17:$G$18, 3, 0)*VLOOKUP($H66, Factor!$J$4:$O$7, 3, 0)*VLOOKUP($F66, Factor!$Q$4:$V$15, 3, 0)*IF(MOD($G66,10)=0, 10, MOD($G66, 10))*((INDEX(Factor!$X$4:$AC$13, _xlfn.XMATCH($G66, Factor!$X$4:$X$13, 1),3)*IF(MOD(G66, 10) = 0, 10, MOD(G66, 10)))+INDEX(Factor!$AE$4:$AJ$13, _xlfn.XMATCH(MonsterData!$G66, Factor!$AE$4:$AE$13, 1),3))</f>
        <v>60.75</v>
      </c>
      <c r="W66" s="17" cm="1">
        <f t="array" ref="W66">N66*VLOOKUP($I66, Factor!$B$4:$G$8, 4, 0)*VLOOKUP($J66, Factor!$B$12:$G$13, 4, 0)*VLOOKUP($K66, Factor!$B$17:$G$18, 4, 0)*VLOOKUP($H66, Factor!$J$4:$O$7, 4, 0)*VLOOKUP($F66, Factor!$Q$4:$V$15, 4, 0)*IF(MOD($G66,10)=0, 10, MOD($G66, 10))*((INDEX(Factor!$X$4:$AC$13, _xlfn.XMATCH($G66, Factor!$X$4:$X$13, 1),4)*IF(MOD(G66, 10) = 0, 10, MOD(G66, 10)))+INDEX(Factor!$AE$4:$AJ$13, _xlfn.XMATCH(MonsterData!$G66, Factor!$AE$4:$AE$13, 1),4))</f>
        <v>36.450000000000003</v>
      </c>
      <c r="X66" s="17" cm="1">
        <f t="array" ref="X66">O66*VLOOKUP($I66, Factor!$B$4:$G$8, 5, 0)*VLOOKUP($J66, Factor!$B$12:$G$13, 5, 0)*VLOOKUP($K66, Factor!$B$17:$G$18, 5, 0)*VLOOKUP($H66, Factor!$J$4:$O$7, 5, 0)*VLOOKUP($F66, Factor!$Q$4:$V$15, 5, 0)*IF(MOD($G66,10)=0, 10, MOD($G66, 10))*((INDEX(Factor!$X$4:$AC$13, _xlfn.XMATCH($G66, Factor!$X$4:$X$13, 1),5)*IF(MOD(G66, 10) = 0, 10, MOD(G66, 10)))+INDEX(Factor!$AE$4:$AJ$13, _xlfn.XMATCH(MonsterData!$G66, Factor!$AE$4:$AE$13, 1),5))</f>
        <v>8.1</v>
      </c>
      <c r="Y66" s="17" cm="1">
        <f t="array" ref="Y66">P66*VLOOKUP($I66, Factor!$B$4:$G$8, 6, 0)*VLOOKUP($J66, Factor!$B$12:$G$13, 6, 0)*VLOOKUP($K66, Factor!$B$17:$G$18, 6, 0)*VLOOKUP($H66, Factor!$J$4:$O$7, 2, 0)*VLOOKUP($F66, Factor!$Q$4:$V$15, 6, 0)*IF(MOD($G66,10)=0, 10, MOD($G66, 10))*((INDEX(Factor!$X$4:$AC$13, _xlfn.XMATCH($G66, Factor!$X$4:$X$13, 1),6)*IF(MOD(G66, 10) = 0, 10, MOD(G66, 10)))+INDEX(Factor!$AE$4:$AJ$13, _xlfn.XMATCH(MonsterData!$G66, Factor!$AE$4:$AE$13, 1),6))</f>
        <v>40.5</v>
      </c>
      <c r="Z66" s="17">
        <f>$Q66*VLOOKUP($J66, Factor!$B$12:$H$13, 7, 0)</f>
        <v>1</v>
      </c>
      <c r="AA66" s="17">
        <v>1</v>
      </c>
      <c r="AB66" s="17">
        <f t="shared" si="4"/>
        <v>0</v>
      </c>
      <c r="AC66" s="17" t="s">
        <v>139</v>
      </c>
      <c r="AD66" s="19" t="s">
        <v>387</v>
      </c>
    </row>
    <row r="67" spans="1:30" ht="15.75" customHeight="1">
      <c r="A67" s="13" t="str">
        <f>T67&amp;"_"&amp;F67&amp;VLOOKUP($C67, Factor!$AM$4:$AY$30, 7, 0)&amp;IF(COUNTIFS($C$4:C66, C67, $F$4:F66, F67)+1&gt;=100, COUNTIFS($C$4:C66, C67, $F$4:F66, F67)+1,IF(COUNTIFS($C$4:C66, C67, $F$4:F66, F67)+1&gt;=10, "0"&amp;COUNTIFS($C$4:C66, C67, $F$4:F66, F67)+1, "00"&amp;COUNTIFS($C$4:C66, C67, $F$4:F66, F67)+1))</f>
        <v>enpc_F01_A_Swarmlet_005</v>
      </c>
      <c r="B67" s="13"/>
      <c r="C67" s="13" t="s">
        <v>355</v>
      </c>
      <c r="D67" s="13" t="str">
        <f t="shared" si="7"/>
        <v>스웜렛</v>
      </c>
      <c r="E67" s="21" t="str">
        <f>VLOOKUP($C67, Factor!$AM$4:$AY$30, 8, 0)</f>
        <v>B</v>
      </c>
      <c r="F67" s="13" t="s">
        <v>382</v>
      </c>
      <c r="G67" s="22">
        <v>9</v>
      </c>
      <c r="H67" s="13" t="s">
        <v>56</v>
      </c>
      <c r="I67" s="21" t="str">
        <f>VLOOKUP($C67, Factor!$AM$4:$AY$30, 11, 0)</f>
        <v>A</v>
      </c>
      <c r="J67" s="21" t="str">
        <f>VLOOKUP($C67, Factor!$AM$4:$AY$30, 12, 0)</f>
        <v>ml</v>
      </c>
      <c r="K67" s="21" t="str">
        <f>VLOOKUP($C67, Factor!$AM$4:$AY$30, 13, 0)</f>
        <v>L</v>
      </c>
      <c r="L67" s="13">
        <v>1</v>
      </c>
      <c r="M67" s="13">
        <v>1</v>
      </c>
      <c r="N67" s="13">
        <v>1</v>
      </c>
      <c r="O67" s="13">
        <v>1</v>
      </c>
      <c r="P67" s="13">
        <v>1</v>
      </c>
      <c r="Q67" s="13">
        <v>1</v>
      </c>
      <c r="R67" s="21" t="str">
        <f>VLOOKUP($C67, Factor!$AM$4:$AY$30, 9, 0)</f>
        <v>Small</v>
      </c>
      <c r="S67" s="13" t="s">
        <v>405</v>
      </c>
      <c r="T67" s="21" t="str">
        <f>VLOOKUP($C67, Factor!$AM$4:$AY$30, 10, 0)</f>
        <v>enpc</v>
      </c>
      <c r="U67" s="21" cm="1">
        <f t="array" ref="U67">L67*VLOOKUP($I67, Factor!$B$4:$G$8, 2, 0)*VLOOKUP($J67, Factor!$B$12:$G$13, 2, 0)*VLOOKUP($K67, Factor!$B$17:$G$18, 2, 0)*VLOOKUP($H67, Factor!$J$4:$O$7, 2, 0)*VLOOKUP($F67, Factor!$Q$4:$V$15, 2, 0)*IF(MOD($G67,10)=0, 10, MOD($G67, 10))*((INDEX(Factor!$X$4:$AC$13, _xlfn.XMATCH($G67, Factor!$X$4:$X$13, 1),2)*IF(MOD(G67, 10) = 0, 10, MOD(G67, 10)))+INDEX(Factor!$AE$4:$AJ$13, _xlfn.XMATCH(MonsterData!$G67, Factor!$AE$4:$AE$13, 1),2))</f>
        <v>1215</v>
      </c>
      <c r="V67" s="21" cm="1">
        <f t="array" ref="V67">M67*VLOOKUP($I67, Factor!$B$4:$G$8, 3, 0)*VLOOKUP($J67, Factor!$B$12:$G$13, 3, 0)*VLOOKUP($K67, Factor!$B$17:$G$18, 3, 0)*VLOOKUP($H67, Factor!$J$4:$O$7, 3, 0)*VLOOKUP($F67, Factor!$Q$4:$V$15, 3, 0)*IF(MOD($G67,10)=0, 10, MOD($G67, 10))*((INDEX(Factor!$X$4:$AC$13, _xlfn.XMATCH($G67, Factor!$X$4:$X$13, 1),3)*IF(MOD(G67, 10) = 0, 10, MOD(G67, 10)))+INDEX(Factor!$AE$4:$AJ$13, _xlfn.XMATCH(MonsterData!$G67, Factor!$AE$4:$AE$13, 1),3))</f>
        <v>60.75</v>
      </c>
      <c r="W67" s="21" cm="1">
        <f t="array" ref="W67">N67*VLOOKUP($I67, Factor!$B$4:$G$8, 4, 0)*VLOOKUP($J67, Factor!$B$12:$G$13, 4, 0)*VLOOKUP($K67, Factor!$B$17:$G$18, 4, 0)*VLOOKUP($H67, Factor!$J$4:$O$7, 4, 0)*VLOOKUP($F67, Factor!$Q$4:$V$15, 4, 0)*IF(MOD($G67,10)=0, 10, MOD($G67, 10))*((INDEX(Factor!$X$4:$AC$13, _xlfn.XMATCH($G67, Factor!$X$4:$X$13, 1),4)*IF(MOD(G67, 10) = 0, 10, MOD(G67, 10)))+INDEX(Factor!$AE$4:$AJ$13, _xlfn.XMATCH(MonsterData!$G67, Factor!$AE$4:$AE$13, 1),4))</f>
        <v>72.900000000000006</v>
      </c>
      <c r="X67" s="21" cm="1">
        <f t="array" ref="X67">O67*VLOOKUP($I67, Factor!$B$4:$G$8, 5, 0)*VLOOKUP($J67, Factor!$B$12:$G$13, 5, 0)*VLOOKUP($K67, Factor!$B$17:$G$18, 5, 0)*VLOOKUP($H67, Factor!$J$4:$O$7, 5, 0)*VLOOKUP($F67, Factor!$Q$4:$V$15, 5, 0)*IF(MOD($G67,10)=0, 10, MOD($G67, 10))*((INDEX(Factor!$X$4:$AC$13, _xlfn.XMATCH($G67, Factor!$X$4:$X$13, 1),5)*IF(MOD(G67, 10) = 0, 10, MOD(G67, 10)))+INDEX(Factor!$AE$4:$AJ$13, _xlfn.XMATCH(MonsterData!$G67, Factor!$AE$4:$AE$13, 1),5))</f>
        <v>7.29</v>
      </c>
      <c r="Y67" s="21" cm="1">
        <f t="array" ref="Y67">P67*VLOOKUP($I67, Factor!$B$4:$G$8, 6, 0)*VLOOKUP($J67, Factor!$B$12:$G$13, 6, 0)*VLOOKUP($K67, Factor!$B$17:$G$18, 6, 0)*VLOOKUP($H67, Factor!$J$4:$O$7, 2, 0)*VLOOKUP($F67, Factor!$Q$4:$V$15, 6, 0)*IF(MOD($G67,10)=0, 10, MOD($G67, 10))*((INDEX(Factor!$X$4:$AC$13, _xlfn.XMATCH($G67, Factor!$X$4:$X$13, 1),6)*IF(MOD(G67, 10) = 0, 10, MOD(G67, 10)))+INDEX(Factor!$AE$4:$AJ$13, _xlfn.XMATCH(MonsterData!$G67, Factor!$AE$4:$AE$13, 1),6))</f>
        <v>40.5</v>
      </c>
      <c r="Z67" s="21">
        <f>$Q67*VLOOKUP($J67, Factor!$B$12:$H$13, 7, 0)</f>
        <v>1</v>
      </c>
      <c r="AA67" s="13">
        <v>1</v>
      </c>
      <c r="AB67" s="21">
        <f t="shared" si="4"/>
        <v>0</v>
      </c>
      <c r="AC67" s="13" t="s">
        <v>139</v>
      </c>
      <c r="AD67" s="15" t="s">
        <v>387</v>
      </c>
    </row>
    <row r="68" spans="1:30" ht="15.75" customHeight="1">
      <c r="A68" s="16" t="str">
        <f>T68&amp;"_"&amp;F68&amp;VLOOKUP($C68, Factor!$AM$4:$AY$30, 7, 0)&amp;IF(COUNTIFS($C$4:C67, C68, $F$4:F67, F68)+1&gt;=100, COUNTIFS($C$4:C67, C68, $F$4:F67, F68)+1,IF(COUNTIFS($C$4:C67, C68, $F$4:F67, F68)+1&gt;=10, "0"&amp;COUNTIFS($C$4:C67, C68, $F$4:F67, F68)+1, "00"&amp;COUNTIFS($C$4:C67, C68, $F$4:F67, F68)+1))</f>
        <v>enpc_F01_A_Mantis_005</v>
      </c>
      <c r="B68" s="16"/>
      <c r="C68" s="16" t="s">
        <v>357</v>
      </c>
      <c r="D68" s="16" t="str">
        <f t="shared" si="7"/>
        <v>맨티스</v>
      </c>
      <c r="E68" s="17" t="str">
        <f>VLOOKUP($C68, Factor!$AM$4:$AY$30, 8, 0)</f>
        <v>S</v>
      </c>
      <c r="F68" s="17" t="s">
        <v>382</v>
      </c>
      <c r="G68" s="20">
        <v>9</v>
      </c>
      <c r="H68" s="16" t="s">
        <v>55</v>
      </c>
      <c r="I68" s="17" t="str">
        <f>VLOOKUP($C68, Factor!$AM$4:$AY$30, 11, 0)</f>
        <v>A</v>
      </c>
      <c r="J68" s="17" t="str">
        <f>VLOOKUP($C68, Factor!$AM$4:$AY$30, 12, 0)</f>
        <v>ml</v>
      </c>
      <c r="K68" s="17" t="str">
        <f>VLOOKUP($C68, Factor!$AM$4:$AY$30, 13, 0)</f>
        <v>L</v>
      </c>
      <c r="L68" s="17">
        <v>1</v>
      </c>
      <c r="M68" s="17">
        <v>1</v>
      </c>
      <c r="N68" s="17">
        <v>1</v>
      </c>
      <c r="O68" s="17">
        <v>1</v>
      </c>
      <c r="P68" s="17">
        <v>1</v>
      </c>
      <c r="Q68" s="17">
        <v>1</v>
      </c>
      <c r="R68" s="17" t="str">
        <f>VLOOKUP($C68, Factor!$AM$4:$AY$30, 9, 0)</f>
        <v>Small</v>
      </c>
      <c r="S68" s="17" t="s">
        <v>400</v>
      </c>
      <c r="T68" s="17" t="str">
        <f>VLOOKUP($C68, Factor!$AM$4:$AY$30, 10, 0)</f>
        <v>enpc</v>
      </c>
      <c r="U68" s="17" cm="1">
        <f t="array" ref="U68">L68*VLOOKUP($I68, Factor!$B$4:$G$8, 2, 0)*VLOOKUP($J68, Factor!$B$12:$G$13, 2, 0)*VLOOKUP($K68, Factor!$B$17:$G$18, 2, 0)*VLOOKUP($H68, Factor!$J$4:$O$7, 2, 0)*VLOOKUP($F68, Factor!$Q$4:$V$15, 2, 0)*IF(MOD($G68,10)=0, 10, MOD($G68, 10))*((INDEX(Factor!$X$4:$AC$13, _xlfn.XMATCH($G68, Factor!$X$4:$X$13, 1),2)*IF(MOD(G68, 10) = 0, 10, MOD(G68, 10)))+INDEX(Factor!$AE$4:$AJ$13, _xlfn.XMATCH(MonsterData!$G68, Factor!$AE$4:$AE$13, 1),2))</f>
        <v>1215</v>
      </c>
      <c r="V68" s="17" cm="1">
        <f t="array" ref="V68">M68*VLOOKUP($I68, Factor!$B$4:$G$8, 3, 0)*VLOOKUP($J68, Factor!$B$12:$G$13, 3, 0)*VLOOKUP($K68, Factor!$B$17:$G$18, 3, 0)*VLOOKUP($H68, Factor!$J$4:$O$7, 3, 0)*VLOOKUP($F68, Factor!$Q$4:$V$15, 3, 0)*IF(MOD($G68,10)=0, 10, MOD($G68, 10))*((INDEX(Factor!$X$4:$AC$13, _xlfn.XMATCH($G68, Factor!$X$4:$X$13, 1),3)*IF(MOD(G68, 10) = 0, 10, MOD(G68, 10)))+INDEX(Factor!$AE$4:$AJ$13, _xlfn.XMATCH(MonsterData!$G68, Factor!$AE$4:$AE$13, 1),3))</f>
        <v>60.75</v>
      </c>
      <c r="W68" s="17" cm="1">
        <f t="array" ref="W68">N68*VLOOKUP($I68, Factor!$B$4:$G$8, 4, 0)*VLOOKUP($J68, Factor!$B$12:$G$13, 4, 0)*VLOOKUP($K68, Factor!$B$17:$G$18, 4, 0)*VLOOKUP($H68, Factor!$J$4:$O$7, 4, 0)*VLOOKUP($F68, Factor!$Q$4:$V$15, 4, 0)*IF(MOD($G68,10)=0, 10, MOD($G68, 10))*((INDEX(Factor!$X$4:$AC$13, _xlfn.XMATCH($G68, Factor!$X$4:$X$13, 1),4)*IF(MOD(G68, 10) = 0, 10, MOD(G68, 10)))+INDEX(Factor!$AE$4:$AJ$13, _xlfn.XMATCH(MonsterData!$G68, Factor!$AE$4:$AE$13, 1),4))</f>
        <v>36.450000000000003</v>
      </c>
      <c r="X68" s="17" cm="1">
        <f t="array" ref="X68">O68*VLOOKUP($I68, Factor!$B$4:$G$8, 5, 0)*VLOOKUP($J68, Factor!$B$12:$G$13, 5, 0)*VLOOKUP($K68, Factor!$B$17:$G$18, 5, 0)*VLOOKUP($H68, Factor!$J$4:$O$7, 5, 0)*VLOOKUP($F68, Factor!$Q$4:$V$15, 5, 0)*IF(MOD($G68,10)=0, 10, MOD($G68, 10))*((INDEX(Factor!$X$4:$AC$13, _xlfn.XMATCH($G68, Factor!$X$4:$X$13, 1),5)*IF(MOD(G68, 10) = 0, 10, MOD(G68, 10)))+INDEX(Factor!$AE$4:$AJ$13, _xlfn.XMATCH(MonsterData!$G68, Factor!$AE$4:$AE$13, 1),5))</f>
        <v>8.1</v>
      </c>
      <c r="Y68" s="17" cm="1">
        <f t="array" ref="Y68">P68*VLOOKUP($I68, Factor!$B$4:$G$8, 6, 0)*VLOOKUP($J68, Factor!$B$12:$G$13, 6, 0)*VLOOKUP($K68, Factor!$B$17:$G$18, 6, 0)*VLOOKUP($H68, Factor!$J$4:$O$7, 2, 0)*VLOOKUP($F68, Factor!$Q$4:$V$15, 6, 0)*IF(MOD($G68,10)=0, 10, MOD($G68, 10))*((INDEX(Factor!$X$4:$AC$13, _xlfn.XMATCH($G68, Factor!$X$4:$X$13, 1),6)*IF(MOD(G68, 10) = 0, 10, MOD(G68, 10)))+INDEX(Factor!$AE$4:$AJ$13, _xlfn.XMATCH(MonsterData!$G68, Factor!$AE$4:$AE$13, 1),6))</f>
        <v>40.5</v>
      </c>
      <c r="Z68" s="17">
        <f>$Q68*VLOOKUP($J68, Factor!$B$12:$H$13, 7, 0)</f>
        <v>1</v>
      </c>
      <c r="AA68" s="17">
        <v>1</v>
      </c>
      <c r="AB68" s="17">
        <f t="shared" si="4"/>
        <v>0</v>
      </c>
      <c r="AC68" s="17" t="s">
        <v>139</v>
      </c>
      <c r="AD68" s="19" t="s">
        <v>387</v>
      </c>
    </row>
    <row r="69" spans="1:30" ht="15.75" customHeight="1">
      <c r="A69" s="13" t="str">
        <f>T69&amp;"_"&amp;F69&amp;VLOOKUP($C69, Factor!$AM$4:$AY$30, 7, 0)&amp;IF(COUNTIFS($C$4:C68, C69, $F$4:F68, F69)+1&gt;=100, COUNTIFS($C$4:C68, C69, $F$4:F68, F69)+1,IF(COUNTIFS($C$4:C68, C69, $F$4:F68, F69)+1&gt;=10, "0"&amp;COUNTIFS($C$4:C68, C69, $F$4:F68, F69)+1, "00"&amp;COUNTIFS($C$4:C68, C69, $F$4:F68, F69)+1))</f>
        <v>enpc_F01_B_Kobold_005</v>
      </c>
      <c r="B69" s="13"/>
      <c r="C69" s="13" t="s">
        <v>359</v>
      </c>
      <c r="D69" s="13" t="str">
        <f t="shared" si="7"/>
        <v>코볼트</v>
      </c>
      <c r="E69" s="21" t="str">
        <f>VLOOKUP($C69, Factor!$AM$4:$AY$30, 8, 0)</f>
        <v>M</v>
      </c>
      <c r="F69" s="13" t="s">
        <v>382</v>
      </c>
      <c r="G69" s="22">
        <v>17</v>
      </c>
      <c r="H69" s="13" t="s">
        <v>56</v>
      </c>
      <c r="I69" s="21" t="str">
        <f>VLOOKUP($C69, Factor!$AM$4:$AY$30, 11, 0)</f>
        <v>B</v>
      </c>
      <c r="J69" s="21" t="str">
        <f>VLOOKUP($C69, Factor!$AM$4:$AY$30, 12, 0)</f>
        <v>ml</v>
      </c>
      <c r="K69" s="21" t="str">
        <f>VLOOKUP($C69, Factor!$AM$4:$AY$30, 13, 0)</f>
        <v>L</v>
      </c>
      <c r="L69" s="13">
        <v>1</v>
      </c>
      <c r="M69" s="13">
        <v>1</v>
      </c>
      <c r="N69" s="13">
        <v>1</v>
      </c>
      <c r="O69" s="13">
        <v>1</v>
      </c>
      <c r="P69" s="13">
        <v>1</v>
      </c>
      <c r="Q69" s="13">
        <v>1</v>
      </c>
      <c r="R69" s="21" t="str">
        <f>VLOOKUP($C69, Factor!$AM$4:$AY$30, 9, 0)</f>
        <v>Small</v>
      </c>
      <c r="S69" s="13" t="s">
        <v>406</v>
      </c>
      <c r="T69" s="21" t="str">
        <f>VLOOKUP($C69, Factor!$AM$4:$AY$30, 10, 0)</f>
        <v>enpc</v>
      </c>
      <c r="U69" s="21" cm="1">
        <f t="array" ref="U69">L69*VLOOKUP($I69, Factor!$B$4:$G$8, 2, 0)*VLOOKUP($J69, Factor!$B$12:$G$13, 2, 0)*VLOOKUP($K69, Factor!$B$17:$G$18, 2, 0)*VLOOKUP($H69, Factor!$J$4:$O$7, 2, 0)*VLOOKUP($F69, Factor!$Q$4:$V$15, 2, 0)*IF(MOD($G69,10)=0, 10, MOD($G69, 10))*((INDEX(Factor!$X$4:$AC$13, _xlfn.XMATCH($G69, Factor!$X$4:$X$13, 1),2)*IF(MOD(G69, 10) = 0, 10, MOD(G69, 10)))+INDEX(Factor!$AE$4:$AJ$13, _xlfn.XMATCH(MonsterData!$G69, Factor!$AE$4:$AE$13, 1),2))</f>
        <v>12600.000000000002</v>
      </c>
      <c r="V69" s="21" cm="1">
        <f t="array" ref="V69">M69*VLOOKUP($I69, Factor!$B$4:$G$8, 3, 0)*VLOOKUP($J69, Factor!$B$12:$G$13, 3, 0)*VLOOKUP($K69, Factor!$B$17:$G$18, 3, 0)*VLOOKUP($H69, Factor!$J$4:$O$7, 3, 0)*VLOOKUP($F69, Factor!$Q$4:$V$15, 3, 0)*IF(MOD($G69,10)=0, 10, MOD($G69, 10))*((INDEX(Factor!$X$4:$AC$13, _xlfn.XMATCH($G69, Factor!$X$4:$X$13, 1),3)*IF(MOD(G69, 10) = 0, 10, MOD(G69, 10)))+INDEX(Factor!$AE$4:$AJ$13, _xlfn.XMATCH(MonsterData!$G69, Factor!$AE$4:$AE$13, 1),3))</f>
        <v>630.00000000000011</v>
      </c>
      <c r="W69" s="21" cm="1">
        <f t="array" ref="W69">N69*VLOOKUP($I69, Factor!$B$4:$G$8, 4, 0)*VLOOKUP($J69, Factor!$B$12:$G$13, 4, 0)*VLOOKUP($K69, Factor!$B$17:$G$18, 4, 0)*VLOOKUP($H69, Factor!$J$4:$O$7, 4, 0)*VLOOKUP($F69, Factor!$Q$4:$V$15, 4, 0)*IF(MOD($G69,10)=0, 10, MOD($G69, 10))*((INDEX(Factor!$X$4:$AC$13, _xlfn.XMATCH($G69, Factor!$X$4:$X$13, 1),4)*IF(MOD(G69, 10) = 0, 10, MOD(G69, 10)))+INDEX(Factor!$AE$4:$AJ$13, _xlfn.XMATCH(MonsterData!$G69, Factor!$AE$4:$AE$13, 1),4))</f>
        <v>1260.0000000000002</v>
      </c>
      <c r="X69" s="21" cm="1">
        <f t="array" ref="X69">O69*VLOOKUP($I69, Factor!$B$4:$G$8, 5, 0)*VLOOKUP($J69, Factor!$B$12:$G$13, 5, 0)*VLOOKUP($K69, Factor!$B$17:$G$18, 5, 0)*VLOOKUP($H69, Factor!$J$4:$O$7, 5, 0)*VLOOKUP($F69, Factor!$Q$4:$V$15, 5, 0)*IF(MOD($G69,10)=0, 10, MOD($G69, 10))*((INDEX(Factor!$X$4:$AC$13, _xlfn.XMATCH($G69, Factor!$X$4:$X$13, 1),5)*IF(MOD(G69, 10) = 0, 10, MOD(G69, 10)))+INDEX(Factor!$AE$4:$AJ$13, _xlfn.XMATCH(MonsterData!$G69, Factor!$AE$4:$AE$13, 1),5))</f>
        <v>30.240000000000002</v>
      </c>
      <c r="Y69" s="21" cm="1">
        <f t="array" ref="Y69">P69*VLOOKUP($I69, Factor!$B$4:$G$8, 6, 0)*VLOOKUP($J69, Factor!$B$12:$G$13, 6, 0)*VLOOKUP($K69, Factor!$B$17:$G$18, 6, 0)*VLOOKUP($H69, Factor!$J$4:$O$7, 2, 0)*VLOOKUP($F69, Factor!$Q$4:$V$15, 6, 0)*IF(MOD($G69,10)=0, 10, MOD($G69, 10))*((INDEX(Factor!$X$4:$AC$13, _xlfn.XMATCH($G69, Factor!$X$4:$X$13, 1),6)*IF(MOD(G69, 10) = 0, 10, MOD(G69, 10)))+INDEX(Factor!$AE$4:$AJ$13, _xlfn.XMATCH(MonsterData!$G69, Factor!$AE$4:$AE$13, 1),6))</f>
        <v>67.200000000000017</v>
      </c>
      <c r="Z69" s="21">
        <f>$Q69*VLOOKUP($J69, Factor!$B$12:$H$13, 7, 0)</f>
        <v>1</v>
      </c>
      <c r="AA69" s="13">
        <v>1</v>
      </c>
      <c r="AB69" s="21">
        <f t="shared" si="4"/>
        <v>0</v>
      </c>
      <c r="AC69" s="13" t="s">
        <v>393</v>
      </c>
      <c r="AD69" s="15" t="s">
        <v>388</v>
      </c>
    </row>
    <row r="70" spans="1:30" ht="15.75" customHeight="1">
      <c r="A70" s="16" t="str">
        <f>T70&amp;"_"&amp;F70&amp;VLOOKUP($C70, Factor!$AM$4:$AY$30, 7, 0)&amp;IF(COUNTIFS($C$4:C69, C70, $F$4:F69, F70)+1&gt;=100, COUNTIFS($C$4:C69, C70, $F$4:F69, F70)+1,IF(COUNTIFS($C$4:C69, C70, $F$4:F69, F70)+1&gt;=10, "0"&amp;COUNTIFS($C$4:C69, C70, $F$4:F69, F70)+1, "00"&amp;COUNTIFS($C$4:C69, C70, $F$4:F69, F70)+1))</f>
        <v>enpc_F01_B_Ghoul_005</v>
      </c>
      <c r="B70" s="16"/>
      <c r="C70" s="16" t="s">
        <v>361</v>
      </c>
      <c r="D70" s="16" t="str">
        <f t="shared" si="7"/>
        <v>구울</v>
      </c>
      <c r="E70" s="17" t="str">
        <f>VLOOKUP($C70, Factor!$AM$4:$AY$30, 8, 0)</f>
        <v>M</v>
      </c>
      <c r="F70" s="17" t="s">
        <v>382</v>
      </c>
      <c r="G70" s="20">
        <v>17</v>
      </c>
      <c r="H70" s="16" t="s">
        <v>55</v>
      </c>
      <c r="I70" s="17" t="str">
        <f>VLOOKUP($C70, Factor!$AM$4:$AY$30, 11, 0)</f>
        <v>B</v>
      </c>
      <c r="J70" s="17" t="str">
        <f>VLOOKUP($C70, Factor!$AM$4:$AY$30, 12, 0)</f>
        <v>ml</v>
      </c>
      <c r="K70" s="17" t="str">
        <f>VLOOKUP($C70, Factor!$AM$4:$AY$30, 13, 0)</f>
        <v>L</v>
      </c>
      <c r="L70" s="17">
        <v>1</v>
      </c>
      <c r="M70" s="17">
        <v>1</v>
      </c>
      <c r="N70" s="17">
        <v>1</v>
      </c>
      <c r="O70" s="17">
        <v>1</v>
      </c>
      <c r="P70" s="17">
        <v>1</v>
      </c>
      <c r="Q70" s="17">
        <v>1</v>
      </c>
      <c r="R70" s="17" t="str">
        <f>VLOOKUP($C70, Factor!$AM$4:$AY$30, 9, 0)</f>
        <v>Midium</v>
      </c>
      <c r="S70" s="17" t="s">
        <v>401</v>
      </c>
      <c r="T70" s="17" t="str">
        <f>VLOOKUP($C70, Factor!$AM$4:$AY$30, 10, 0)</f>
        <v>enpc</v>
      </c>
      <c r="U70" s="17" cm="1">
        <f t="array" ref="U70">L70*VLOOKUP($I70, Factor!$B$4:$G$8, 2, 0)*VLOOKUP($J70, Factor!$B$12:$G$13, 2, 0)*VLOOKUP($K70, Factor!$B$17:$G$18, 2, 0)*VLOOKUP($H70, Factor!$J$4:$O$7, 2, 0)*VLOOKUP($F70, Factor!$Q$4:$V$15, 2, 0)*IF(MOD($G70,10)=0, 10, MOD($G70, 10))*((INDEX(Factor!$X$4:$AC$13, _xlfn.XMATCH($G70, Factor!$X$4:$X$13, 1),2)*IF(MOD(G70, 10) = 0, 10, MOD(G70, 10)))+INDEX(Factor!$AE$4:$AJ$13, _xlfn.XMATCH(MonsterData!$G70, Factor!$AE$4:$AE$13, 1),2))</f>
        <v>12600.000000000002</v>
      </c>
      <c r="V70" s="17" cm="1">
        <f t="array" ref="V70">M70*VLOOKUP($I70, Factor!$B$4:$G$8, 3, 0)*VLOOKUP($J70, Factor!$B$12:$G$13, 3, 0)*VLOOKUP($K70, Factor!$B$17:$G$18, 3, 0)*VLOOKUP($H70, Factor!$J$4:$O$7, 3, 0)*VLOOKUP($F70, Factor!$Q$4:$V$15, 3, 0)*IF(MOD($G70,10)=0, 10, MOD($G70, 10))*((INDEX(Factor!$X$4:$AC$13, _xlfn.XMATCH($G70, Factor!$X$4:$X$13, 1),3)*IF(MOD(G70, 10) = 0, 10, MOD(G70, 10)))+INDEX(Factor!$AE$4:$AJ$13, _xlfn.XMATCH(MonsterData!$G70, Factor!$AE$4:$AE$13, 1),3))</f>
        <v>630.00000000000011</v>
      </c>
      <c r="W70" s="17" cm="1">
        <f t="array" ref="W70">N70*VLOOKUP($I70, Factor!$B$4:$G$8, 4, 0)*VLOOKUP($J70, Factor!$B$12:$G$13, 4, 0)*VLOOKUP($K70, Factor!$B$17:$G$18, 4, 0)*VLOOKUP($H70, Factor!$J$4:$O$7, 4, 0)*VLOOKUP($F70, Factor!$Q$4:$V$15, 4, 0)*IF(MOD($G70,10)=0, 10, MOD($G70, 10))*((INDEX(Factor!$X$4:$AC$13, _xlfn.XMATCH($G70, Factor!$X$4:$X$13, 1),4)*IF(MOD(G70, 10) = 0, 10, MOD(G70, 10)))+INDEX(Factor!$AE$4:$AJ$13, _xlfn.XMATCH(MonsterData!$G70, Factor!$AE$4:$AE$13, 1),4))</f>
        <v>630.00000000000011</v>
      </c>
      <c r="X70" s="17" cm="1">
        <f t="array" ref="X70">O70*VLOOKUP($I70, Factor!$B$4:$G$8, 5, 0)*VLOOKUP($J70, Factor!$B$12:$G$13, 5, 0)*VLOOKUP($K70, Factor!$B$17:$G$18, 5, 0)*VLOOKUP($H70, Factor!$J$4:$O$7, 5, 0)*VLOOKUP($F70, Factor!$Q$4:$V$15, 5, 0)*IF(MOD($G70,10)=0, 10, MOD($G70, 10))*((INDEX(Factor!$X$4:$AC$13, _xlfn.XMATCH($G70, Factor!$X$4:$X$13, 1),5)*IF(MOD(G70, 10) = 0, 10, MOD(G70, 10)))+INDEX(Factor!$AE$4:$AJ$13, _xlfn.XMATCH(MonsterData!$G70, Factor!$AE$4:$AE$13, 1),5))</f>
        <v>33.600000000000009</v>
      </c>
      <c r="Y70" s="17" cm="1">
        <f t="array" ref="Y70">P70*VLOOKUP($I70, Factor!$B$4:$G$8, 6, 0)*VLOOKUP($J70, Factor!$B$12:$G$13, 6, 0)*VLOOKUP($K70, Factor!$B$17:$G$18, 6, 0)*VLOOKUP($H70, Factor!$J$4:$O$7, 2, 0)*VLOOKUP($F70, Factor!$Q$4:$V$15, 6, 0)*IF(MOD($G70,10)=0, 10, MOD($G70, 10))*((INDEX(Factor!$X$4:$AC$13, _xlfn.XMATCH($G70, Factor!$X$4:$X$13, 1),6)*IF(MOD(G70, 10) = 0, 10, MOD(G70, 10)))+INDEX(Factor!$AE$4:$AJ$13, _xlfn.XMATCH(MonsterData!$G70, Factor!$AE$4:$AE$13, 1),6))</f>
        <v>67.200000000000017</v>
      </c>
      <c r="Z70" s="17">
        <f>$Q70*VLOOKUP($J70, Factor!$B$12:$H$13, 7, 0)</f>
        <v>1</v>
      </c>
      <c r="AA70" s="17">
        <v>1</v>
      </c>
      <c r="AB70" s="17">
        <f t="shared" si="4"/>
        <v>0</v>
      </c>
      <c r="AC70" s="17" t="s">
        <v>394</v>
      </c>
      <c r="AD70" s="19" t="s">
        <v>389</v>
      </c>
    </row>
    <row r="71" spans="1:30" ht="15.75" customHeight="1">
      <c r="A71" s="13" t="str">
        <f>T71&amp;"_"&amp;F71&amp;VLOOKUP($C71, Factor!$AM$4:$AY$30, 7, 0)&amp;IF(COUNTIFS($C$4:C70, C71, $F$4:F70, F71)+1&gt;=100, COUNTIFS($C$4:C70, C71, $F$4:F70, F71)+1,IF(COUNTIFS($C$4:C70, C71, $F$4:F70, F71)+1&gt;=10, "0"&amp;COUNTIFS($C$4:C70, C71, $F$4:F70, F71)+1, "00"&amp;COUNTIFS($C$4:C70, C71, $F$4:F70, F71)+1))</f>
        <v>enpc_F01_B_Gorgon_005</v>
      </c>
      <c r="B71" s="13"/>
      <c r="C71" s="13" t="s">
        <v>363</v>
      </c>
      <c r="D71" s="13" t="str">
        <f t="shared" si="7"/>
        <v>고르곤</v>
      </c>
      <c r="E71" s="21" t="str">
        <f>VLOOKUP($C71, Factor!$AM$4:$AY$30, 8, 0)</f>
        <v>B</v>
      </c>
      <c r="F71" s="13" t="s">
        <v>382</v>
      </c>
      <c r="G71" s="22">
        <v>17</v>
      </c>
      <c r="H71" s="13" t="s">
        <v>56</v>
      </c>
      <c r="I71" s="21" t="str">
        <f>VLOOKUP($C71, Factor!$AM$4:$AY$30, 11, 0)</f>
        <v>B</v>
      </c>
      <c r="J71" s="21" t="str">
        <f>VLOOKUP($C71, Factor!$AM$4:$AY$30, 12, 0)</f>
        <v>ml</v>
      </c>
      <c r="K71" s="21" t="str">
        <f>VLOOKUP($C71, Factor!$AM$4:$AY$30, 13, 0)</f>
        <v>L</v>
      </c>
      <c r="L71" s="13">
        <v>1</v>
      </c>
      <c r="M71" s="13">
        <v>1</v>
      </c>
      <c r="N71" s="13">
        <v>1</v>
      </c>
      <c r="O71" s="13">
        <v>1</v>
      </c>
      <c r="P71" s="13">
        <v>1</v>
      </c>
      <c r="Q71" s="13">
        <v>1</v>
      </c>
      <c r="R71" s="21" t="str">
        <f>VLOOKUP($C71, Factor!$AM$4:$AY$30, 9, 0)</f>
        <v>Midium</v>
      </c>
      <c r="S71" s="13" t="s">
        <v>407</v>
      </c>
      <c r="T71" s="21" t="str">
        <f>VLOOKUP($C71, Factor!$AM$4:$AY$30, 10, 0)</f>
        <v>enpc</v>
      </c>
      <c r="U71" s="21" cm="1">
        <f t="array" ref="U71">L71*VLOOKUP($I71, Factor!$B$4:$G$8, 2, 0)*VLOOKUP($J71, Factor!$B$12:$G$13, 2, 0)*VLOOKUP($K71, Factor!$B$17:$G$18, 2, 0)*VLOOKUP($H71, Factor!$J$4:$O$7, 2, 0)*VLOOKUP($F71, Factor!$Q$4:$V$15, 2, 0)*IF(MOD($G71,10)=0, 10, MOD($G71, 10))*((INDEX(Factor!$X$4:$AC$13, _xlfn.XMATCH($G71, Factor!$X$4:$X$13, 1),2)*IF(MOD(G71, 10) = 0, 10, MOD(G71, 10)))+INDEX(Factor!$AE$4:$AJ$13, _xlfn.XMATCH(MonsterData!$G71, Factor!$AE$4:$AE$13, 1),2))</f>
        <v>12600.000000000002</v>
      </c>
      <c r="V71" s="21" cm="1">
        <f t="array" ref="V71">M71*VLOOKUP($I71, Factor!$B$4:$G$8, 3, 0)*VLOOKUP($J71, Factor!$B$12:$G$13, 3, 0)*VLOOKUP($K71, Factor!$B$17:$G$18, 3, 0)*VLOOKUP($H71, Factor!$J$4:$O$7, 3, 0)*VLOOKUP($F71, Factor!$Q$4:$V$15, 3, 0)*IF(MOD($G71,10)=0, 10, MOD($G71, 10))*((INDEX(Factor!$X$4:$AC$13, _xlfn.XMATCH($G71, Factor!$X$4:$X$13, 1),3)*IF(MOD(G71, 10) = 0, 10, MOD(G71, 10)))+INDEX(Factor!$AE$4:$AJ$13, _xlfn.XMATCH(MonsterData!$G71, Factor!$AE$4:$AE$13, 1),3))</f>
        <v>630.00000000000011</v>
      </c>
      <c r="W71" s="21" cm="1">
        <f t="array" ref="W71">N71*VLOOKUP($I71, Factor!$B$4:$G$8, 4, 0)*VLOOKUP($J71, Factor!$B$12:$G$13, 4, 0)*VLOOKUP($K71, Factor!$B$17:$G$18, 4, 0)*VLOOKUP($H71, Factor!$J$4:$O$7, 4, 0)*VLOOKUP($F71, Factor!$Q$4:$V$15, 4, 0)*IF(MOD($G71,10)=0, 10, MOD($G71, 10))*((INDEX(Factor!$X$4:$AC$13, _xlfn.XMATCH($G71, Factor!$X$4:$X$13, 1),4)*IF(MOD(G71, 10) = 0, 10, MOD(G71, 10)))+INDEX(Factor!$AE$4:$AJ$13, _xlfn.XMATCH(MonsterData!$G71, Factor!$AE$4:$AE$13, 1),4))</f>
        <v>1260.0000000000002</v>
      </c>
      <c r="X71" s="21" cm="1">
        <f t="array" ref="X71">O71*VLOOKUP($I71, Factor!$B$4:$G$8, 5, 0)*VLOOKUP($J71, Factor!$B$12:$G$13, 5, 0)*VLOOKUP($K71, Factor!$B$17:$G$18, 5, 0)*VLOOKUP($H71, Factor!$J$4:$O$7, 5, 0)*VLOOKUP($F71, Factor!$Q$4:$V$15, 5, 0)*IF(MOD($G71,10)=0, 10, MOD($G71, 10))*((INDEX(Factor!$X$4:$AC$13, _xlfn.XMATCH($G71, Factor!$X$4:$X$13, 1),5)*IF(MOD(G71, 10) = 0, 10, MOD(G71, 10)))+INDEX(Factor!$AE$4:$AJ$13, _xlfn.XMATCH(MonsterData!$G71, Factor!$AE$4:$AE$13, 1),5))</f>
        <v>30.240000000000002</v>
      </c>
      <c r="Y71" s="21" cm="1">
        <f t="array" ref="Y71">P71*VLOOKUP($I71, Factor!$B$4:$G$8, 6, 0)*VLOOKUP($J71, Factor!$B$12:$G$13, 6, 0)*VLOOKUP($K71, Factor!$B$17:$G$18, 6, 0)*VLOOKUP($H71, Factor!$J$4:$O$7, 2, 0)*VLOOKUP($F71, Factor!$Q$4:$V$15, 6, 0)*IF(MOD($G71,10)=0, 10, MOD($G71, 10))*((INDEX(Factor!$X$4:$AC$13, _xlfn.XMATCH($G71, Factor!$X$4:$X$13, 1),6)*IF(MOD(G71, 10) = 0, 10, MOD(G71, 10)))+INDEX(Factor!$AE$4:$AJ$13, _xlfn.XMATCH(MonsterData!$G71, Factor!$AE$4:$AE$13, 1),6))</f>
        <v>67.200000000000017</v>
      </c>
      <c r="Z71" s="21">
        <f>$Q71*VLOOKUP($J71, Factor!$B$12:$H$13, 7, 0)</f>
        <v>1</v>
      </c>
      <c r="AA71" s="13">
        <v>1</v>
      </c>
      <c r="AB71" s="21">
        <f t="shared" si="4"/>
        <v>0</v>
      </c>
      <c r="AC71" s="13" t="s">
        <v>395</v>
      </c>
      <c r="AD71" s="15" t="s">
        <v>390</v>
      </c>
    </row>
    <row r="72" spans="1:30" ht="15.75" customHeight="1">
      <c r="A72" s="16" t="str">
        <f>T72&amp;"_"&amp;F72&amp;VLOOKUP($C72, Factor!$AM$4:$AY$30, 7, 0)&amp;IF(COUNTIFS($C$4:C71, C72, $F$4:F71, F72)+1&gt;=100, COUNTIFS($C$4:C71, C72, $F$4:F71, F72)+1,IF(COUNTIFS($C$4:C71, C72, $F$4:F71, F72)+1&gt;=10, "0"&amp;COUNTIFS($C$4:C71, C72, $F$4:F71, F72)+1, "00"&amp;COUNTIFS($C$4:C71, C72, $F$4:F71, F72)+1))</f>
        <v>enpc_F01_B_Gargoyle_005</v>
      </c>
      <c r="B72" s="16"/>
      <c r="C72" s="16" t="s">
        <v>365</v>
      </c>
      <c r="D72" s="16" t="str">
        <f t="shared" si="7"/>
        <v>가고일</v>
      </c>
      <c r="E72" s="17" t="str">
        <f>VLOOKUP($C72, Factor!$AM$4:$AY$30, 8, 0)</f>
        <v>B</v>
      </c>
      <c r="F72" s="17" t="s">
        <v>382</v>
      </c>
      <c r="G72" s="20">
        <v>17</v>
      </c>
      <c r="H72" s="16" t="s">
        <v>55</v>
      </c>
      <c r="I72" s="17" t="str">
        <f>VLOOKUP($C72, Factor!$AM$4:$AY$30, 11, 0)</f>
        <v>B</v>
      </c>
      <c r="J72" s="17" t="str">
        <f>VLOOKUP($C72, Factor!$AM$4:$AY$30, 12, 0)</f>
        <v>ml</v>
      </c>
      <c r="K72" s="17" t="str">
        <f>VLOOKUP($C72, Factor!$AM$4:$AY$30, 13, 0)</f>
        <v>F</v>
      </c>
      <c r="L72" s="17">
        <v>1</v>
      </c>
      <c r="M72" s="17">
        <v>1</v>
      </c>
      <c r="N72" s="17">
        <v>1</v>
      </c>
      <c r="O72" s="17">
        <v>1</v>
      </c>
      <c r="P72" s="17">
        <v>1</v>
      </c>
      <c r="Q72" s="17">
        <v>1</v>
      </c>
      <c r="R72" s="17" t="str">
        <f>VLOOKUP($C72, Factor!$AM$4:$AY$30, 9, 0)</f>
        <v>Big</v>
      </c>
      <c r="S72" s="17" t="s">
        <v>402</v>
      </c>
      <c r="T72" s="17" t="str">
        <f>VLOOKUP($C72, Factor!$AM$4:$AY$30, 10, 0)</f>
        <v>enpc</v>
      </c>
      <c r="U72" s="17" cm="1">
        <f t="array" ref="U72">L72*VLOOKUP($I72, Factor!$B$4:$G$8, 2, 0)*VLOOKUP($J72, Factor!$B$12:$G$13, 2, 0)*VLOOKUP($K72, Factor!$B$17:$G$18, 2, 0)*VLOOKUP($H72, Factor!$J$4:$O$7, 2, 0)*VLOOKUP($F72, Factor!$Q$4:$V$15, 2, 0)*IF(MOD($G72,10)=0, 10, MOD($G72, 10))*((INDEX(Factor!$X$4:$AC$13, _xlfn.XMATCH($G72, Factor!$X$4:$X$13, 1),2)*IF(MOD(G72, 10) = 0, 10, MOD(G72, 10)))+INDEX(Factor!$AE$4:$AJ$13, _xlfn.XMATCH(MonsterData!$G72, Factor!$AE$4:$AE$13, 1),2))</f>
        <v>8400.0000000000018</v>
      </c>
      <c r="V72" s="17" cm="1">
        <f t="array" ref="V72">M72*VLOOKUP($I72, Factor!$B$4:$G$8, 3, 0)*VLOOKUP($J72, Factor!$B$12:$G$13, 3, 0)*VLOOKUP($K72, Factor!$B$17:$G$18, 3, 0)*VLOOKUP($H72, Factor!$J$4:$O$7, 3, 0)*VLOOKUP($F72, Factor!$Q$4:$V$15, 3, 0)*IF(MOD($G72,10)=0, 10, MOD($G72, 10))*((INDEX(Factor!$X$4:$AC$13, _xlfn.XMATCH($G72, Factor!$X$4:$X$13, 1),3)*IF(MOD(G72, 10) = 0, 10, MOD(G72, 10)))+INDEX(Factor!$AE$4:$AJ$13, _xlfn.XMATCH(MonsterData!$G72, Factor!$AE$4:$AE$13, 1),3))</f>
        <v>420.00000000000006</v>
      </c>
      <c r="W72" s="17" cm="1">
        <f t="array" ref="W72">N72*VLOOKUP($I72, Factor!$B$4:$G$8, 4, 0)*VLOOKUP($J72, Factor!$B$12:$G$13, 4, 0)*VLOOKUP($K72, Factor!$B$17:$G$18, 4, 0)*VLOOKUP($H72, Factor!$J$4:$O$7, 4, 0)*VLOOKUP($F72, Factor!$Q$4:$V$15, 4, 0)*IF(MOD($G72,10)=0, 10, MOD($G72, 10))*((INDEX(Factor!$X$4:$AC$13, _xlfn.XMATCH($G72, Factor!$X$4:$X$13, 1),4)*IF(MOD(G72, 10) = 0, 10, MOD(G72, 10)))+INDEX(Factor!$AE$4:$AJ$13, _xlfn.XMATCH(MonsterData!$G72, Factor!$AE$4:$AE$13, 1),4))</f>
        <v>420.00000000000006</v>
      </c>
      <c r="X72" s="17" cm="1">
        <f t="array" ref="X72">O72*VLOOKUP($I72, Factor!$B$4:$G$8, 5, 0)*VLOOKUP($J72, Factor!$B$12:$G$13, 5, 0)*VLOOKUP($K72, Factor!$B$17:$G$18, 5, 0)*VLOOKUP($H72, Factor!$J$4:$O$7, 5, 0)*VLOOKUP($F72, Factor!$Q$4:$V$15, 5, 0)*IF(MOD($G72,10)=0, 10, MOD($G72, 10))*((INDEX(Factor!$X$4:$AC$13, _xlfn.XMATCH($G72, Factor!$X$4:$X$13, 1),5)*IF(MOD(G72, 10) = 0, 10, MOD(G72, 10)))+INDEX(Factor!$AE$4:$AJ$13, _xlfn.XMATCH(MonsterData!$G72, Factor!$AE$4:$AE$13, 1),5))</f>
        <v>33.600000000000009</v>
      </c>
      <c r="Y72" s="17" cm="1">
        <f t="array" ref="Y72">P72*VLOOKUP($I72, Factor!$B$4:$G$8, 6, 0)*VLOOKUP($J72, Factor!$B$12:$G$13, 6, 0)*VLOOKUP($K72, Factor!$B$17:$G$18, 6, 0)*VLOOKUP($H72, Factor!$J$4:$O$7, 2, 0)*VLOOKUP($F72, Factor!$Q$4:$V$15, 6, 0)*IF(MOD($G72,10)=0, 10, MOD($G72, 10))*((INDEX(Factor!$X$4:$AC$13, _xlfn.XMATCH($G72, Factor!$X$4:$X$13, 1),6)*IF(MOD(G72, 10) = 0, 10, MOD(G72, 10)))+INDEX(Factor!$AE$4:$AJ$13, _xlfn.XMATCH(MonsterData!$G72, Factor!$AE$4:$AE$13, 1),6))</f>
        <v>201.60000000000002</v>
      </c>
      <c r="Z72" s="17">
        <f>$Q72*VLOOKUP($J72, Factor!$B$12:$H$13, 7, 0)</f>
        <v>1</v>
      </c>
      <c r="AA72" s="17">
        <v>1</v>
      </c>
      <c r="AB72" s="17">
        <f t="shared" si="4"/>
        <v>0</v>
      </c>
      <c r="AC72" s="17" t="s">
        <v>396</v>
      </c>
      <c r="AD72" s="19" t="s">
        <v>391</v>
      </c>
    </row>
    <row r="73" spans="1:30" ht="15.75" customHeight="1">
      <c r="A73" s="13" t="str">
        <f>T73&amp;"_"&amp;F73&amp;VLOOKUP($C73, Factor!$AM$4:$AY$30, 7, 0)&amp;IF(COUNTIFS($C$4:C72, C73, $F$4:F72, F73)+1&gt;=100, COUNTIFS($C$4:C72, C73, $F$4:F72, F73)+1,IF(COUNTIFS($C$4:C72, C73, $F$4:F72, F73)+1&gt;=10, "0"&amp;COUNTIFS($C$4:C72, C73, $F$4:F72, F73)+1, "00"&amp;COUNTIFS($C$4:C72, C73, $F$4:F72, F73)+1))</f>
        <v>enpc_F02_A_Lava_001</v>
      </c>
      <c r="B73" s="13"/>
      <c r="C73" s="13" t="s">
        <v>35</v>
      </c>
      <c r="D73" s="13" t="str">
        <f t="shared" ref="D73:D133" si="8">B73&amp;C73</f>
        <v>라바</v>
      </c>
      <c r="E73" s="21" t="str">
        <f>VLOOKUP($C73, Factor!$AM$4:$AY$30, 8, 0)</f>
        <v>S</v>
      </c>
      <c r="F73" s="21" t="s">
        <v>110</v>
      </c>
      <c r="G73" s="22">
        <v>11</v>
      </c>
      <c r="H73" s="13" t="s">
        <v>54</v>
      </c>
      <c r="I73" s="21" t="str">
        <f>VLOOKUP($C73, Factor!$AM$4:$AY$30, 11, 0)</f>
        <v>A</v>
      </c>
      <c r="J73" s="21" t="str">
        <f>VLOOKUP($C73, Factor!$AM$4:$AY$30, 12, 0)</f>
        <v>ml</v>
      </c>
      <c r="K73" s="21" t="str">
        <f>VLOOKUP($C73, Factor!$AM$4:$AY$30, 13, 0)</f>
        <v>L</v>
      </c>
      <c r="L73" s="13">
        <v>1</v>
      </c>
      <c r="M73" s="13">
        <v>1</v>
      </c>
      <c r="N73" s="13">
        <v>1</v>
      </c>
      <c r="O73" s="13">
        <v>1</v>
      </c>
      <c r="P73" s="13">
        <v>1</v>
      </c>
      <c r="Q73" s="13">
        <v>1</v>
      </c>
      <c r="R73" s="21" t="str">
        <f>VLOOKUP($C73, Factor!$AM$4:$AY$30, 9, 0)</f>
        <v>Small</v>
      </c>
      <c r="S73" s="13" t="s">
        <v>88</v>
      </c>
      <c r="T73" s="21" t="str">
        <f>VLOOKUP($C73, Factor!$AM$4:$AY$30, 10, 0)</f>
        <v>enpc</v>
      </c>
      <c r="U73" s="21" cm="1">
        <f t="array" ref="U73">L73*VLOOKUP($I73, Factor!$B$4:$G$8, 2, 0)*VLOOKUP($J73, Factor!$B$12:$G$13, 2, 0)*VLOOKUP($K73, Factor!$B$17:$G$18, 2, 0)*VLOOKUP($H73, Factor!$J$4:$O$7, 2, 0)*VLOOKUP($F73, Factor!$Q$4:$V$15, 2, 0)*IF(MOD($G73,10)=0, 10, MOD($G73, 10))*((INDEX(Factor!$X$4:$AC$13, _xlfn.XMATCH($G73, Factor!$X$4:$X$13, 1),2)*IF(MOD(G73, 10) = 0, 10, MOD(G73, 10)))+INDEX(Factor!$AE$4:$AJ$13, _xlfn.XMATCH(MonsterData!$G73, Factor!$AE$4:$AE$13, 1),2))</f>
        <v>172.79999999999998</v>
      </c>
      <c r="V73" s="21" cm="1">
        <f t="array" ref="V73">M73*VLOOKUP($I73, Factor!$B$4:$G$8, 3, 0)*VLOOKUP($J73, Factor!$B$12:$G$13, 3, 0)*VLOOKUP($K73, Factor!$B$17:$G$18, 3, 0)*VLOOKUP($H73, Factor!$J$4:$O$7, 3, 0)*VLOOKUP($F73, Factor!$Q$4:$V$15, 3, 0)*IF(MOD($G73,10)=0, 10, MOD($G73, 10))*((INDEX(Factor!$X$4:$AC$13, _xlfn.XMATCH($G73, Factor!$X$4:$X$13, 1),3)*IF(MOD(G73, 10) = 0, 10, MOD(G73, 10)))+INDEX(Factor!$AE$4:$AJ$13, _xlfn.XMATCH(MonsterData!$G73, Factor!$AE$4:$AE$13, 1),3))</f>
        <v>8.6399999999999988</v>
      </c>
      <c r="W73" s="21" cm="1">
        <f t="array" ref="W73">N73*VLOOKUP($I73, Factor!$B$4:$G$8, 4, 0)*VLOOKUP($J73, Factor!$B$12:$G$13, 4, 0)*VLOOKUP($K73, Factor!$B$17:$G$18, 4, 0)*VLOOKUP($H73, Factor!$J$4:$O$7, 4, 0)*VLOOKUP($F73, Factor!$Q$4:$V$15, 4, 0)*IF(MOD($G73,10)=0, 10, MOD($G73, 10))*((INDEX(Factor!$X$4:$AC$13, _xlfn.XMATCH($G73, Factor!$X$4:$X$13, 1),4)*IF(MOD(G73, 10) = 0, 10, MOD(G73, 10)))+INDEX(Factor!$AE$4:$AJ$13, _xlfn.XMATCH(MonsterData!$G73, Factor!$AE$4:$AE$13, 1),4))</f>
        <v>5.1840000000000002</v>
      </c>
      <c r="X73" s="21" cm="1">
        <f t="array" ref="X73">O73*VLOOKUP($I73, Factor!$B$4:$G$8, 5, 0)*VLOOKUP($J73, Factor!$B$12:$G$13, 5, 0)*VLOOKUP($K73, Factor!$B$17:$G$18, 5, 0)*VLOOKUP($H73, Factor!$J$4:$O$7, 5, 0)*VLOOKUP($F73, Factor!$Q$4:$V$15, 5, 0)*IF(MOD($G73,10)=0, 10, MOD($G73, 10))*((INDEX(Factor!$X$4:$AC$13, _xlfn.XMATCH($G73, Factor!$X$4:$X$13, 1),5)*IF(MOD(G73, 10) = 0, 10, MOD(G73, 10)))+INDEX(Factor!$AE$4:$AJ$13, _xlfn.XMATCH(MonsterData!$G73, Factor!$AE$4:$AE$13, 1),5))</f>
        <v>1.44</v>
      </c>
      <c r="Y73" s="21" cm="1">
        <f t="array" ref="Y73">P73*VLOOKUP($I73, Factor!$B$4:$G$8, 6, 0)*VLOOKUP($J73, Factor!$B$12:$G$13, 6, 0)*VLOOKUP($K73, Factor!$B$17:$G$18, 6, 0)*VLOOKUP($H73, Factor!$J$4:$O$7, 2, 0)*VLOOKUP($F73, Factor!$Q$4:$V$15, 6, 0)*IF(MOD($G73,10)=0, 10, MOD($G73, 10))*((INDEX(Factor!$X$4:$AC$13, _xlfn.XMATCH($G73, Factor!$X$4:$X$13, 1),6)*IF(MOD(G73, 10) = 0, 10, MOD(G73, 10)))+INDEX(Factor!$AE$4:$AJ$13, _xlfn.XMATCH(MonsterData!$G73, Factor!$AE$4:$AE$13, 1),6))</f>
        <v>5.76</v>
      </c>
      <c r="Z73" s="21">
        <f>$Q73*VLOOKUP($J73, Factor!$B$12:$H$13, 7, 0)</f>
        <v>1</v>
      </c>
      <c r="AA73" s="13">
        <v>1</v>
      </c>
      <c r="AB73" s="21">
        <f t="shared" si="4"/>
        <v>0</v>
      </c>
      <c r="AC73" s="13" t="s">
        <v>139</v>
      </c>
      <c r="AD73" s="15" t="s">
        <v>142</v>
      </c>
    </row>
    <row r="74" spans="1:30" ht="15.75" customHeight="1">
      <c r="A74" s="16" t="str">
        <f>T74&amp;"_"&amp;F74&amp;VLOOKUP($C74, Factor!$AM$4:$AY$30, 7, 0)&amp;IF(COUNTIFS($C$4:C73, C74, $F$4:F73, F74)+1&gt;=100, COUNTIFS($C$4:C73, C74, $F$4:F73, F74)+1,IF(COUNTIFS($C$4:C73, C74, $F$4:F73, F74)+1&gt;=10, "0"&amp;COUNTIFS($C$4:C73, C74, $F$4:F73, F74)+1, "00"&amp;COUNTIFS($C$4:C73, C74, $F$4:F73, F74)+1))</f>
        <v>enpc_F02_A_Cocoon_001</v>
      </c>
      <c r="B74" s="16"/>
      <c r="C74" s="16" t="s">
        <v>270</v>
      </c>
      <c r="D74" s="16" t="str">
        <f t="shared" si="8"/>
        <v>코쿤</v>
      </c>
      <c r="E74" s="17" t="str">
        <f>VLOOKUP($C74, Factor!$AM$4:$AY$30, 8, 0)</f>
        <v>M</v>
      </c>
      <c r="F74" s="17" t="s">
        <v>110</v>
      </c>
      <c r="G74" s="20">
        <v>11</v>
      </c>
      <c r="H74" s="16" t="s">
        <v>55</v>
      </c>
      <c r="I74" s="17" t="str">
        <f>VLOOKUP($C74, Factor!$AM$4:$AY$30, 11, 0)</f>
        <v>A</v>
      </c>
      <c r="J74" s="17" t="str">
        <f>VLOOKUP($C74, Factor!$AM$4:$AY$30, 12, 0)</f>
        <v>ml</v>
      </c>
      <c r="K74" s="17" t="str">
        <f>VLOOKUP($C74, Factor!$AM$4:$AY$30, 13, 0)</f>
        <v>L</v>
      </c>
      <c r="L74" s="17">
        <v>1</v>
      </c>
      <c r="M74" s="17">
        <v>1</v>
      </c>
      <c r="N74" s="17">
        <v>1</v>
      </c>
      <c r="O74" s="17">
        <v>1</v>
      </c>
      <c r="P74" s="17">
        <v>1</v>
      </c>
      <c r="Q74" s="17">
        <v>1</v>
      </c>
      <c r="R74" s="17" t="str">
        <f>VLOOKUP($C74, Factor!$AM$4:$AY$30, 9, 0)</f>
        <v>Midium</v>
      </c>
      <c r="S74" s="17" t="s">
        <v>196</v>
      </c>
      <c r="T74" s="17" t="str">
        <f>VLOOKUP($C74, Factor!$AM$4:$AY$30, 10, 0)</f>
        <v>enpc</v>
      </c>
      <c r="U74" s="17" cm="1">
        <f t="array" ref="U74">L74*VLOOKUP($I74, Factor!$B$4:$G$8, 2, 0)*VLOOKUP($J74, Factor!$B$12:$G$13, 2, 0)*VLOOKUP($K74, Factor!$B$17:$G$18, 2, 0)*VLOOKUP($H74, Factor!$J$4:$O$7, 2, 0)*VLOOKUP($F74, Factor!$Q$4:$V$15, 2, 0)*IF(MOD($G74,10)=0, 10, MOD($G74, 10))*((INDEX(Factor!$X$4:$AC$13, _xlfn.XMATCH($G74, Factor!$X$4:$X$13, 1),2)*IF(MOD(G74, 10) = 0, 10, MOD(G74, 10)))+INDEX(Factor!$AE$4:$AJ$13, _xlfn.XMATCH(MonsterData!$G74, Factor!$AE$4:$AE$13, 1),2))</f>
        <v>216</v>
      </c>
      <c r="V74" s="17" cm="1">
        <f t="array" ref="V74">M74*VLOOKUP($I74, Factor!$B$4:$G$8, 3, 0)*VLOOKUP($J74, Factor!$B$12:$G$13, 3, 0)*VLOOKUP($K74, Factor!$B$17:$G$18, 3, 0)*VLOOKUP($H74, Factor!$J$4:$O$7, 3, 0)*VLOOKUP($F74, Factor!$Q$4:$V$15, 3, 0)*IF(MOD($G74,10)=0, 10, MOD($G74, 10))*((INDEX(Factor!$X$4:$AC$13, _xlfn.XMATCH($G74, Factor!$X$4:$X$13, 1),3)*IF(MOD(G74, 10) = 0, 10, MOD(G74, 10)))+INDEX(Factor!$AE$4:$AJ$13, _xlfn.XMATCH(MonsterData!$G74, Factor!$AE$4:$AE$13, 1),3))</f>
        <v>10.799999999999999</v>
      </c>
      <c r="W74" s="17" cm="1">
        <f t="array" ref="W74">N74*VLOOKUP($I74, Factor!$B$4:$G$8, 4, 0)*VLOOKUP($J74, Factor!$B$12:$G$13, 4, 0)*VLOOKUP($K74, Factor!$B$17:$G$18, 4, 0)*VLOOKUP($H74, Factor!$J$4:$O$7, 4, 0)*VLOOKUP($F74, Factor!$Q$4:$V$15, 4, 0)*IF(MOD($G74,10)=0, 10, MOD($G74, 10))*((INDEX(Factor!$X$4:$AC$13, _xlfn.XMATCH($G74, Factor!$X$4:$X$13, 1),4)*IF(MOD(G74, 10) = 0, 10, MOD(G74, 10)))+INDEX(Factor!$AE$4:$AJ$13, _xlfn.XMATCH(MonsterData!$G74, Factor!$AE$4:$AE$13, 1),4))</f>
        <v>6.4799999999999995</v>
      </c>
      <c r="X74" s="17" cm="1">
        <f t="array" ref="X74">O74*VLOOKUP($I74, Factor!$B$4:$G$8, 5, 0)*VLOOKUP($J74, Factor!$B$12:$G$13, 5, 0)*VLOOKUP($K74, Factor!$B$17:$G$18, 5, 0)*VLOOKUP($H74, Factor!$J$4:$O$7, 5, 0)*VLOOKUP($F74, Factor!$Q$4:$V$15, 5, 0)*IF(MOD($G74,10)=0, 10, MOD($G74, 10))*((INDEX(Factor!$X$4:$AC$13, _xlfn.XMATCH($G74, Factor!$X$4:$X$13, 1),5)*IF(MOD(G74, 10) = 0, 10, MOD(G74, 10)))+INDEX(Factor!$AE$4:$AJ$13, _xlfn.XMATCH(MonsterData!$G74, Factor!$AE$4:$AE$13, 1),5))</f>
        <v>1.44</v>
      </c>
      <c r="Y74" s="17" cm="1">
        <f t="array" ref="Y74">P74*VLOOKUP($I74, Factor!$B$4:$G$8, 6, 0)*VLOOKUP($J74, Factor!$B$12:$G$13, 6, 0)*VLOOKUP($K74, Factor!$B$17:$G$18, 6, 0)*VLOOKUP($H74, Factor!$J$4:$O$7, 2, 0)*VLOOKUP($F74, Factor!$Q$4:$V$15, 6, 0)*IF(MOD($G74,10)=0, 10, MOD($G74, 10))*((INDEX(Factor!$X$4:$AC$13, _xlfn.XMATCH($G74, Factor!$X$4:$X$13, 1),6)*IF(MOD(G74, 10) = 0, 10, MOD(G74, 10)))+INDEX(Factor!$AE$4:$AJ$13, _xlfn.XMATCH(MonsterData!$G74, Factor!$AE$4:$AE$13, 1),6))</f>
        <v>7.1999999999999993</v>
      </c>
      <c r="Z74" s="17">
        <f>$Q74*VLOOKUP($J74, Factor!$B$12:$H$13, 7, 0)</f>
        <v>1</v>
      </c>
      <c r="AA74" s="17">
        <v>1</v>
      </c>
      <c r="AB74" s="17">
        <f t="shared" si="4"/>
        <v>0</v>
      </c>
      <c r="AC74" s="17" t="s">
        <v>139</v>
      </c>
      <c r="AD74" s="19" t="s">
        <v>142</v>
      </c>
    </row>
    <row r="75" spans="1:30" ht="15.75" customHeight="1">
      <c r="A75" s="13" t="str">
        <f>T75&amp;"_"&amp;F75&amp;VLOOKUP($C75, Factor!$AM$4:$AY$30, 7, 0)&amp;IF(COUNTIFS($C$4:C74, C75, $F$4:F74, F75)+1&gt;=100, COUNTIFS($C$4:C74, C75, $F$4:F74, F75)+1,IF(COUNTIFS($C$4:C74, C75, $F$4:F74, F75)+1&gt;=10, "0"&amp;COUNTIFS($C$4:C74, C75, $F$4:F74, F75)+1, "00"&amp;COUNTIFS($C$4:C74, C75, $F$4:F74, F75)+1))</f>
        <v>enpc_F02_A_Antlion_001</v>
      </c>
      <c r="B75" s="13"/>
      <c r="C75" s="13" t="s">
        <v>38</v>
      </c>
      <c r="D75" s="13" t="str">
        <f t="shared" si="8"/>
        <v>앤틸리온</v>
      </c>
      <c r="E75" s="21" t="str">
        <f>VLOOKUP($C75, Factor!$AM$4:$AY$30, 8, 0)</f>
        <v>M</v>
      </c>
      <c r="F75" s="21" t="s">
        <v>374</v>
      </c>
      <c r="G75" s="22">
        <v>11</v>
      </c>
      <c r="H75" s="13" t="s">
        <v>55</v>
      </c>
      <c r="I75" s="21" t="str">
        <f>VLOOKUP($C75, Factor!$AM$4:$AY$30, 11, 0)</f>
        <v>A</v>
      </c>
      <c r="J75" s="21" t="str">
        <f>VLOOKUP($C75, Factor!$AM$4:$AY$30, 12, 0)</f>
        <v>ra</v>
      </c>
      <c r="K75" s="21" t="str">
        <f>VLOOKUP($C75, Factor!$AM$4:$AY$30, 13, 0)</f>
        <v>L</v>
      </c>
      <c r="L75" s="13">
        <v>1</v>
      </c>
      <c r="M75" s="13">
        <v>1</v>
      </c>
      <c r="N75" s="13">
        <v>1</v>
      </c>
      <c r="O75" s="13">
        <v>1</v>
      </c>
      <c r="P75" s="13">
        <v>1</v>
      </c>
      <c r="Q75" s="13">
        <v>1</v>
      </c>
      <c r="R75" s="21" t="str">
        <f>VLOOKUP($C75, Factor!$AM$4:$AY$30, 9, 0)</f>
        <v>Midium</v>
      </c>
      <c r="S75" s="13" t="s">
        <v>397</v>
      </c>
      <c r="T75" s="21" t="str">
        <f>VLOOKUP($C75, Factor!$AM$4:$AY$30, 10, 0)</f>
        <v>enpc</v>
      </c>
      <c r="U75" s="21" cm="1">
        <f t="array" ref="U75">L75*VLOOKUP($I75, Factor!$B$4:$G$8, 2, 0)*VLOOKUP($J75, Factor!$B$12:$G$13, 2, 0)*VLOOKUP($K75, Factor!$B$17:$G$18, 2, 0)*VLOOKUP($H75, Factor!$J$4:$O$7, 2, 0)*VLOOKUP($F75, Factor!$Q$4:$V$15, 2, 0)*IF(MOD($G75,10)=0, 10, MOD($G75, 10))*((INDEX(Factor!$X$4:$AC$13, _xlfn.XMATCH($G75, Factor!$X$4:$X$13, 1),2)*IF(MOD(G75, 10) = 0, 10, MOD(G75, 10)))+INDEX(Factor!$AE$4:$AJ$13, _xlfn.XMATCH(MonsterData!$G75, Factor!$AE$4:$AE$13, 1),2))</f>
        <v>172.79999999999998</v>
      </c>
      <c r="V75" s="21" cm="1">
        <f t="array" ref="V75">M75*VLOOKUP($I75, Factor!$B$4:$G$8, 3, 0)*VLOOKUP($J75, Factor!$B$12:$G$13, 3, 0)*VLOOKUP($K75, Factor!$B$17:$G$18, 3, 0)*VLOOKUP($H75, Factor!$J$4:$O$7, 3, 0)*VLOOKUP($F75, Factor!$Q$4:$V$15, 3, 0)*IF(MOD($G75,10)=0, 10, MOD($G75, 10))*((INDEX(Factor!$X$4:$AC$13, _xlfn.XMATCH($G75, Factor!$X$4:$X$13, 1),3)*IF(MOD(G75, 10) = 0, 10, MOD(G75, 10)))+INDEX(Factor!$AE$4:$AJ$13, _xlfn.XMATCH(MonsterData!$G75, Factor!$AE$4:$AE$13, 1),3))</f>
        <v>8.6399999999999988</v>
      </c>
      <c r="W75" s="21" cm="1">
        <f t="array" ref="W75">N75*VLOOKUP($I75, Factor!$B$4:$G$8, 4, 0)*VLOOKUP($J75, Factor!$B$12:$G$13, 4, 0)*VLOOKUP($K75, Factor!$B$17:$G$18, 4, 0)*VLOOKUP($H75, Factor!$J$4:$O$7, 4, 0)*VLOOKUP($F75, Factor!$Q$4:$V$15, 4, 0)*IF(MOD($G75,10)=0, 10, MOD($G75, 10))*((INDEX(Factor!$X$4:$AC$13, _xlfn.XMATCH($G75, Factor!$X$4:$X$13, 1),4)*IF(MOD(G75, 10) = 0, 10, MOD(G75, 10)))+INDEX(Factor!$AE$4:$AJ$13, _xlfn.XMATCH(MonsterData!$G75, Factor!$AE$4:$AE$13, 1),4))</f>
        <v>7.7759999999999989</v>
      </c>
      <c r="X75" s="21" cm="1">
        <f t="array" ref="X75">O75*VLOOKUP($I75, Factor!$B$4:$G$8, 5, 0)*VLOOKUP($J75, Factor!$B$12:$G$13, 5, 0)*VLOOKUP($K75, Factor!$B$17:$G$18, 5, 0)*VLOOKUP($H75, Factor!$J$4:$O$7, 5, 0)*VLOOKUP($F75, Factor!$Q$4:$V$15, 5, 0)*IF(MOD($G75,10)=0, 10, MOD($G75, 10))*((INDEX(Factor!$X$4:$AC$13, _xlfn.XMATCH($G75, Factor!$X$4:$X$13, 1),5)*IF(MOD(G75, 10) = 0, 10, MOD(G75, 10)))+INDEX(Factor!$AE$4:$AJ$13, _xlfn.XMATCH(MonsterData!$G75, Factor!$AE$4:$AE$13, 1),5))</f>
        <v>2.1599999999999997</v>
      </c>
      <c r="Y75" s="21" cm="1">
        <f t="array" ref="Y75">P75*VLOOKUP($I75, Factor!$B$4:$G$8, 6, 0)*VLOOKUP($J75, Factor!$B$12:$G$13, 6, 0)*VLOOKUP($K75, Factor!$B$17:$G$18, 6, 0)*VLOOKUP($H75, Factor!$J$4:$O$7, 2, 0)*VLOOKUP($F75, Factor!$Q$4:$V$15, 6, 0)*IF(MOD($G75,10)=0, 10, MOD($G75, 10))*((INDEX(Factor!$X$4:$AC$13, _xlfn.XMATCH($G75, Factor!$X$4:$X$13, 1),6)*IF(MOD(G75, 10) = 0, 10, MOD(G75, 10)))+INDEX(Factor!$AE$4:$AJ$13, _xlfn.XMATCH(MonsterData!$G75, Factor!$AE$4:$AE$13, 1),6))</f>
        <v>7.1999999999999993</v>
      </c>
      <c r="Z75" s="21">
        <f>$Q75*VLOOKUP($J75, Factor!$B$12:$H$13, 7, 0)</f>
        <v>4</v>
      </c>
      <c r="AA75" s="13">
        <v>1</v>
      </c>
      <c r="AB75" s="21">
        <f t="shared" si="4"/>
        <v>4</v>
      </c>
      <c r="AC75" s="13" t="s">
        <v>139</v>
      </c>
      <c r="AD75" s="15" t="s">
        <v>142</v>
      </c>
    </row>
    <row r="76" spans="1:30" ht="15.75" customHeight="1">
      <c r="A76" s="16" t="str">
        <f>T76&amp;"_"&amp;F76&amp;VLOOKUP($C76, Factor!$AM$4:$AY$30, 7, 0)&amp;IF(COUNTIFS($C$4:C75, C76, $F$4:F75, F76)+1&gt;=100, COUNTIFS($C$4:C75, C76, $F$4:F75, F76)+1,IF(COUNTIFS($C$4:C75, C76, $F$4:F75, F76)+1&gt;=10, "0"&amp;COUNTIFS($C$4:C75, C76, $F$4:F75, F76)+1, "00"&amp;COUNTIFS($C$4:C75, C76, $F$4:F75, F76)+1))</f>
        <v>enpc_F02_A_Nymphe_001</v>
      </c>
      <c r="B76" s="16"/>
      <c r="C76" s="16" t="s">
        <v>39</v>
      </c>
      <c r="D76" s="16" t="str">
        <f t="shared" si="8"/>
        <v>님프</v>
      </c>
      <c r="E76" s="17" t="str">
        <f>VLOOKUP($C76, Factor!$AM$4:$AY$30, 8, 0)</f>
        <v>S</v>
      </c>
      <c r="F76" s="17" t="s">
        <v>374</v>
      </c>
      <c r="G76" s="20">
        <v>11</v>
      </c>
      <c r="H76" s="16" t="s">
        <v>55</v>
      </c>
      <c r="I76" s="17" t="str">
        <f>VLOOKUP($C76, Factor!$AM$4:$AY$30, 11, 0)</f>
        <v>A</v>
      </c>
      <c r="J76" s="17" t="str">
        <f>VLOOKUP($C76, Factor!$AM$4:$AY$30, 12, 0)</f>
        <v>ml</v>
      </c>
      <c r="K76" s="17" t="str">
        <f>VLOOKUP($C76, Factor!$AM$4:$AY$30, 13, 0)</f>
        <v>F</v>
      </c>
      <c r="L76" s="17">
        <v>1</v>
      </c>
      <c r="M76" s="17">
        <v>1</v>
      </c>
      <c r="N76" s="17">
        <v>1</v>
      </c>
      <c r="O76" s="17">
        <v>1</v>
      </c>
      <c r="P76" s="17">
        <v>1</v>
      </c>
      <c r="Q76" s="17">
        <v>1</v>
      </c>
      <c r="R76" s="17" t="str">
        <f>VLOOKUP($C76, Factor!$AM$4:$AY$30, 9, 0)</f>
        <v>Small</v>
      </c>
      <c r="S76" s="17" t="s">
        <v>197</v>
      </c>
      <c r="T76" s="17" t="str">
        <f>VLOOKUP($C76, Factor!$AM$4:$AY$30, 10, 0)</f>
        <v>enpc</v>
      </c>
      <c r="U76" s="17" cm="1">
        <f t="array" ref="U76">L76*VLOOKUP($I76, Factor!$B$4:$G$8, 2, 0)*VLOOKUP($J76, Factor!$B$12:$G$13, 2, 0)*VLOOKUP($K76, Factor!$B$17:$G$18, 2, 0)*VLOOKUP($H76, Factor!$J$4:$O$7, 2, 0)*VLOOKUP($F76, Factor!$Q$4:$V$15, 2, 0)*IF(MOD($G76,10)=0, 10, MOD($G76, 10))*((INDEX(Factor!$X$4:$AC$13, _xlfn.XMATCH($G76, Factor!$X$4:$X$13, 1),2)*IF(MOD(G76, 10) = 0, 10, MOD(G76, 10)))+INDEX(Factor!$AE$4:$AJ$13, _xlfn.XMATCH(MonsterData!$G76, Factor!$AE$4:$AE$13, 1),2))</f>
        <v>144</v>
      </c>
      <c r="V76" s="17" cm="1">
        <f t="array" ref="V76">M76*VLOOKUP($I76, Factor!$B$4:$G$8, 3, 0)*VLOOKUP($J76, Factor!$B$12:$G$13, 3, 0)*VLOOKUP($K76, Factor!$B$17:$G$18, 3, 0)*VLOOKUP($H76, Factor!$J$4:$O$7, 3, 0)*VLOOKUP($F76, Factor!$Q$4:$V$15, 3, 0)*IF(MOD($G76,10)=0, 10, MOD($G76, 10))*((INDEX(Factor!$X$4:$AC$13, _xlfn.XMATCH($G76, Factor!$X$4:$X$13, 1),3)*IF(MOD(G76, 10) = 0, 10, MOD(G76, 10)))+INDEX(Factor!$AE$4:$AJ$13, _xlfn.XMATCH(MonsterData!$G76, Factor!$AE$4:$AE$13, 1),3))</f>
        <v>7.1999999999999993</v>
      </c>
      <c r="W76" s="17" cm="1">
        <f t="array" ref="W76">N76*VLOOKUP($I76, Factor!$B$4:$G$8, 4, 0)*VLOOKUP($J76, Factor!$B$12:$G$13, 4, 0)*VLOOKUP($K76, Factor!$B$17:$G$18, 4, 0)*VLOOKUP($H76, Factor!$J$4:$O$7, 4, 0)*VLOOKUP($F76, Factor!$Q$4:$V$15, 4, 0)*IF(MOD($G76,10)=0, 10, MOD($G76, 10))*((INDEX(Factor!$X$4:$AC$13, _xlfn.XMATCH($G76, Factor!$X$4:$X$13, 1),4)*IF(MOD(G76, 10) = 0, 10, MOD(G76, 10)))+INDEX(Factor!$AE$4:$AJ$13, _xlfn.XMATCH(MonsterData!$G76, Factor!$AE$4:$AE$13, 1),4))</f>
        <v>4.3199999999999994</v>
      </c>
      <c r="X76" s="17" cm="1">
        <f t="array" ref="X76">O76*VLOOKUP($I76, Factor!$B$4:$G$8, 5, 0)*VLOOKUP($J76, Factor!$B$12:$G$13, 5, 0)*VLOOKUP($K76, Factor!$B$17:$G$18, 5, 0)*VLOOKUP($H76, Factor!$J$4:$O$7, 5, 0)*VLOOKUP($F76, Factor!$Q$4:$V$15, 5, 0)*IF(MOD($G76,10)=0, 10, MOD($G76, 10))*((INDEX(Factor!$X$4:$AC$13, _xlfn.XMATCH($G76, Factor!$X$4:$X$13, 1),5)*IF(MOD(G76, 10) = 0, 10, MOD(G76, 10)))+INDEX(Factor!$AE$4:$AJ$13, _xlfn.XMATCH(MonsterData!$G76, Factor!$AE$4:$AE$13, 1),5))</f>
        <v>1.44</v>
      </c>
      <c r="Y76" s="17" cm="1">
        <f t="array" ref="Y76">P76*VLOOKUP($I76, Factor!$B$4:$G$8, 6, 0)*VLOOKUP($J76, Factor!$B$12:$G$13, 6, 0)*VLOOKUP($K76, Factor!$B$17:$G$18, 6, 0)*VLOOKUP($H76, Factor!$J$4:$O$7, 2, 0)*VLOOKUP($F76, Factor!$Q$4:$V$15, 6, 0)*IF(MOD($G76,10)=0, 10, MOD($G76, 10))*((INDEX(Factor!$X$4:$AC$13, _xlfn.XMATCH($G76, Factor!$X$4:$X$13, 1),6)*IF(MOD(G76, 10) = 0, 10, MOD(G76, 10)))+INDEX(Factor!$AE$4:$AJ$13, _xlfn.XMATCH(MonsterData!$G76, Factor!$AE$4:$AE$13, 1),6))</f>
        <v>21.599999999999998</v>
      </c>
      <c r="Z76" s="17">
        <f>$Q76*VLOOKUP($J76, Factor!$B$12:$H$13, 7, 0)</f>
        <v>1</v>
      </c>
      <c r="AA76" s="17">
        <v>1</v>
      </c>
      <c r="AB76" s="17">
        <f t="shared" si="4"/>
        <v>0</v>
      </c>
      <c r="AC76" s="17" t="s">
        <v>139</v>
      </c>
      <c r="AD76" s="19" t="s">
        <v>142</v>
      </c>
    </row>
    <row r="77" spans="1:30" ht="15.75" customHeight="1">
      <c r="A77" s="13" t="str">
        <f>T77&amp;"_"&amp;F77&amp;VLOOKUP($C77, Factor!$AM$4:$AY$30, 7, 0)&amp;IF(COUNTIFS($C$4:C76, C77, $F$4:F76, F77)+1&gt;=100, COUNTIFS($C$4:C76, C77, $F$4:F76, F77)+1,IF(COUNTIFS($C$4:C76, C77, $F$4:F76, F77)+1&gt;=10, "0"&amp;COUNTIFS($C$4:C76, C77, $F$4:F76, F77)+1, "00"&amp;COUNTIFS($C$4:C76, C77, $F$4:F76, F77)+1))</f>
        <v>enpc_F02_B_Golem_001</v>
      </c>
      <c r="B77" s="13"/>
      <c r="C77" s="13" t="s">
        <v>40</v>
      </c>
      <c r="D77" s="13" t="str">
        <f t="shared" si="8"/>
        <v>골렘</v>
      </c>
      <c r="E77" s="21" t="str">
        <f>VLOOKUP($C77, Factor!$AM$4:$AY$30, 8, 0)</f>
        <v>B</v>
      </c>
      <c r="F77" s="21" t="s">
        <v>374</v>
      </c>
      <c r="G77" s="22">
        <v>20</v>
      </c>
      <c r="H77" s="13" t="s">
        <v>57</v>
      </c>
      <c r="I77" s="21" t="str">
        <f>VLOOKUP($C77, Factor!$AM$4:$AY$30, 11, 0)</f>
        <v>B</v>
      </c>
      <c r="J77" s="21" t="str">
        <f>VLOOKUP($C77, Factor!$AM$4:$AY$30, 12, 0)</f>
        <v>ml</v>
      </c>
      <c r="K77" s="21" t="str">
        <f>VLOOKUP($C77, Factor!$AM$4:$AY$30, 13, 0)</f>
        <v>L</v>
      </c>
      <c r="L77" s="13">
        <v>1</v>
      </c>
      <c r="M77" s="13">
        <v>1</v>
      </c>
      <c r="N77" s="13">
        <v>1</v>
      </c>
      <c r="O77" s="13">
        <v>1</v>
      </c>
      <c r="P77" s="13">
        <v>1</v>
      </c>
      <c r="Q77" s="13">
        <v>1</v>
      </c>
      <c r="R77" s="21" t="str">
        <f>VLOOKUP($C77, Factor!$AM$4:$AY$30, 9, 0)</f>
        <v>Big</v>
      </c>
      <c r="S77" s="13" t="s">
        <v>398</v>
      </c>
      <c r="T77" s="21" t="str">
        <f>VLOOKUP($C77, Factor!$AM$4:$AY$30, 10, 0)</f>
        <v>enpc</v>
      </c>
      <c r="U77" s="21" cm="1">
        <f t="array" ref="U77">L77*VLOOKUP($I77, Factor!$B$4:$G$8, 2, 0)*VLOOKUP($J77, Factor!$B$12:$G$13, 2, 0)*VLOOKUP($K77, Factor!$B$17:$G$18, 2, 0)*VLOOKUP($H77, Factor!$J$4:$O$7, 2, 0)*VLOOKUP($F77, Factor!$Q$4:$V$15, 2, 0)*IF(MOD($G77,10)=0, 10, MOD($G77, 10))*((INDEX(Factor!$X$4:$AC$13, _xlfn.XMATCH($G77, Factor!$X$4:$X$13, 1),2)*IF(MOD(G77, 10) = 0, 10, MOD(G77, 10)))+INDEX(Factor!$AE$4:$AJ$13, _xlfn.XMATCH(MonsterData!$G77, Factor!$AE$4:$AE$13, 1),2))</f>
        <v>54000</v>
      </c>
      <c r="V77" s="21" cm="1">
        <f t="array" ref="V77">M77*VLOOKUP($I77, Factor!$B$4:$G$8, 3, 0)*VLOOKUP($J77, Factor!$B$12:$G$13, 3, 0)*VLOOKUP($K77, Factor!$B$17:$G$18, 3, 0)*VLOOKUP($H77, Factor!$J$4:$O$7, 3, 0)*VLOOKUP($F77, Factor!$Q$4:$V$15, 3, 0)*IF(MOD($G77,10)=0, 10, MOD($G77, 10))*((INDEX(Factor!$X$4:$AC$13, _xlfn.XMATCH($G77, Factor!$X$4:$X$13, 1),3)*IF(MOD(G77, 10) = 0, 10, MOD(G77, 10)))+INDEX(Factor!$AE$4:$AJ$13, _xlfn.XMATCH(MonsterData!$G77, Factor!$AE$4:$AE$13, 1),3))</f>
        <v>2700</v>
      </c>
      <c r="W77" s="21" cm="1">
        <f t="array" ref="W77">N77*VLOOKUP($I77, Factor!$B$4:$G$8, 4, 0)*VLOOKUP($J77, Factor!$B$12:$G$13, 4, 0)*VLOOKUP($K77, Factor!$B$17:$G$18, 4, 0)*VLOOKUP($H77, Factor!$J$4:$O$7, 4, 0)*VLOOKUP($F77, Factor!$Q$4:$V$15, 4, 0)*IF(MOD($G77,10)=0, 10, MOD($G77, 10))*((INDEX(Factor!$X$4:$AC$13, _xlfn.XMATCH($G77, Factor!$X$4:$X$13, 1),4)*IF(MOD(G77, 10) = 0, 10, MOD(G77, 10)))+INDEX(Factor!$AE$4:$AJ$13, _xlfn.XMATCH(MonsterData!$G77, Factor!$AE$4:$AE$13, 1),4))</f>
        <v>135</v>
      </c>
      <c r="X77" s="21" cm="1">
        <f t="array" ref="X77">O77*VLOOKUP($I77, Factor!$B$4:$G$8, 5, 0)*VLOOKUP($J77, Factor!$B$12:$G$13, 5, 0)*VLOOKUP($K77, Factor!$B$17:$G$18, 5, 0)*VLOOKUP($H77, Factor!$J$4:$O$7, 5, 0)*VLOOKUP($F77, Factor!$Q$4:$V$15, 5, 0)*IF(MOD($G77,10)=0, 10, MOD($G77, 10))*((INDEX(Factor!$X$4:$AC$13, _xlfn.XMATCH($G77, Factor!$X$4:$X$13, 1),5)*IF(MOD(G77, 10) = 0, 10, MOD(G77, 10)))+INDEX(Factor!$AE$4:$AJ$13, _xlfn.XMATCH(MonsterData!$G77, Factor!$AE$4:$AE$13, 1),5))</f>
        <v>144</v>
      </c>
      <c r="Y77" s="21" cm="1">
        <f t="array" ref="Y77">P77*VLOOKUP($I77, Factor!$B$4:$G$8, 6, 0)*VLOOKUP($J77, Factor!$B$12:$G$13, 6, 0)*VLOOKUP($K77, Factor!$B$17:$G$18, 6, 0)*VLOOKUP($H77, Factor!$J$4:$O$7, 2, 0)*VLOOKUP($F77, Factor!$Q$4:$V$15, 6, 0)*IF(MOD($G77,10)=0, 10, MOD($G77, 10))*((INDEX(Factor!$X$4:$AC$13, _xlfn.XMATCH($G77, Factor!$X$4:$X$13, 1),6)*IF(MOD(G77, 10) = 0, 10, MOD(G77, 10)))+INDEX(Factor!$AE$4:$AJ$13, _xlfn.XMATCH(MonsterData!$G77, Factor!$AE$4:$AE$13, 1),6))</f>
        <v>288</v>
      </c>
      <c r="Z77" s="21">
        <f>$Q77*VLOOKUP($J77, Factor!$B$12:$H$13, 7, 0)</f>
        <v>1</v>
      </c>
      <c r="AA77" s="13">
        <v>1</v>
      </c>
      <c r="AB77" s="21">
        <f t="shared" si="4"/>
        <v>0</v>
      </c>
      <c r="AC77" s="13" t="s">
        <v>140</v>
      </c>
      <c r="AD77" s="15" t="s">
        <v>143</v>
      </c>
    </row>
    <row r="78" spans="1:30" ht="15.75" customHeight="1">
      <c r="A78" s="16" t="str">
        <f>T78&amp;"_"&amp;F78&amp;VLOOKUP($C78, Factor!$AM$4:$AY$30, 7, 0)&amp;IF(COUNTIFS($C$4:C77, C78, $F$4:F77, F78)+1&gt;=100, COUNTIFS($C$4:C77, C78, $F$4:F77, F78)+1,IF(COUNTIFS($C$4:C77, C78, $F$4:F77, F78)+1&gt;=10, "0"&amp;COUNTIFS($C$4:C77, C78, $F$4:F77, F78)+1, "00"&amp;COUNTIFS($C$4:C77, C78, $F$4:F77, F78)+1))</f>
        <v>enpc_F02_B_Banshee_001</v>
      </c>
      <c r="B78" s="16"/>
      <c r="C78" s="16" t="s">
        <v>42</v>
      </c>
      <c r="D78" s="16" t="str">
        <f t="shared" si="8"/>
        <v>밴시</v>
      </c>
      <c r="E78" s="17" t="str">
        <f>VLOOKUP($C78, Factor!$AM$4:$AY$30, 8, 0)</f>
        <v>S</v>
      </c>
      <c r="F78" s="17" t="s">
        <v>374</v>
      </c>
      <c r="G78" s="20">
        <v>20</v>
      </c>
      <c r="H78" s="16" t="s">
        <v>56</v>
      </c>
      <c r="I78" s="17" t="str">
        <f>VLOOKUP($C78, Factor!$AM$4:$AY$30, 11, 0)</f>
        <v>B</v>
      </c>
      <c r="J78" s="17" t="str">
        <f>VLOOKUP($C78, Factor!$AM$4:$AY$30, 12, 0)</f>
        <v>ra</v>
      </c>
      <c r="K78" s="17" t="str">
        <f>VLOOKUP($C78, Factor!$AM$4:$AY$30, 13, 0)</f>
        <v>L</v>
      </c>
      <c r="L78" s="17">
        <v>1</v>
      </c>
      <c r="M78" s="17">
        <v>1</v>
      </c>
      <c r="N78" s="17">
        <v>1</v>
      </c>
      <c r="O78" s="17">
        <v>1</v>
      </c>
      <c r="P78" s="17">
        <v>1</v>
      </c>
      <c r="Q78" s="17">
        <v>1</v>
      </c>
      <c r="R78" s="17" t="str">
        <f>VLOOKUP($C78, Factor!$AM$4:$AY$30, 9, 0)</f>
        <v>Midium</v>
      </c>
      <c r="S78" s="17" t="s">
        <v>198</v>
      </c>
      <c r="T78" s="17" t="str">
        <f>VLOOKUP($C78, Factor!$AM$4:$AY$30, 10, 0)</f>
        <v>enpc</v>
      </c>
      <c r="U78" s="17" cm="1">
        <f t="array" ref="U78">L78*VLOOKUP($I78, Factor!$B$4:$G$8, 2, 0)*VLOOKUP($J78, Factor!$B$12:$G$13, 2, 0)*VLOOKUP($K78, Factor!$B$17:$G$18, 2, 0)*VLOOKUP($H78, Factor!$J$4:$O$7, 2, 0)*VLOOKUP($F78, Factor!$Q$4:$V$15, 2, 0)*IF(MOD($G78,10)=0, 10, MOD($G78, 10))*((INDEX(Factor!$X$4:$AC$13, _xlfn.XMATCH($G78, Factor!$X$4:$X$13, 1),2)*IF(MOD(G78, 10) = 0, 10, MOD(G78, 10)))+INDEX(Factor!$AE$4:$AJ$13, _xlfn.XMATCH(MonsterData!$G78, Factor!$AE$4:$AE$13, 1),2))</f>
        <v>21600</v>
      </c>
      <c r="V78" s="17" cm="1">
        <f t="array" ref="V78">M78*VLOOKUP($I78, Factor!$B$4:$G$8, 3, 0)*VLOOKUP($J78, Factor!$B$12:$G$13, 3, 0)*VLOOKUP($K78, Factor!$B$17:$G$18, 3, 0)*VLOOKUP($H78, Factor!$J$4:$O$7, 3, 0)*VLOOKUP($F78, Factor!$Q$4:$V$15, 3, 0)*IF(MOD($G78,10)=0, 10, MOD($G78, 10))*((INDEX(Factor!$X$4:$AC$13, _xlfn.XMATCH($G78, Factor!$X$4:$X$13, 1),3)*IF(MOD(G78, 10) = 0, 10, MOD(G78, 10)))+INDEX(Factor!$AE$4:$AJ$13, _xlfn.XMATCH(MonsterData!$G78, Factor!$AE$4:$AE$13, 1),3))</f>
        <v>1080</v>
      </c>
      <c r="W78" s="17" cm="1">
        <f t="array" ref="W78">N78*VLOOKUP($I78, Factor!$B$4:$G$8, 4, 0)*VLOOKUP($J78, Factor!$B$12:$G$13, 4, 0)*VLOOKUP($K78, Factor!$B$17:$G$18, 4, 0)*VLOOKUP($H78, Factor!$J$4:$O$7, 4, 0)*VLOOKUP($F78, Factor!$Q$4:$V$15, 4, 0)*IF(MOD($G78,10)=0, 10, MOD($G78, 10))*((INDEX(Factor!$X$4:$AC$13, _xlfn.XMATCH($G78, Factor!$X$4:$X$13, 1),4)*IF(MOD(G78, 10) = 0, 10, MOD(G78, 10)))+INDEX(Factor!$AE$4:$AJ$13, _xlfn.XMATCH(MonsterData!$G78, Factor!$AE$4:$AE$13, 1),4))</f>
        <v>3240</v>
      </c>
      <c r="X78" s="17" cm="1">
        <f t="array" ref="X78">O78*VLOOKUP($I78, Factor!$B$4:$G$8, 5, 0)*VLOOKUP($J78, Factor!$B$12:$G$13, 5, 0)*VLOOKUP($K78, Factor!$B$17:$G$18, 5, 0)*VLOOKUP($H78, Factor!$J$4:$O$7, 5, 0)*VLOOKUP($F78, Factor!$Q$4:$V$15, 5, 0)*IF(MOD($G78,10)=0, 10, MOD($G78, 10))*((INDEX(Factor!$X$4:$AC$13, _xlfn.XMATCH($G78, Factor!$X$4:$X$13, 1),5)*IF(MOD(G78, 10) = 0, 10, MOD(G78, 10)))+INDEX(Factor!$AE$4:$AJ$13, _xlfn.XMATCH(MonsterData!$G78, Factor!$AE$4:$AE$13, 1),5))</f>
        <v>97.200000000000017</v>
      </c>
      <c r="Y78" s="17" cm="1">
        <f t="array" ref="Y78">P78*VLOOKUP($I78, Factor!$B$4:$G$8, 6, 0)*VLOOKUP($J78, Factor!$B$12:$G$13, 6, 0)*VLOOKUP($K78, Factor!$B$17:$G$18, 6, 0)*VLOOKUP($H78, Factor!$J$4:$O$7, 2, 0)*VLOOKUP($F78, Factor!$Q$4:$V$15, 6, 0)*IF(MOD($G78,10)=0, 10, MOD($G78, 10))*((INDEX(Factor!$X$4:$AC$13, _xlfn.XMATCH($G78, Factor!$X$4:$X$13, 1),6)*IF(MOD(G78, 10) = 0, 10, MOD(G78, 10)))+INDEX(Factor!$AE$4:$AJ$13, _xlfn.XMATCH(MonsterData!$G78, Factor!$AE$4:$AE$13, 1),6))</f>
        <v>144</v>
      </c>
      <c r="Z78" s="17">
        <f>$Q78*VLOOKUP($J78, Factor!$B$12:$H$13, 7, 0)</f>
        <v>4</v>
      </c>
      <c r="AA78" s="17">
        <v>1</v>
      </c>
      <c r="AB78" s="17">
        <f t="shared" si="4"/>
        <v>4</v>
      </c>
      <c r="AC78" s="17" t="s">
        <v>141</v>
      </c>
      <c r="AD78" s="19" t="s">
        <v>144</v>
      </c>
    </row>
    <row r="79" spans="1:30" ht="15.75" customHeight="1">
      <c r="A79" s="13" t="str">
        <f>T79&amp;"_"&amp;F79&amp;VLOOKUP($C79, Factor!$AM$4:$AY$30, 7, 0)&amp;IF(COUNTIFS($C$4:C78, C79, $F$4:F78, F79)+1&gt;=100, COUNTIFS($C$4:C78, C79, $F$4:F78, F79)+1,IF(COUNTIFS($C$4:C78, C79, $F$4:F78, F79)+1&gt;=10, "0"&amp;COUNTIFS($C$4:C78, C79, $F$4:F78, F79)+1, "00"&amp;COUNTIFS($C$4:C78, C79, $F$4:F78, F79)+1))</f>
        <v>enpc_F02_A_Scarab_001</v>
      </c>
      <c r="B79" s="13"/>
      <c r="C79" s="13" t="s">
        <v>353</v>
      </c>
      <c r="D79" s="13" t="str">
        <f t="shared" si="8"/>
        <v>스캐럽</v>
      </c>
      <c r="E79" s="21" t="str">
        <f>VLOOKUP($C79, Factor!$AM$4:$AY$30, 8, 0)</f>
        <v>S</v>
      </c>
      <c r="F79" s="21" t="s">
        <v>374</v>
      </c>
      <c r="G79" s="22">
        <v>11</v>
      </c>
      <c r="H79" s="13" t="s">
        <v>55</v>
      </c>
      <c r="I79" s="21" t="str">
        <f>VLOOKUP($C79, Factor!$AM$4:$AY$30, 11, 0)</f>
        <v>A</v>
      </c>
      <c r="J79" s="21" t="str">
        <f>VLOOKUP($C79, Factor!$AM$4:$AY$30, 12, 0)</f>
        <v>ml</v>
      </c>
      <c r="K79" s="21" t="str">
        <f>VLOOKUP($C79, Factor!$AM$4:$AY$30, 13, 0)</f>
        <v>L</v>
      </c>
      <c r="L79" s="13">
        <v>1</v>
      </c>
      <c r="M79" s="13">
        <v>1</v>
      </c>
      <c r="N79" s="13">
        <v>1</v>
      </c>
      <c r="O79" s="13">
        <v>1</v>
      </c>
      <c r="P79" s="13">
        <v>1</v>
      </c>
      <c r="Q79" s="13">
        <v>1</v>
      </c>
      <c r="R79" s="21" t="str">
        <f>VLOOKUP($C79, Factor!$AM$4:$AY$30, 9, 0)</f>
        <v>Midium</v>
      </c>
      <c r="S79" s="13" t="s">
        <v>399</v>
      </c>
      <c r="T79" s="21" t="str">
        <f>VLOOKUP($C79, Factor!$AM$4:$AY$30, 10, 0)</f>
        <v>enpc</v>
      </c>
      <c r="U79" s="21" cm="1">
        <f t="array" ref="U79">L79*VLOOKUP($I79, Factor!$B$4:$G$8, 2, 0)*VLOOKUP($J79, Factor!$B$12:$G$13, 2, 0)*VLOOKUP($K79, Factor!$B$17:$G$18, 2, 0)*VLOOKUP($H79, Factor!$J$4:$O$7, 2, 0)*VLOOKUP($F79, Factor!$Q$4:$V$15, 2, 0)*IF(MOD($G79,10)=0, 10, MOD($G79, 10))*((INDEX(Factor!$X$4:$AC$13, _xlfn.XMATCH($G79, Factor!$X$4:$X$13, 1),2)*IF(MOD(G79, 10) = 0, 10, MOD(G79, 10)))+INDEX(Factor!$AE$4:$AJ$13, _xlfn.XMATCH(MonsterData!$G79, Factor!$AE$4:$AE$13, 1),2))</f>
        <v>216</v>
      </c>
      <c r="V79" s="21" cm="1">
        <f t="array" ref="V79">M79*VLOOKUP($I79, Factor!$B$4:$G$8, 3, 0)*VLOOKUP($J79, Factor!$B$12:$G$13, 3, 0)*VLOOKUP($K79, Factor!$B$17:$G$18, 3, 0)*VLOOKUP($H79, Factor!$J$4:$O$7, 3, 0)*VLOOKUP($F79, Factor!$Q$4:$V$15, 3, 0)*IF(MOD($G79,10)=0, 10, MOD($G79, 10))*((INDEX(Factor!$X$4:$AC$13, _xlfn.XMATCH($G79, Factor!$X$4:$X$13, 1),3)*IF(MOD(G79, 10) = 0, 10, MOD(G79, 10)))+INDEX(Factor!$AE$4:$AJ$13, _xlfn.XMATCH(MonsterData!$G79, Factor!$AE$4:$AE$13, 1),3))</f>
        <v>10.799999999999999</v>
      </c>
      <c r="W79" s="21" cm="1">
        <f t="array" ref="W79">N79*VLOOKUP($I79, Factor!$B$4:$G$8, 4, 0)*VLOOKUP($J79, Factor!$B$12:$G$13, 4, 0)*VLOOKUP($K79, Factor!$B$17:$G$18, 4, 0)*VLOOKUP($H79, Factor!$J$4:$O$7, 4, 0)*VLOOKUP($F79, Factor!$Q$4:$V$15, 4, 0)*IF(MOD($G79,10)=0, 10, MOD($G79, 10))*((INDEX(Factor!$X$4:$AC$13, _xlfn.XMATCH($G79, Factor!$X$4:$X$13, 1),4)*IF(MOD(G79, 10) = 0, 10, MOD(G79, 10)))+INDEX(Factor!$AE$4:$AJ$13, _xlfn.XMATCH(MonsterData!$G79, Factor!$AE$4:$AE$13, 1),4))</f>
        <v>6.4799999999999995</v>
      </c>
      <c r="X79" s="21" cm="1">
        <f t="array" ref="X79">O79*VLOOKUP($I79, Factor!$B$4:$G$8, 5, 0)*VLOOKUP($J79, Factor!$B$12:$G$13, 5, 0)*VLOOKUP($K79, Factor!$B$17:$G$18, 5, 0)*VLOOKUP($H79, Factor!$J$4:$O$7, 5, 0)*VLOOKUP($F79, Factor!$Q$4:$V$15, 5, 0)*IF(MOD($G79,10)=0, 10, MOD($G79, 10))*((INDEX(Factor!$X$4:$AC$13, _xlfn.XMATCH($G79, Factor!$X$4:$X$13, 1),5)*IF(MOD(G79, 10) = 0, 10, MOD(G79, 10)))+INDEX(Factor!$AE$4:$AJ$13, _xlfn.XMATCH(MonsterData!$G79, Factor!$AE$4:$AE$13, 1),5))</f>
        <v>1.44</v>
      </c>
      <c r="Y79" s="21" cm="1">
        <f t="array" ref="Y79">P79*VLOOKUP($I79, Factor!$B$4:$G$8, 6, 0)*VLOOKUP($J79, Factor!$B$12:$G$13, 6, 0)*VLOOKUP($K79, Factor!$B$17:$G$18, 6, 0)*VLOOKUP($H79, Factor!$J$4:$O$7, 2, 0)*VLOOKUP($F79, Factor!$Q$4:$V$15, 6, 0)*IF(MOD($G79,10)=0, 10, MOD($G79, 10))*((INDEX(Factor!$X$4:$AC$13, _xlfn.XMATCH($G79, Factor!$X$4:$X$13, 1),6)*IF(MOD(G79, 10) = 0, 10, MOD(G79, 10)))+INDEX(Factor!$AE$4:$AJ$13, _xlfn.XMATCH(MonsterData!$G79, Factor!$AE$4:$AE$13, 1),6))</f>
        <v>7.1999999999999993</v>
      </c>
      <c r="Z79" s="21">
        <f>$Q79*VLOOKUP($J79, Factor!$B$12:$H$13, 7, 0)</f>
        <v>1</v>
      </c>
      <c r="AA79" s="13">
        <v>1</v>
      </c>
      <c r="AB79" s="21">
        <f t="shared" si="4"/>
        <v>0</v>
      </c>
      <c r="AC79" s="13" t="s">
        <v>139</v>
      </c>
      <c r="AD79" s="15" t="s">
        <v>387</v>
      </c>
    </row>
    <row r="80" spans="1:30" ht="15.75" customHeight="1">
      <c r="A80" s="16" t="str">
        <f>T80&amp;"_"&amp;F80&amp;VLOOKUP($C80, Factor!$AM$4:$AY$30, 7, 0)&amp;IF(COUNTIFS($C$4:C79, C80, $F$4:F79, F80)+1&gt;=100, COUNTIFS($C$4:C79, C80, $F$4:F79, F80)+1,IF(COUNTIFS($C$4:C79, C80, $F$4:F79, F80)+1&gt;=10, "0"&amp;COUNTIFS($C$4:C79, C80, $F$4:F79, F80)+1, "00"&amp;COUNTIFS($C$4:C79, C80, $F$4:F79, F80)+1))</f>
        <v>enpc_F02_A_Swarmlet_001</v>
      </c>
      <c r="B80" s="16"/>
      <c r="C80" s="16" t="s">
        <v>355</v>
      </c>
      <c r="D80" s="16" t="str">
        <f t="shared" si="8"/>
        <v>스웜렛</v>
      </c>
      <c r="E80" s="17" t="str">
        <f>VLOOKUP($C80, Factor!$AM$4:$AY$30, 8, 0)</f>
        <v>B</v>
      </c>
      <c r="F80" s="17" t="s">
        <v>374</v>
      </c>
      <c r="G80" s="20">
        <v>11</v>
      </c>
      <c r="H80" s="16" t="s">
        <v>56</v>
      </c>
      <c r="I80" s="17" t="str">
        <f>VLOOKUP($C80, Factor!$AM$4:$AY$30, 11, 0)</f>
        <v>A</v>
      </c>
      <c r="J80" s="17" t="str">
        <f>VLOOKUP($C80, Factor!$AM$4:$AY$30, 12, 0)</f>
        <v>ml</v>
      </c>
      <c r="K80" s="17" t="str">
        <f>VLOOKUP($C80, Factor!$AM$4:$AY$30, 13, 0)</f>
        <v>L</v>
      </c>
      <c r="L80" s="17">
        <v>1</v>
      </c>
      <c r="M80" s="17">
        <v>1</v>
      </c>
      <c r="N80" s="17">
        <v>1</v>
      </c>
      <c r="O80" s="17">
        <v>1</v>
      </c>
      <c r="P80" s="17">
        <v>1</v>
      </c>
      <c r="Q80" s="17">
        <v>1</v>
      </c>
      <c r="R80" s="17" t="str">
        <f>VLOOKUP($C80, Factor!$AM$4:$AY$30, 9, 0)</f>
        <v>Small</v>
      </c>
      <c r="S80" s="17" t="s">
        <v>376</v>
      </c>
      <c r="T80" s="17" t="str">
        <f>VLOOKUP($C80, Factor!$AM$4:$AY$30, 10, 0)</f>
        <v>enpc</v>
      </c>
      <c r="U80" s="17" cm="1">
        <f t="array" ref="U80">L80*VLOOKUP($I80, Factor!$B$4:$G$8, 2, 0)*VLOOKUP($J80, Factor!$B$12:$G$13, 2, 0)*VLOOKUP($K80, Factor!$B$17:$G$18, 2, 0)*VLOOKUP($H80, Factor!$J$4:$O$7, 2, 0)*VLOOKUP($F80, Factor!$Q$4:$V$15, 2, 0)*IF(MOD($G80,10)=0, 10, MOD($G80, 10))*((INDEX(Factor!$X$4:$AC$13, _xlfn.XMATCH($G80, Factor!$X$4:$X$13, 1),2)*IF(MOD(G80, 10) = 0, 10, MOD(G80, 10)))+INDEX(Factor!$AE$4:$AJ$13, _xlfn.XMATCH(MonsterData!$G80, Factor!$AE$4:$AE$13, 1),2))</f>
        <v>216</v>
      </c>
      <c r="V80" s="17" cm="1">
        <f t="array" ref="V80">M80*VLOOKUP($I80, Factor!$B$4:$G$8, 3, 0)*VLOOKUP($J80, Factor!$B$12:$G$13, 3, 0)*VLOOKUP($K80, Factor!$B$17:$G$18, 3, 0)*VLOOKUP($H80, Factor!$J$4:$O$7, 3, 0)*VLOOKUP($F80, Factor!$Q$4:$V$15, 3, 0)*IF(MOD($G80,10)=0, 10, MOD($G80, 10))*((INDEX(Factor!$X$4:$AC$13, _xlfn.XMATCH($G80, Factor!$X$4:$X$13, 1),3)*IF(MOD(G80, 10) = 0, 10, MOD(G80, 10)))+INDEX(Factor!$AE$4:$AJ$13, _xlfn.XMATCH(MonsterData!$G80, Factor!$AE$4:$AE$13, 1),3))</f>
        <v>10.799999999999999</v>
      </c>
      <c r="W80" s="17" cm="1">
        <f t="array" ref="W80">N80*VLOOKUP($I80, Factor!$B$4:$G$8, 4, 0)*VLOOKUP($J80, Factor!$B$12:$G$13, 4, 0)*VLOOKUP($K80, Factor!$B$17:$G$18, 4, 0)*VLOOKUP($H80, Factor!$J$4:$O$7, 4, 0)*VLOOKUP($F80, Factor!$Q$4:$V$15, 4, 0)*IF(MOD($G80,10)=0, 10, MOD($G80, 10))*((INDEX(Factor!$X$4:$AC$13, _xlfn.XMATCH($G80, Factor!$X$4:$X$13, 1),4)*IF(MOD(G80, 10) = 0, 10, MOD(G80, 10)))+INDEX(Factor!$AE$4:$AJ$13, _xlfn.XMATCH(MonsterData!$G80, Factor!$AE$4:$AE$13, 1),4))</f>
        <v>12.959999999999999</v>
      </c>
      <c r="X80" s="17" cm="1">
        <f t="array" ref="X80">O80*VLOOKUP($I80, Factor!$B$4:$G$8, 5, 0)*VLOOKUP($J80, Factor!$B$12:$G$13, 5, 0)*VLOOKUP($K80, Factor!$B$17:$G$18, 5, 0)*VLOOKUP($H80, Factor!$J$4:$O$7, 5, 0)*VLOOKUP($F80, Factor!$Q$4:$V$15, 5, 0)*IF(MOD($G80,10)=0, 10, MOD($G80, 10))*((INDEX(Factor!$X$4:$AC$13, _xlfn.XMATCH($G80, Factor!$X$4:$X$13, 1),5)*IF(MOD(G80, 10) = 0, 10, MOD(G80, 10)))+INDEX(Factor!$AE$4:$AJ$13, _xlfn.XMATCH(MonsterData!$G80, Factor!$AE$4:$AE$13, 1),5))</f>
        <v>1.296</v>
      </c>
      <c r="Y80" s="17" cm="1">
        <f t="array" ref="Y80">P80*VLOOKUP($I80, Factor!$B$4:$G$8, 6, 0)*VLOOKUP($J80, Factor!$B$12:$G$13, 6, 0)*VLOOKUP($K80, Factor!$B$17:$G$18, 6, 0)*VLOOKUP($H80, Factor!$J$4:$O$7, 2, 0)*VLOOKUP($F80, Factor!$Q$4:$V$15, 6, 0)*IF(MOD($G80,10)=0, 10, MOD($G80, 10))*((INDEX(Factor!$X$4:$AC$13, _xlfn.XMATCH($G80, Factor!$X$4:$X$13, 1),6)*IF(MOD(G80, 10) = 0, 10, MOD(G80, 10)))+INDEX(Factor!$AE$4:$AJ$13, _xlfn.XMATCH(MonsterData!$G80, Factor!$AE$4:$AE$13, 1),6))</f>
        <v>7.1999999999999993</v>
      </c>
      <c r="Z80" s="17">
        <f>$Q80*VLOOKUP($J80, Factor!$B$12:$H$13, 7, 0)</f>
        <v>1</v>
      </c>
      <c r="AA80" s="17">
        <v>1</v>
      </c>
      <c r="AB80" s="17">
        <f t="shared" si="4"/>
        <v>0</v>
      </c>
      <c r="AC80" s="17" t="s">
        <v>139</v>
      </c>
      <c r="AD80" s="19" t="s">
        <v>387</v>
      </c>
    </row>
    <row r="81" spans="1:30" ht="15.75" customHeight="1">
      <c r="A81" s="13" t="str">
        <f>T81&amp;"_"&amp;F81&amp;VLOOKUP($C81, Factor!$AM$4:$AY$30, 7, 0)&amp;IF(COUNTIFS($C$4:C80, C81, $F$4:F80, F81)+1&gt;=100, COUNTIFS($C$4:C80, C81, $F$4:F80, F81)+1,IF(COUNTIFS($C$4:C80, C81, $F$4:F80, F81)+1&gt;=10, "0"&amp;COUNTIFS($C$4:C80, C81, $F$4:F80, F81)+1, "00"&amp;COUNTIFS($C$4:C80, C81, $F$4:F80, F81)+1))</f>
        <v>enpc_F02_A_Mantis_001</v>
      </c>
      <c r="B81" s="13"/>
      <c r="C81" s="13" t="s">
        <v>357</v>
      </c>
      <c r="D81" s="13" t="str">
        <f t="shared" si="8"/>
        <v>맨티스</v>
      </c>
      <c r="E81" s="21" t="str">
        <f>VLOOKUP($C81, Factor!$AM$4:$AY$30, 8, 0)</f>
        <v>S</v>
      </c>
      <c r="F81" s="21" t="s">
        <v>374</v>
      </c>
      <c r="G81" s="22">
        <v>11</v>
      </c>
      <c r="H81" s="13" t="s">
        <v>55</v>
      </c>
      <c r="I81" s="21" t="str">
        <f>VLOOKUP($C81, Factor!$AM$4:$AY$30, 11, 0)</f>
        <v>A</v>
      </c>
      <c r="J81" s="21" t="str">
        <f>VLOOKUP($C81, Factor!$AM$4:$AY$30, 12, 0)</f>
        <v>ml</v>
      </c>
      <c r="K81" s="21" t="str">
        <f>VLOOKUP($C81, Factor!$AM$4:$AY$30, 13, 0)</f>
        <v>L</v>
      </c>
      <c r="L81" s="13">
        <v>1</v>
      </c>
      <c r="M81" s="13">
        <v>1</v>
      </c>
      <c r="N81" s="13">
        <v>1</v>
      </c>
      <c r="O81" s="13">
        <v>1</v>
      </c>
      <c r="P81" s="13">
        <v>1</v>
      </c>
      <c r="Q81" s="13">
        <v>1</v>
      </c>
      <c r="R81" s="21" t="str">
        <f>VLOOKUP($C81, Factor!$AM$4:$AY$30, 9, 0)</f>
        <v>Small</v>
      </c>
      <c r="S81" s="13" t="s">
        <v>400</v>
      </c>
      <c r="T81" s="21" t="str">
        <f>VLOOKUP($C81, Factor!$AM$4:$AY$30, 10, 0)</f>
        <v>enpc</v>
      </c>
      <c r="U81" s="21" cm="1">
        <f t="array" ref="U81">L81*VLOOKUP($I81, Factor!$B$4:$G$8, 2, 0)*VLOOKUP($J81, Factor!$B$12:$G$13, 2, 0)*VLOOKUP($K81, Factor!$B$17:$G$18, 2, 0)*VLOOKUP($H81, Factor!$J$4:$O$7, 2, 0)*VLOOKUP($F81, Factor!$Q$4:$V$15, 2, 0)*IF(MOD($G81,10)=0, 10, MOD($G81, 10))*((INDEX(Factor!$X$4:$AC$13, _xlfn.XMATCH($G81, Factor!$X$4:$X$13, 1),2)*IF(MOD(G81, 10) = 0, 10, MOD(G81, 10)))+INDEX(Factor!$AE$4:$AJ$13, _xlfn.XMATCH(MonsterData!$G81, Factor!$AE$4:$AE$13, 1),2))</f>
        <v>216</v>
      </c>
      <c r="V81" s="21" cm="1">
        <f t="array" ref="V81">M81*VLOOKUP($I81, Factor!$B$4:$G$8, 3, 0)*VLOOKUP($J81, Factor!$B$12:$G$13, 3, 0)*VLOOKUP($K81, Factor!$B$17:$G$18, 3, 0)*VLOOKUP($H81, Factor!$J$4:$O$7, 3, 0)*VLOOKUP($F81, Factor!$Q$4:$V$15, 3, 0)*IF(MOD($G81,10)=0, 10, MOD($G81, 10))*((INDEX(Factor!$X$4:$AC$13, _xlfn.XMATCH($G81, Factor!$X$4:$X$13, 1),3)*IF(MOD(G81, 10) = 0, 10, MOD(G81, 10)))+INDEX(Factor!$AE$4:$AJ$13, _xlfn.XMATCH(MonsterData!$G81, Factor!$AE$4:$AE$13, 1),3))</f>
        <v>10.799999999999999</v>
      </c>
      <c r="W81" s="21" cm="1">
        <f t="array" ref="W81">N81*VLOOKUP($I81, Factor!$B$4:$G$8, 4, 0)*VLOOKUP($J81, Factor!$B$12:$G$13, 4, 0)*VLOOKUP($K81, Factor!$B$17:$G$18, 4, 0)*VLOOKUP($H81, Factor!$J$4:$O$7, 4, 0)*VLOOKUP($F81, Factor!$Q$4:$V$15, 4, 0)*IF(MOD($G81,10)=0, 10, MOD($G81, 10))*((INDEX(Factor!$X$4:$AC$13, _xlfn.XMATCH($G81, Factor!$X$4:$X$13, 1),4)*IF(MOD(G81, 10) = 0, 10, MOD(G81, 10)))+INDEX(Factor!$AE$4:$AJ$13, _xlfn.XMATCH(MonsterData!$G81, Factor!$AE$4:$AE$13, 1),4))</f>
        <v>6.4799999999999995</v>
      </c>
      <c r="X81" s="21" cm="1">
        <f t="array" ref="X81">O81*VLOOKUP($I81, Factor!$B$4:$G$8, 5, 0)*VLOOKUP($J81, Factor!$B$12:$G$13, 5, 0)*VLOOKUP($K81, Factor!$B$17:$G$18, 5, 0)*VLOOKUP($H81, Factor!$J$4:$O$7, 5, 0)*VLOOKUP($F81, Factor!$Q$4:$V$15, 5, 0)*IF(MOD($G81,10)=0, 10, MOD($G81, 10))*((INDEX(Factor!$X$4:$AC$13, _xlfn.XMATCH($G81, Factor!$X$4:$X$13, 1),5)*IF(MOD(G81, 10) = 0, 10, MOD(G81, 10)))+INDEX(Factor!$AE$4:$AJ$13, _xlfn.XMATCH(MonsterData!$G81, Factor!$AE$4:$AE$13, 1),5))</f>
        <v>1.44</v>
      </c>
      <c r="Y81" s="21" cm="1">
        <f t="array" ref="Y81">P81*VLOOKUP($I81, Factor!$B$4:$G$8, 6, 0)*VLOOKUP($J81, Factor!$B$12:$G$13, 6, 0)*VLOOKUP($K81, Factor!$B$17:$G$18, 6, 0)*VLOOKUP($H81, Factor!$J$4:$O$7, 2, 0)*VLOOKUP($F81, Factor!$Q$4:$V$15, 6, 0)*IF(MOD($G81,10)=0, 10, MOD($G81, 10))*((INDEX(Factor!$X$4:$AC$13, _xlfn.XMATCH($G81, Factor!$X$4:$X$13, 1),6)*IF(MOD(G81, 10) = 0, 10, MOD(G81, 10)))+INDEX(Factor!$AE$4:$AJ$13, _xlfn.XMATCH(MonsterData!$G81, Factor!$AE$4:$AE$13, 1),6))</f>
        <v>7.1999999999999993</v>
      </c>
      <c r="Z81" s="21">
        <f>$Q81*VLOOKUP($J81, Factor!$B$12:$H$13, 7, 0)</f>
        <v>1</v>
      </c>
      <c r="AA81" s="13">
        <v>1</v>
      </c>
      <c r="AB81" s="21">
        <f t="shared" si="4"/>
        <v>0</v>
      </c>
      <c r="AC81" s="13" t="s">
        <v>139</v>
      </c>
      <c r="AD81" s="15" t="s">
        <v>387</v>
      </c>
    </row>
    <row r="82" spans="1:30" ht="15.75" customHeight="1">
      <c r="A82" s="16" t="str">
        <f>T82&amp;"_"&amp;F82&amp;VLOOKUP($C82, Factor!$AM$4:$AY$30, 7, 0)&amp;IF(COUNTIFS($C$4:C81, C82, $F$4:F81, F82)+1&gt;=100, COUNTIFS($C$4:C81, C82, $F$4:F81, F82)+1,IF(COUNTIFS($C$4:C81, C82, $F$4:F81, F82)+1&gt;=10, "0"&amp;COUNTIFS($C$4:C81, C82, $F$4:F81, F82)+1, "00"&amp;COUNTIFS($C$4:C81, C82, $F$4:F81, F82)+1))</f>
        <v>enpc_F02_B_Kobold_001</v>
      </c>
      <c r="B82" s="16"/>
      <c r="C82" s="16" t="s">
        <v>359</v>
      </c>
      <c r="D82" s="16" t="str">
        <f t="shared" si="8"/>
        <v>코볼트</v>
      </c>
      <c r="E82" s="17" t="str">
        <f>VLOOKUP($C82, Factor!$AM$4:$AY$30, 8, 0)</f>
        <v>M</v>
      </c>
      <c r="F82" s="17" t="s">
        <v>374</v>
      </c>
      <c r="G82" s="20">
        <v>20</v>
      </c>
      <c r="H82" s="16" t="s">
        <v>56</v>
      </c>
      <c r="I82" s="17" t="str">
        <f>VLOOKUP($C82, Factor!$AM$4:$AY$30, 11, 0)</f>
        <v>B</v>
      </c>
      <c r="J82" s="17" t="str">
        <f>VLOOKUP($C82, Factor!$AM$4:$AY$30, 12, 0)</f>
        <v>ml</v>
      </c>
      <c r="K82" s="17" t="str">
        <f>VLOOKUP($C82, Factor!$AM$4:$AY$30, 13, 0)</f>
        <v>L</v>
      </c>
      <c r="L82" s="17">
        <v>1</v>
      </c>
      <c r="M82" s="17">
        <v>1</v>
      </c>
      <c r="N82" s="17">
        <v>1</v>
      </c>
      <c r="O82" s="17">
        <v>1</v>
      </c>
      <c r="P82" s="17">
        <v>1</v>
      </c>
      <c r="Q82" s="17">
        <v>1</v>
      </c>
      <c r="R82" s="17" t="str">
        <f>VLOOKUP($C82, Factor!$AM$4:$AY$30, 9, 0)</f>
        <v>Small</v>
      </c>
      <c r="S82" s="17" t="s">
        <v>378</v>
      </c>
      <c r="T82" s="17" t="str">
        <f>VLOOKUP($C82, Factor!$AM$4:$AY$30, 10, 0)</f>
        <v>enpc</v>
      </c>
      <c r="U82" s="17" cm="1">
        <f t="array" ref="U82">L82*VLOOKUP($I82, Factor!$B$4:$G$8, 2, 0)*VLOOKUP($J82, Factor!$B$12:$G$13, 2, 0)*VLOOKUP($K82, Factor!$B$17:$G$18, 2, 0)*VLOOKUP($H82, Factor!$J$4:$O$7, 2, 0)*VLOOKUP($F82, Factor!$Q$4:$V$15, 2, 0)*IF(MOD($G82,10)=0, 10, MOD($G82, 10))*((INDEX(Factor!$X$4:$AC$13, _xlfn.XMATCH($G82, Factor!$X$4:$X$13, 1),2)*IF(MOD(G82, 10) = 0, 10, MOD(G82, 10)))+INDEX(Factor!$AE$4:$AJ$13, _xlfn.XMATCH(MonsterData!$G82, Factor!$AE$4:$AE$13, 1),2))</f>
        <v>27000</v>
      </c>
      <c r="V82" s="17" cm="1">
        <f t="array" ref="V82">M82*VLOOKUP($I82, Factor!$B$4:$G$8, 3, 0)*VLOOKUP($J82, Factor!$B$12:$G$13, 3, 0)*VLOOKUP($K82, Factor!$B$17:$G$18, 3, 0)*VLOOKUP($H82, Factor!$J$4:$O$7, 3, 0)*VLOOKUP($F82, Factor!$Q$4:$V$15, 3, 0)*IF(MOD($G82,10)=0, 10, MOD($G82, 10))*((INDEX(Factor!$X$4:$AC$13, _xlfn.XMATCH($G82, Factor!$X$4:$X$13, 1),3)*IF(MOD(G82, 10) = 0, 10, MOD(G82, 10)))+INDEX(Factor!$AE$4:$AJ$13, _xlfn.XMATCH(MonsterData!$G82, Factor!$AE$4:$AE$13, 1),3))</f>
        <v>1350</v>
      </c>
      <c r="W82" s="17" cm="1">
        <f t="array" ref="W82">N82*VLOOKUP($I82, Factor!$B$4:$G$8, 4, 0)*VLOOKUP($J82, Factor!$B$12:$G$13, 4, 0)*VLOOKUP($K82, Factor!$B$17:$G$18, 4, 0)*VLOOKUP($H82, Factor!$J$4:$O$7, 4, 0)*VLOOKUP($F82, Factor!$Q$4:$V$15, 4, 0)*IF(MOD($G82,10)=0, 10, MOD($G82, 10))*((INDEX(Factor!$X$4:$AC$13, _xlfn.XMATCH($G82, Factor!$X$4:$X$13, 1),4)*IF(MOD(G82, 10) = 0, 10, MOD(G82, 10)))+INDEX(Factor!$AE$4:$AJ$13, _xlfn.XMATCH(MonsterData!$G82, Factor!$AE$4:$AE$13, 1),4))</f>
        <v>2700</v>
      </c>
      <c r="X82" s="17" cm="1">
        <f t="array" ref="X82">O82*VLOOKUP($I82, Factor!$B$4:$G$8, 5, 0)*VLOOKUP($J82, Factor!$B$12:$G$13, 5, 0)*VLOOKUP($K82, Factor!$B$17:$G$18, 5, 0)*VLOOKUP($H82, Factor!$J$4:$O$7, 5, 0)*VLOOKUP($F82, Factor!$Q$4:$V$15, 5, 0)*IF(MOD($G82,10)=0, 10, MOD($G82, 10))*((INDEX(Factor!$X$4:$AC$13, _xlfn.XMATCH($G82, Factor!$X$4:$X$13, 1),5)*IF(MOD(G82, 10) = 0, 10, MOD(G82, 10)))+INDEX(Factor!$AE$4:$AJ$13, _xlfn.XMATCH(MonsterData!$G82, Factor!$AE$4:$AE$13, 1),5))</f>
        <v>64.800000000000011</v>
      </c>
      <c r="Y82" s="17" cm="1">
        <f t="array" ref="Y82">P82*VLOOKUP($I82, Factor!$B$4:$G$8, 6, 0)*VLOOKUP($J82, Factor!$B$12:$G$13, 6, 0)*VLOOKUP($K82, Factor!$B$17:$G$18, 6, 0)*VLOOKUP($H82, Factor!$J$4:$O$7, 2, 0)*VLOOKUP($F82, Factor!$Q$4:$V$15, 6, 0)*IF(MOD($G82,10)=0, 10, MOD($G82, 10))*((INDEX(Factor!$X$4:$AC$13, _xlfn.XMATCH($G82, Factor!$X$4:$X$13, 1),6)*IF(MOD(G82, 10) = 0, 10, MOD(G82, 10)))+INDEX(Factor!$AE$4:$AJ$13, _xlfn.XMATCH(MonsterData!$G82, Factor!$AE$4:$AE$13, 1),6))</f>
        <v>144</v>
      </c>
      <c r="Z82" s="17">
        <f>$Q82*VLOOKUP($J82, Factor!$B$12:$H$13, 7, 0)</f>
        <v>1</v>
      </c>
      <c r="AA82" s="17">
        <v>1</v>
      </c>
      <c r="AB82" s="17">
        <f t="shared" si="4"/>
        <v>0</v>
      </c>
      <c r="AC82" s="17" t="s">
        <v>393</v>
      </c>
      <c r="AD82" s="19" t="s">
        <v>388</v>
      </c>
    </row>
    <row r="83" spans="1:30" ht="15.75" customHeight="1">
      <c r="A83" s="13" t="str">
        <f>T83&amp;"_"&amp;F83&amp;VLOOKUP($C83, Factor!$AM$4:$AY$30, 7, 0)&amp;IF(COUNTIFS($C$4:C82, C83, $F$4:F82, F83)+1&gt;=100, COUNTIFS($C$4:C82, C83, $F$4:F82, F83)+1,IF(COUNTIFS($C$4:C82, C83, $F$4:F82, F83)+1&gt;=10, "0"&amp;COUNTIFS($C$4:C82, C83, $F$4:F82, F83)+1, "00"&amp;COUNTIFS($C$4:C82, C83, $F$4:F82, F83)+1))</f>
        <v>enpc_F02_B_Ghoul_001</v>
      </c>
      <c r="B83" s="13"/>
      <c r="C83" s="13" t="s">
        <v>361</v>
      </c>
      <c r="D83" s="13" t="str">
        <f t="shared" si="8"/>
        <v>구울</v>
      </c>
      <c r="E83" s="21" t="str">
        <f>VLOOKUP($C83, Factor!$AM$4:$AY$30, 8, 0)</f>
        <v>M</v>
      </c>
      <c r="F83" s="21" t="s">
        <v>374</v>
      </c>
      <c r="G83" s="22">
        <v>20</v>
      </c>
      <c r="H83" s="13" t="s">
        <v>55</v>
      </c>
      <c r="I83" s="21" t="str">
        <f>VLOOKUP($C83, Factor!$AM$4:$AY$30, 11, 0)</f>
        <v>B</v>
      </c>
      <c r="J83" s="21" t="str">
        <f>VLOOKUP($C83, Factor!$AM$4:$AY$30, 12, 0)</f>
        <v>ml</v>
      </c>
      <c r="K83" s="21" t="str">
        <f>VLOOKUP($C83, Factor!$AM$4:$AY$30, 13, 0)</f>
        <v>L</v>
      </c>
      <c r="L83" s="13">
        <v>1</v>
      </c>
      <c r="M83" s="13">
        <v>1</v>
      </c>
      <c r="N83" s="13">
        <v>1</v>
      </c>
      <c r="O83" s="13">
        <v>1</v>
      </c>
      <c r="P83" s="13">
        <v>1</v>
      </c>
      <c r="Q83" s="13">
        <v>1</v>
      </c>
      <c r="R83" s="21" t="str">
        <f>VLOOKUP($C83, Factor!$AM$4:$AY$30, 9, 0)</f>
        <v>Midium</v>
      </c>
      <c r="S83" s="13" t="s">
        <v>401</v>
      </c>
      <c r="T83" s="21" t="str">
        <f>VLOOKUP($C83, Factor!$AM$4:$AY$30, 10, 0)</f>
        <v>enpc</v>
      </c>
      <c r="U83" s="21" cm="1">
        <f t="array" ref="U83">L83*VLOOKUP($I83, Factor!$B$4:$G$8, 2, 0)*VLOOKUP($J83, Factor!$B$12:$G$13, 2, 0)*VLOOKUP($K83, Factor!$B$17:$G$18, 2, 0)*VLOOKUP($H83, Factor!$J$4:$O$7, 2, 0)*VLOOKUP($F83, Factor!$Q$4:$V$15, 2, 0)*IF(MOD($G83,10)=0, 10, MOD($G83, 10))*((INDEX(Factor!$X$4:$AC$13, _xlfn.XMATCH($G83, Factor!$X$4:$X$13, 1),2)*IF(MOD(G83, 10) = 0, 10, MOD(G83, 10)))+INDEX(Factor!$AE$4:$AJ$13, _xlfn.XMATCH(MonsterData!$G83, Factor!$AE$4:$AE$13, 1),2))</f>
        <v>27000</v>
      </c>
      <c r="V83" s="21" cm="1">
        <f t="array" ref="V83">M83*VLOOKUP($I83, Factor!$B$4:$G$8, 3, 0)*VLOOKUP($J83, Factor!$B$12:$G$13, 3, 0)*VLOOKUP($K83, Factor!$B$17:$G$18, 3, 0)*VLOOKUP($H83, Factor!$J$4:$O$7, 3, 0)*VLOOKUP($F83, Factor!$Q$4:$V$15, 3, 0)*IF(MOD($G83,10)=0, 10, MOD($G83, 10))*((INDEX(Factor!$X$4:$AC$13, _xlfn.XMATCH($G83, Factor!$X$4:$X$13, 1),3)*IF(MOD(G83, 10) = 0, 10, MOD(G83, 10)))+INDEX(Factor!$AE$4:$AJ$13, _xlfn.XMATCH(MonsterData!$G83, Factor!$AE$4:$AE$13, 1),3))</f>
        <v>1350</v>
      </c>
      <c r="W83" s="21" cm="1">
        <f t="array" ref="W83">N83*VLOOKUP($I83, Factor!$B$4:$G$8, 4, 0)*VLOOKUP($J83, Factor!$B$12:$G$13, 4, 0)*VLOOKUP($K83, Factor!$B$17:$G$18, 4, 0)*VLOOKUP($H83, Factor!$J$4:$O$7, 4, 0)*VLOOKUP($F83, Factor!$Q$4:$V$15, 4, 0)*IF(MOD($G83,10)=0, 10, MOD($G83, 10))*((INDEX(Factor!$X$4:$AC$13, _xlfn.XMATCH($G83, Factor!$X$4:$X$13, 1),4)*IF(MOD(G83, 10) = 0, 10, MOD(G83, 10)))+INDEX(Factor!$AE$4:$AJ$13, _xlfn.XMATCH(MonsterData!$G83, Factor!$AE$4:$AE$13, 1),4))</f>
        <v>1350</v>
      </c>
      <c r="X83" s="21" cm="1">
        <f t="array" ref="X83">O83*VLOOKUP($I83, Factor!$B$4:$G$8, 5, 0)*VLOOKUP($J83, Factor!$B$12:$G$13, 5, 0)*VLOOKUP($K83, Factor!$B$17:$G$18, 5, 0)*VLOOKUP($H83, Factor!$J$4:$O$7, 5, 0)*VLOOKUP($F83, Factor!$Q$4:$V$15, 5, 0)*IF(MOD($G83,10)=0, 10, MOD($G83, 10))*((INDEX(Factor!$X$4:$AC$13, _xlfn.XMATCH($G83, Factor!$X$4:$X$13, 1),5)*IF(MOD(G83, 10) = 0, 10, MOD(G83, 10)))+INDEX(Factor!$AE$4:$AJ$13, _xlfn.XMATCH(MonsterData!$G83, Factor!$AE$4:$AE$13, 1),5))</f>
        <v>72</v>
      </c>
      <c r="Y83" s="21" cm="1">
        <f t="array" ref="Y83">P83*VLOOKUP($I83, Factor!$B$4:$G$8, 6, 0)*VLOOKUP($J83, Factor!$B$12:$G$13, 6, 0)*VLOOKUP($K83, Factor!$B$17:$G$18, 6, 0)*VLOOKUP($H83, Factor!$J$4:$O$7, 2, 0)*VLOOKUP($F83, Factor!$Q$4:$V$15, 6, 0)*IF(MOD($G83,10)=0, 10, MOD($G83, 10))*((INDEX(Factor!$X$4:$AC$13, _xlfn.XMATCH($G83, Factor!$X$4:$X$13, 1),6)*IF(MOD(G83, 10) = 0, 10, MOD(G83, 10)))+INDEX(Factor!$AE$4:$AJ$13, _xlfn.XMATCH(MonsterData!$G83, Factor!$AE$4:$AE$13, 1),6))</f>
        <v>144</v>
      </c>
      <c r="Z83" s="21">
        <f>$Q83*VLOOKUP($J83, Factor!$B$12:$H$13, 7, 0)</f>
        <v>1</v>
      </c>
      <c r="AA83" s="13">
        <v>1</v>
      </c>
      <c r="AB83" s="21">
        <f t="shared" si="4"/>
        <v>0</v>
      </c>
      <c r="AC83" s="13" t="s">
        <v>394</v>
      </c>
      <c r="AD83" s="15" t="s">
        <v>389</v>
      </c>
    </row>
    <row r="84" spans="1:30" ht="15.75" customHeight="1">
      <c r="A84" s="16" t="str">
        <f>T84&amp;"_"&amp;F84&amp;VLOOKUP($C84, Factor!$AM$4:$AY$30, 7, 0)&amp;IF(COUNTIFS($C$4:C83, C84, $F$4:F83, F84)+1&gt;=100, COUNTIFS($C$4:C83, C84, $F$4:F83, F84)+1,IF(COUNTIFS($C$4:C83, C84, $F$4:F83, F84)+1&gt;=10, "0"&amp;COUNTIFS($C$4:C83, C84, $F$4:F83, F84)+1, "00"&amp;COUNTIFS($C$4:C83, C84, $F$4:F83, F84)+1))</f>
        <v>enpc_F02_B_Gorgon_001</v>
      </c>
      <c r="B84" s="16"/>
      <c r="C84" s="16" t="s">
        <v>363</v>
      </c>
      <c r="D84" s="16" t="str">
        <f t="shared" si="8"/>
        <v>고르곤</v>
      </c>
      <c r="E84" s="17" t="str">
        <f>VLOOKUP($C84, Factor!$AM$4:$AY$30, 8, 0)</f>
        <v>B</v>
      </c>
      <c r="F84" s="17" t="s">
        <v>374</v>
      </c>
      <c r="G84" s="20">
        <v>20</v>
      </c>
      <c r="H84" s="16" t="s">
        <v>56</v>
      </c>
      <c r="I84" s="17" t="str">
        <f>VLOOKUP($C84, Factor!$AM$4:$AY$30, 11, 0)</f>
        <v>B</v>
      </c>
      <c r="J84" s="17" t="str">
        <f>VLOOKUP($C84, Factor!$AM$4:$AY$30, 12, 0)</f>
        <v>ml</v>
      </c>
      <c r="K84" s="17" t="str">
        <f>VLOOKUP($C84, Factor!$AM$4:$AY$30, 13, 0)</f>
        <v>L</v>
      </c>
      <c r="L84" s="17">
        <v>1</v>
      </c>
      <c r="M84" s="17">
        <v>1</v>
      </c>
      <c r="N84" s="17">
        <v>1</v>
      </c>
      <c r="O84" s="17">
        <v>1</v>
      </c>
      <c r="P84" s="17">
        <v>1</v>
      </c>
      <c r="Q84" s="17">
        <v>1</v>
      </c>
      <c r="R84" s="17" t="str">
        <f>VLOOKUP($C84, Factor!$AM$4:$AY$30, 9, 0)</f>
        <v>Midium</v>
      </c>
      <c r="S84" s="17" t="s">
        <v>380</v>
      </c>
      <c r="T84" s="17" t="str">
        <f>VLOOKUP($C84, Factor!$AM$4:$AY$30, 10, 0)</f>
        <v>enpc</v>
      </c>
      <c r="U84" s="17" cm="1">
        <f t="array" ref="U84">L84*VLOOKUP($I84, Factor!$B$4:$G$8, 2, 0)*VLOOKUP($J84, Factor!$B$12:$G$13, 2, 0)*VLOOKUP($K84, Factor!$B$17:$G$18, 2, 0)*VLOOKUP($H84, Factor!$J$4:$O$7, 2, 0)*VLOOKUP($F84, Factor!$Q$4:$V$15, 2, 0)*IF(MOD($G84,10)=0, 10, MOD($G84, 10))*((INDEX(Factor!$X$4:$AC$13, _xlfn.XMATCH($G84, Factor!$X$4:$X$13, 1),2)*IF(MOD(G84, 10) = 0, 10, MOD(G84, 10)))+INDEX(Factor!$AE$4:$AJ$13, _xlfn.XMATCH(MonsterData!$G84, Factor!$AE$4:$AE$13, 1),2))</f>
        <v>27000</v>
      </c>
      <c r="V84" s="17" cm="1">
        <f t="array" ref="V84">M84*VLOOKUP($I84, Factor!$B$4:$G$8, 3, 0)*VLOOKUP($J84, Factor!$B$12:$G$13, 3, 0)*VLOOKUP($K84, Factor!$B$17:$G$18, 3, 0)*VLOOKUP($H84, Factor!$J$4:$O$7, 3, 0)*VLOOKUP($F84, Factor!$Q$4:$V$15, 3, 0)*IF(MOD($G84,10)=0, 10, MOD($G84, 10))*((INDEX(Factor!$X$4:$AC$13, _xlfn.XMATCH($G84, Factor!$X$4:$X$13, 1),3)*IF(MOD(G84, 10) = 0, 10, MOD(G84, 10)))+INDEX(Factor!$AE$4:$AJ$13, _xlfn.XMATCH(MonsterData!$G84, Factor!$AE$4:$AE$13, 1),3))</f>
        <v>1350</v>
      </c>
      <c r="W84" s="17" cm="1">
        <f t="array" ref="W84">N84*VLOOKUP($I84, Factor!$B$4:$G$8, 4, 0)*VLOOKUP($J84, Factor!$B$12:$G$13, 4, 0)*VLOOKUP($K84, Factor!$B$17:$G$18, 4, 0)*VLOOKUP($H84, Factor!$J$4:$O$7, 4, 0)*VLOOKUP($F84, Factor!$Q$4:$V$15, 4, 0)*IF(MOD($G84,10)=0, 10, MOD($G84, 10))*((INDEX(Factor!$X$4:$AC$13, _xlfn.XMATCH($G84, Factor!$X$4:$X$13, 1),4)*IF(MOD(G84, 10) = 0, 10, MOD(G84, 10)))+INDEX(Factor!$AE$4:$AJ$13, _xlfn.XMATCH(MonsterData!$G84, Factor!$AE$4:$AE$13, 1),4))</f>
        <v>2700</v>
      </c>
      <c r="X84" s="17" cm="1">
        <f t="array" ref="X84">O84*VLOOKUP($I84, Factor!$B$4:$G$8, 5, 0)*VLOOKUP($J84, Factor!$B$12:$G$13, 5, 0)*VLOOKUP($K84, Factor!$B$17:$G$18, 5, 0)*VLOOKUP($H84, Factor!$J$4:$O$7, 5, 0)*VLOOKUP($F84, Factor!$Q$4:$V$15, 5, 0)*IF(MOD($G84,10)=0, 10, MOD($G84, 10))*((INDEX(Factor!$X$4:$AC$13, _xlfn.XMATCH($G84, Factor!$X$4:$X$13, 1),5)*IF(MOD(G84, 10) = 0, 10, MOD(G84, 10)))+INDEX(Factor!$AE$4:$AJ$13, _xlfn.XMATCH(MonsterData!$G84, Factor!$AE$4:$AE$13, 1),5))</f>
        <v>64.800000000000011</v>
      </c>
      <c r="Y84" s="17" cm="1">
        <f t="array" ref="Y84">P84*VLOOKUP($I84, Factor!$B$4:$G$8, 6, 0)*VLOOKUP($J84, Factor!$B$12:$G$13, 6, 0)*VLOOKUP($K84, Factor!$B$17:$G$18, 6, 0)*VLOOKUP($H84, Factor!$J$4:$O$7, 2, 0)*VLOOKUP($F84, Factor!$Q$4:$V$15, 6, 0)*IF(MOD($G84,10)=0, 10, MOD($G84, 10))*((INDEX(Factor!$X$4:$AC$13, _xlfn.XMATCH($G84, Factor!$X$4:$X$13, 1),6)*IF(MOD(G84, 10) = 0, 10, MOD(G84, 10)))+INDEX(Factor!$AE$4:$AJ$13, _xlfn.XMATCH(MonsterData!$G84, Factor!$AE$4:$AE$13, 1),6))</f>
        <v>144</v>
      </c>
      <c r="Z84" s="17">
        <f>$Q84*VLOOKUP($J84, Factor!$B$12:$H$13, 7, 0)</f>
        <v>1</v>
      </c>
      <c r="AA84" s="17">
        <v>1</v>
      </c>
      <c r="AB84" s="17">
        <f t="shared" si="4"/>
        <v>0</v>
      </c>
      <c r="AC84" s="17" t="s">
        <v>395</v>
      </c>
      <c r="AD84" s="19" t="s">
        <v>390</v>
      </c>
    </row>
    <row r="85" spans="1:30" ht="15.75" customHeight="1">
      <c r="A85" s="13" t="str">
        <f>T85&amp;"_"&amp;F85&amp;VLOOKUP($C85, Factor!$AM$4:$AY$30, 7, 0)&amp;IF(COUNTIFS($C$4:C84, C85, $F$4:F84, F85)+1&gt;=100, COUNTIFS($C$4:C84, C85, $F$4:F84, F85)+1,IF(COUNTIFS($C$4:C84, C85, $F$4:F84, F85)+1&gt;=10, "0"&amp;COUNTIFS($C$4:C84, C85, $F$4:F84, F85)+1, "00"&amp;COUNTIFS($C$4:C84, C85, $F$4:F84, F85)+1))</f>
        <v>enpc_F02_B_Gargoyle_001</v>
      </c>
      <c r="B85" s="13"/>
      <c r="C85" s="13" t="s">
        <v>365</v>
      </c>
      <c r="D85" s="13" t="str">
        <f t="shared" si="8"/>
        <v>가고일</v>
      </c>
      <c r="E85" s="21" t="str">
        <f>VLOOKUP($C85, Factor!$AM$4:$AY$30, 8, 0)</f>
        <v>B</v>
      </c>
      <c r="F85" s="21" t="s">
        <v>374</v>
      </c>
      <c r="G85" s="22">
        <v>20</v>
      </c>
      <c r="H85" s="13" t="s">
        <v>55</v>
      </c>
      <c r="I85" s="21" t="str">
        <f>VLOOKUP($C85, Factor!$AM$4:$AY$30, 11, 0)</f>
        <v>B</v>
      </c>
      <c r="J85" s="21" t="str">
        <f>VLOOKUP($C85, Factor!$AM$4:$AY$30, 12, 0)</f>
        <v>ml</v>
      </c>
      <c r="K85" s="21" t="str">
        <f>VLOOKUP($C85, Factor!$AM$4:$AY$30, 13, 0)</f>
        <v>F</v>
      </c>
      <c r="L85" s="13">
        <v>1</v>
      </c>
      <c r="M85" s="13">
        <v>1</v>
      </c>
      <c r="N85" s="13">
        <v>1</v>
      </c>
      <c r="O85" s="13">
        <v>1</v>
      </c>
      <c r="P85" s="13">
        <v>1</v>
      </c>
      <c r="Q85" s="13">
        <v>1</v>
      </c>
      <c r="R85" s="21" t="str">
        <f>VLOOKUP($C85, Factor!$AM$4:$AY$30, 9, 0)</f>
        <v>Big</v>
      </c>
      <c r="S85" s="13" t="s">
        <v>402</v>
      </c>
      <c r="T85" s="21" t="str">
        <f>VLOOKUP($C85, Factor!$AM$4:$AY$30, 10, 0)</f>
        <v>enpc</v>
      </c>
      <c r="U85" s="21" cm="1">
        <f t="array" ref="U85">L85*VLOOKUP($I85, Factor!$B$4:$G$8, 2, 0)*VLOOKUP($J85, Factor!$B$12:$G$13, 2, 0)*VLOOKUP($K85, Factor!$B$17:$G$18, 2, 0)*VLOOKUP($H85, Factor!$J$4:$O$7, 2, 0)*VLOOKUP($F85, Factor!$Q$4:$V$15, 2, 0)*IF(MOD($G85,10)=0, 10, MOD($G85, 10))*((INDEX(Factor!$X$4:$AC$13, _xlfn.XMATCH($G85, Factor!$X$4:$X$13, 1),2)*IF(MOD(G85, 10) = 0, 10, MOD(G85, 10)))+INDEX(Factor!$AE$4:$AJ$13, _xlfn.XMATCH(MonsterData!$G85, Factor!$AE$4:$AE$13, 1),2))</f>
        <v>18000</v>
      </c>
      <c r="V85" s="21" cm="1">
        <f t="array" ref="V85">M85*VLOOKUP($I85, Factor!$B$4:$G$8, 3, 0)*VLOOKUP($J85, Factor!$B$12:$G$13, 3, 0)*VLOOKUP($K85, Factor!$B$17:$G$18, 3, 0)*VLOOKUP($H85, Factor!$J$4:$O$7, 3, 0)*VLOOKUP($F85, Factor!$Q$4:$V$15, 3, 0)*IF(MOD($G85,10)=0, 10, MOD($G85, 10))*((INDEX(Factor!$X$4:$AC$13, _xlfn.XMATCH($G85, Factor!$X$4:$X$13, 1),3)*IF(MOD(G85, 10) = 0, 10, MOD(G85, 10)))+INDEX(Factor!$AE$4:$AJ$13, _xlfn.XMATCH(MonsterData!$G85, Factor!$AE$4:$AE$13, 1),3))</f>
        <v>900</v>
      </c>
      <c r="W85" s="21" cm="1">
        <f t="array" ref="W85">N85*VLOOKUP($I85, Factor!$B$4:$G$8, 4, 0)*VLOOKUP($J85, Factor!$B$12:$G$13, 4, 0)*VLOOKUP($K85, Factor!$B$17:$G$18, 4, 0)*VLOOKUP($H85, Factor!$J$4:$O$7, 4, 0)*VLOOKUP($F85, Factor!$Q$4:$V$15, 4, 0)*IF(MOD($G85,10)=0, 10, MOD($G85, 10))*((INDEX(Factor!$X$4:$AC$13, _xlfn.XMATCH($G85, Factor!$X$4:$X$13, 1),4)*IF(MOD(G85, 10) = 0, 10, MOD(G85, 10)))+INDEX(Factor!$AE$4:$AJ$13, _xlfn.XMATCH(MonsterData!$G85, Factor!$AE$4:$AE$13, 1),4))</f>
        <v>900</v>
      </c>
      <c r="X85" s="21" cm="1">
        <f t="array" ref="X85">O85*VLOOKUP($I85, Factor!$B$4:$G$8, 5, 0)*VLOOKUP($J85, Factor!$B$12:$G$13, 5, 0)*VLOOKUP($K85, Factor!$B$17:$G$18, 5, 0)*VLOOKUP($H85, Factor!$J$4:$O$7, 5, 0)*VLOOKUP($F85, Factor!$Q$4:$V$15, 5, 0)*IF(MOD($G85,10)=0, 10, MOD($G85, 10))*((INDEX(Factor!$X$4:$AC$13, _xlfn.XMATCH($G85, Factor!$X$4:$X$13, 1),5)*IF(MOD(G85, 10) = 0, 10, MOD(G85, 10)))+INDEX(Factor!$AE$4:$AJ$13, _xlfn.XMATCH(MonsterData!$G85, Factor!$AE$4:$AE$13, 1),5))</f>
        <v>72</v>
      </c>
      <c r="Y85" s="21" cm="1">
        <f t="array" ref="Y85">P85*VLOOKUP($I85, Factor!$B$4:$G$8, 6, 0)*VLOOKUP($J85, Factor!$B$12:$G$13, 6, 0)*VLOOKUP($K85, Factor!$B$17:$G$18, 6, 0)*VLOOKUP($H85, Factor!$J$4:$O$7, 2, 0)*VLOOKUP($F85, Factor!$Q$4:$V$15, 6, 0)*IF(MOD($G85,10)=0, 10, MOD($G85, 10))*((INDEX(Factor!$X$4:$AC$13, _xlfn.XMATCH($G85, Factor!$X$4:$X$13, 1),6)*IF(MOD(G85, 10) = 0, 10, MOD(G85, 10)))+INDEX(Factor!$AE$4:$AJ$13, _xlfn.XMATCH(MonsterData!$G85, Factor!$AE$4:$AE$13, 1),6))</f>
        <v>432</v>
      </c>
      <c r="Z85" s="21">
        <f>$Q85*VLOOKUP($J85, Factor!$B$12:$H$13, 7, 0)</f>
        <v>1</v>
      </c>
      <c r="AA85" s="13">
        <v>1</v>
      </c>
      <c r="AB85" s="21">
        <f t="shared" si="4"/>
        <v>0</v>
      </c>
      <c r="AC85" s="13" t="s">
        <v>396</v>
      </c>
      <c r="AD85" s="15" t="s">
        <v>391</v>
      </c>
    </row>
    <row r="86" spans="1:30" ht="15.75" customHeight="1">
      <c r="A86" s="16" t="str">
        <f>T86&amp;"_"&amp;F86&amp;VLOOKUP($C86, Factor!$AM$4:$AY$30, 7, 0)&amp;IF(COUNTIFS($C$4:C85, C86, $F$4:F85, F86)+1&gt;=100, COUNTIFS($C$4:C85, C86, $F$4:F85, F86)+1,IF(COUNTIFS($C$4:C85, C86, $F$4:F85, F86)+1&gt;=10, "0"&amp;COUNTIFS($C$4:C85, C86, $F$4:F85, F86)+1, "00"&amp;COUNTIFS($C$4:C85, C86, $F$4:F85, F86)+1))</f>
        <v>enpc_F02_A_Lava_002</v>
      </c>
      <c r="B86" s="16"/>
      <c r="C86" s="16" t="s">
        <v>35</v>
      </c>
      <c r="D86" s="16" t="str">
        <f t="shared" si="8"/>
        <v>라바</v>
      </c>
      <c r="E86" s="17" t="str">
        <f>VLOOKUP($C86, Factor!$AM$4:$AY$30, 8, 0)</f>
        <v>S</v>
      </c>
      <c r="F86" s="17" t="s">
        <v>374</v>
      </c>
      <c r="G86" s="20">
        <v>13</v>
      </c>
      <c r="H86" s="16" t="s">
        <v>54</v>
      </c>
      <c r="I86" s="17" t="str">
        <f>VLOOKUP($C86, Factor!$AM$4:$AY$30, 11, 0)</f>
        <v>A</v>
      </c>
      <c r="J86" s="17" t="str">
        <f>VLOOKUP($C86, Factor!$AM$4:$AY$30, 12, 0)</f>
        <v>ml</v>
      </c>
      <c r="K86" s="17" t="str">
        <f>VLOOKUP($C86, Factor!$AM$4:$AY$30, 13, 0)</f>
        <v>L</v>
      </c>
      <c r="L86" s="17">
        <v>1</v>
      </c>
      <c r="M86" s="17">
        <v>1</v>
      </c>
      <c r="N86" s="17">
        <v>1</v>
      </c>
      <c r="O86" s="17">
        <v>1</v>
      </c>
      <c r="P86" s="17">
        <v>1</v>
      </c>
      <c r="Q86" s="17">
        <v>1</v>
      </c>
      <c r="R86" s="17" t="str">
        <f>VLOOKUP($C86, Factor!$AM$4:$AY$30, 9, 0)</f>
        <v>Small</v>
      </c>
      <c r="S86" s="17" t="s">
        <v>88</v>
      </c>
      <c r="T86" s="17" t="str">
        <f>VLOOKUP($C86, Factor!$AM$4:$AY$30, 10, 0)</f>
        <v>enpc</v>
      </c>
      <c r="U86" s="17" cm="1">
        <f t="array" ref="U86">L86*VLOOKUP($I86, Factor!$B$4:$G$8, 2, 0)*VLOOKUP($J86, Factor!$B$12:$G$13, 2, 0)*VLOOKUP($K86, Factor!$B$17:$G$18, 2, 0)*VLOOKUP($H86, Factor!$J$4:$O$7, 2, 0)*VLOOKUP($F86, Factor!$Q$4:$V$15, 2, 0)*IF(MOD($G86,10)=0, 10, MOD($G86, 10))*((INDEX(Factor!$X$4:$AC$13, _xlfn.XMATCH($G86, Factor!$X$4:$X$13, 1),2)*IF(MOD(G86, 10) = 0, 10, MOD(G86, 10)))+INDEX(Factor!$AE$4:$AJ$13, _xlfn.XMATCH(MonsterData!$G86, Factor!$AE$4:$AE$13, 1),2))</f>
        <v>691.2</v>
      </c>
      <c r="V86" s="17" cm="1">
        <f t="array" ref="V86">M86*VLOOKUP($I86, Factor!$B$4:$G$8, 3, 0)*VLOOKUP($J86, Factor!$B$12:$G$13, 3, 0)*VLOOKUP($K86, Factor!$B$17:$G$18, 3, 0)*VLOOKUP($H86, Factor!$J$4:$O$7, 3, 0)*VLOOKUP($F86, Factor!$Q$4:$V$15, 3, 0)*IF(MOD($G86,10)=0, 10, MOD($G86, 10))*((INDEX(Factor!$X$4:$AC$13, _xlfn.XMATCH($G86, Factor!$X$4:$X$13, 1),3)*IF(MOD(G86, 10) = 0, 10, MOD(G86, 10)))+INDEX(Factor!$AE$4:$AJ$13, _xlfn.XMATCH(MonsterData!$G86, Factor!$AE$4:$AE$13, 1),3))</f>
        <v>34.559999999999995</v>
      </c>
      <c r="W86" s="17" cm="1">
        <f t="array" ref="W86">N86*VLOOKUP($I86, Factor!$B$4:$G$8, 4, 0)*VLOOKUP($J86, Factor!$B$12:$G$13, 4, 0)*VLOOKUP($K86, Factor!$B$17:$G$18, 4, 0)*VLOOKUP($H86, Factor!$J$4:$O$7, 4, 0)*VLOOKUP($F86, Factor!$Q$4:$V$15, 4, 0)*IF(MOD($G86,10)=0, 10, MOD($G86, 10))*((INDEX(Factor!$X$4:$AC$13, _xlfn.XMATCH($G86, Factor!$X$4:$X$13, 1),4)*IF(MOD(G86, 10) = 0, 10, MOD(G86, 10)))+INDEX(Factor!$AE$4:$AJ$13, _xlfn.XMATCH(MonsterData!$G86, Factor!$AE$4:$AE$13, 1),4))</f>
        <v>20.736000000000004</v>
      </c>
      <c r="X86" s="17" cm="1">
        <f t="array" ref="X86">O86*VLOOKUP($I86, Factor!$B$4:$G$8, 5, 0)*VLOOKUP($J86, Factor!$B$12:$G$13, 5, 0)*VLOOKUP($K86, Factor!$B$17:$G$18, 5, 0)*VLOOKUP($H86, Factor!$J$4:$O$7, 5, 0)*VLOOKUP($F86, Factor!$Q$4:$V$15, 5, 0)*IF(MOD($G86,10)=0, 10, MOD($G86, 10))*((INDEX(Factor!$X$4:$AC$13, _xlfn.XMATCH($G86, Factor!$X$4:$X$13, 1),5)*IF(MOD(G86, 10) = 0, 10, MOD(G86, 10)))+INDEX(Factor!$AE$4:$AJ$13, _xlfn.XMATCH(MonsterData!$G86, Factor!$AE$4:$AE$13, 1),5))</f>
        <v>5.76</v>
      </c>
      <c r="Y86" s="17" cm="1">
        <f t="array" ref="Y86">P86*VLOOKUP($I86, Factor!$B$4:$G$8, 6, 0)*VLOOKUP($J86, Factor!$B$12:$G$13, 6, 0)*VLOOKUP($K86, Factor!$B$17:$G$18, 6, 0)*VLOOKUP($H86, Factor!$J$4:$O$7, 2, 0)*VLOOKUP($F86, Factor!$Q$4:$V$15, 6, 0)*IF(MOD($G86,10)=0, 10, MOD($G86, 10))*((INDEX(Factor!$X$4:$AC$13, _xlfn.XMATCH($G86, Factor!$X$4:$X$13, 1),6)*IF(MOD(G86, 10) = 0, 10, MOD(G86, 10)))+INDEX(Factor!$AE$4:$AJ$13, _xlfn.XMATCH(MonsterData!$G86, Factor!$AE$4:$AE$13, 1),6))</f>
        <v>23.04</v>
      </c>
      <c r="Z86" s="17">
        <f>$Q86*VLOOKUP($J86, Factor!$B$12:$H$13, 7, 0)</f>
        <v>1</v>
      </c>
      <c r="AA86" s="17">
        <v>1</v>
      </c>
      <c r="AB86" s="17">
        <f t="shared" si="4"/>
        <v>0</v>
      </c>
      <c r="AC86" s="17" t="s">
        <v>139</v>
      </c>
      <c r="AD86" s="19" t="s">
        <v>142</v>
      </c>
    </row>
    <row r="87" spans="1:30" ht="15.75" customHeight="1">
      <c r="A87" s="13" t="str">
        <f>T87&amp;"_"&amp;F87&amp;VLOOKUP($C87, Factor!$AM$4:$AY$30, 7, 0)&amp;IF(COUNTIFS($C$4:C86, C87, $F$4:F86, F87)+1&gt;=100, COUNTIFS($C$4:C86, C87, $F$4:F86, F87)+1,IF(COUNTIFS($C$4:C86, C87, $F$4:F86, F87)+1&gt;=10, "0"&amp;COUNTIFS($C$4:C86, C87, $F$4:F86, F87)+1, "00"&amp;COUNTIFS($C$4:C86, C87, $F$4:F86, F87)+1))</f>
        <v>enpc_F02_A_Cocoon_002</v>
      </c>
      <c r="B87" s="13"/>
      <c r="C87" s="13" t="s">
        <v>270</v>
      </c>
      <c r="D87" s="13" t="str">
        <f t="shared" si="8"/>
        <v>코쿤</v>
      </c>
      <c r="E87" s="21" t="str">
        <f>VLOOKUP($C87, Factor!$AM$4:$AY$30, 8, 0)</f>
        <v>M</v>
      </c>
      <c r="F87" s="21" t="s">
        <v>374</v>
      </c>
      <c r="G87" s="22">
        <v>13</v>
      </c>
      <c r="H87" s="13" t="s">
        <v>55</v>
      </c>
      <c r="I87" s="21" t="str">
        <f>VLOOKUP($C87, Factor!$AM$4:$AY$30, 11, 0)</f>
        <v>A</v>
      </c>
      <c r="J87" s="21" t="str">
        <f>VLOOKUP($C87, Factor!$AM$4:$AY$30, 12, 0)</f>
        <v>ml</v>
      </c>
      <c r="K87" s="21" t="str">
        <f>VLOOKUP($C87, Factor!$AM$4:$AY$30, 13, 0)</f>
        <v>L</v>
      </c>
      <c r="L87" s="13">
        <v>1</v>
      </c>
      <c r="M87" s="13">
        <v>1</v>
      </c>
      <c r="N87" s="13">
        <v>1</v>
      </c>
      <c r="O87" s="13">
        <v>1</v>
      </c>
      <c r="P87" s="13">
        <v>1</v>
      </c>
      <c r="Q87" s="13">
        <v>1</v>
      </c>
      <c r="R87" s="21" t="str">
        <f>VLOOKUP($C87, Factor!$AM$4:$AY$30, 9, 0)</f>
        <v>Midium</v>
      </c>
      <c r="S87" s="13" t="s">
        <v>408</v>
      </c>
      <c r="T87" s="21" t="str">
        <f>VLOOKUP($C87, Factor!$AM$4:$AY$30, 10, 0)</f>
        <v>enpc</v>
      </c>
      <c r="U87" s="21" cm="1">
        <f t="array" ref="U87">L87*VLOOKUP($I87, Factor!$B$4:$G$8, 2, 0)*VLOOKUP($J87, Factor!$B$12:$G$13, 2, 0)*VLOOKUP($K87, Factor!$B$17:$G$18, 2, 0)*VLOOKUP($H87, Factor!$J$4:$O$7, 2, 0)*VLOOKUP($F87, Factor!$Q$4:$V$15, 2, 0)*IF(MOD($G87,10)=0, 10, MOD($G87, 10))*((INDEX(Factor!$X$4:$AC$13, _xlfn.XMATCH($G87, Factor!$X$4:$X$13, 1),2)*IF(MOD(G87, 10) = 0, 10, MOD(G87, 10)))+INDEX(Factor!$AE$4:$AJ$13, _xlfn.XMATCH(MonsterData!$G87, Factor!$AE$4:$AE$13, 1),2))</f>
        <v>864</v>
      </c>
      <c r="V87" s="21" cm="1">
        <f t="array" ref="V87">M87*VLOOKUP($I87, Factor!$B$4:$G$8, 3, 0)*VLOOKUP($J87, Factor!$B$12:$G$13, 3, 0)*VLOOKUP($K87, Factor!$B$17:$G$18, 3, 0)*VLOOKUP($H87, Factor!$J$4:$O$7, 3, 0)*VLOOKUP($F87, Factor!$Q$4:$V$15, 3, 0)*IF(MOD($G87,10)=0, 10, MOD($G87, 10))*((INDEX(Factor!$X$4:$AC$13, _xlfn.XMATCH($G87, Factor!$X$4:$X$13, 1),3)*IF(MOD(G87, 10) = 0, 10, MOD(G87, 10)))+INDEX(Factor!$AE$4:$AJ$13, _xlfn.XMATCH(MonsterData!$G87, Factor!$AE$4:$AE$13, 1),3))</f>
        <v>43.2</v>
      </c>
      <c r="W87" s="21" cm="1">
        <f t="array" ref="W87">N87*VLOOKUP($I87, Factor!$B$4:$G$8, 4, 0)*VLOOKUP($J87, Factor!$B$12:$G$13, 4, 0)*VLOOKUP($K87, Factor!$B$17:$G$18, 4, 0)*VLOOKUP($H87, Factor!$J$4:$O$7, 4, 0)*VLOOKUP($F87, Factor!$Q$4:$V$15, 4, 0)*IF(MOD($G87,10)=0, 10, MOD($G87, 10))*((INDEX(Factor!$X$4:$AC$13, _xlfn.XMATCH($G87, Factor!$X$4:$X$13, 1),4)*IF(MOD(G87, 10) = 0, 10, MOD(G87, 10)))+INDEX(Factor!$AE$4:$AJ$13, _xlfn.XMATCH(MonsterData!$G87, Factor!$AE$4:$AE$13, 1),4))</f>
        <v>25.92</v>
      </c>
      <c r="X87" s="21" cm="1">
        <f t="array" ref="X87">O87*VLOOKUP($I87, Factor!$B$4:$G$8, 5, 0)*VLOOKUP($J87, Factor!$B$12:$G$13, 5, 0)*VLOOKUP($K87, Factor!$B$17:$G$18, 5, 0)*VLOOKUP($H87, Factor!$J$4:$O$7, 5, 0)*VLOOKUP($F87, Factor!$Q$4:$V$15, 5, 0)*IF(MOD($G87,10)=0, 10, MOD($G87, 10))*((INDEX(Factor!$X$4:$AC$13, _xlfn.XMATCH($G87, Factor!$X$4:$X$13, 1),5)*IF(MOD(G87, 10) = 0, 10, MOD(G87, 10)))+INDEX(Factor!$AE$4:$AJ$13, _xlfn.XMATCH(MonsterData!$G87, Factor!$AE$4:$AE$13, 1),5))</f>
        <v>5.76</v>
      </c>
      <c r="Y87" s="21" cm="1">
        <f t="array" ref="Y87">P87*VLOOKUP($I87, Factor!$B$4:$G$8, 6, 0)*VLOOKUP($J87, Factor!$B$12:$G$13, 6, 0)*VLOOKUP($K87, Factor!$B$17:$G$18, 6, 0)*VLOOKUP($H87, Factor!$J$4:$O$7, 2, 0)*VLOOKUP($F87, Factor!$Q$4:$V$15, 6, 0)*IF(MOD($G87,10)=0, 10, MOD($G87, 10))*((INDEX(Factor!$X$4:$AC$13, _xlfn.XMATCH($G87, Factor!$X$4:$X$13, 1),6)*IF(MOD(G87, 10) = 0, 10, MOD(G87, 10)))+INDEX(Factor!$AE$4:$AJ$13, _xlfn.XMATCH(MonsterData!$G87, Factor!$AE$4:$AE$13, 1),6))</f>
        <v>28.8</v>
      </c>
      <c r="Z87" s="21">
        <f>$Q87*VLOOKUP($J87, Factor!$B$12:$H$13, 7, 0)</f>
        <v>1</v>
      </c>
      <c r="AA87" s="13">
        <v>1</v>
      </c>
      <c r="AB87" s="21">
        <f t="shared" ref="AB87:AB150" si="9">IF(J87 = "ml", 0, $Z87*$AA87)</f>
        <v>0</v>
      </c>
      <c r="AC87" s="13" t="s">
        <v>139</v>
      </c>
      <c r="AD87" s="15" t="s">
        <v>142</v>
      </c>
    </row>
    <row r="88" spans="1:30" ht="15.75" customHeight="1">
      <c r="A88" s="16" t="str">
        <f>T88&amp;"_"&amp;F88&amp;VLOOKUP($C88, Factor!$AM$4:$AY$30, 7, 0)&amp;IF(COUNTIFS($C$4:C87, C88, $F$4:F87, F88)+1&gt;=100, COUNTIFS($C$4:C87, C88, $F$4:F87, F88)+1,IF(COUNTIFS($C$4:C87, C88, $F$4:F87, F88)+1&gt;=10, "0"&amp;COUNTIFS($C$4:C87, C88, $F$4:F87, F88)+1, "00"&amp;COUNTIFS($C$4:C87, C88, $F$4:F87, F88)+1))</f>
        <v>enpc_F02_A_Antlion_002</v>
      </c>
      <c r="B88" s="16"/>
      <c r="C88" s="16" t="s">
        <v>38</v>
      </c>
      <c r="D88" s="17" t="str">
        <f t="shared" si="8"/>
        <v>앤틸리온</v>
      </c>
      <c r="E88" s="17" t="str">
        <f>VLOOKUP($C88, Factor!$AM$4:$AY$30, 8, 0)</f>
        <v>M</v>
      </c>
      <c r="F88" s="17" t="s">
        <v>374</v>
      </c>
      <c r="G88" s="20">
        <v>13</v>
      </c>
      <c r="H88" s="16" t="s">
        <v>55</v>
      </c>
      <c r="I88" s="17" t="str">
        <f>VLOOKUP($C88, Factor!$AM$4:$AY$30, 11, 0)</f>
        <v>A</v>
      </c>
      <c r="J88" s="17" t="str">
        <f>VLOOKUP($C88, Factor!$AM$4:$AY$30, 12, 0)</f>
        <v>ra</v>
      </c>
      <c r="K88" s="17" t="str">
        <f>VLOOKUP($C88, Factor!$AM$4:$AY$30, 13, 0)</f>
        <v>L</v>
      </c>
      <c r="L88" s="17">
        <v>1</v>
      </c>
      <c r="M88" s="17">
        <v>1</v>
      </c>
      <c r="N88" s="17">
        <v>1</v>
      </c>
      <c r="O88" s="17">
        <v>1</v>
      </c>
      <c r="P88" s="17">
        <v>1</v>
      </c>
      <c r="Q88" s="17">
        <v>1</v>
      </c>
      <c r="R88" s="17" t="str">
        <f>VLOOKUP($C88, Factor!$AM$4:$AY$30, 9, 0)</f>
        <v>Midium</v>
      </c>
      <c r="S88" s="17" t="s">
        <v>397</v>
      </c>
      <c r="T88" s="17" t="str">
        <f>VLOOKUP($C88, Factor!$AM$4:$AY$30, 10, 0)</f>
        <v>enpc</v>
      </c>
      <c r="U88" s="17" cm="1">
        <f t="array" ref="U88">L88*VLOOKUP($I88, Factor!$B$4:$G$8, 2, 0)*VLOOKUP($J88, Factor!$B$12:$G$13, 2, 0)*VLOOKUP($K88, Factor!$B$17:$G$18, 2, 0)*VLOOKUP($H88, Factor!$J$4:$O$7, 2, 0)*VLOOKUP($F88, Factor!$Q$4:$V$15, 2, 0)*IF(MOD($G88,10)=0, 10, MOD($G88, 10))*((INDEX(Factor!$X$4:$AC$13, _xlfn.XMATCH($G88, Factor!$X$4:$X$13, 1),2)*IF(MOD(G88, 10) = 0, 10, MOD(G88, 10)))+INDEX(Factor!$AE$4:$AJ$13, _xlfn.XMATCH(MonsterData!$G88, Factor!$AE$4:$AE$13, 1),2))</f>
        <v>691.2</v>
      </c>
      <c r="V88" s="17" cm="1">
        <f t="array" ref="V88">M88*VLOOKUP($I88, Factor!$B$4:$G$8, 3, 0)*VLOOKUP($J88, Factor!$B$12:$G$13, 3, 0)*VLOOKUP($K88, Factor!$B$17:$G$18, 3, 0)*VLOOKUP($H88, Factor!$J$4:$O$7, 3, 0)*VLOOKUP($F88, Factor!$Q$4:$V$15, 3, 0)*IF(MOD($G88,10)=0, 10, MOD($G88, 10))*((INDEX(Factor!$X$4:$AC$13, _xlfn.XMATCH($G88, Factor!$X$4:$X$13, 1),3)*IF(MOD(G88, 10) = 0, 10, MOD(G88, 10)))+INDEX(Factor!$AE$4:$AJ$13, _xlfn.XMATCH(MonsterData!$G88, Factor!$AE$4:$AE$13, 1),3))</f>
        <v>34.559999999999995</v>
      </c>
      <c r="W88" s="17" cm="1">
        <f t="array" ref="W88">N88*VLOOKUP($I88, Factor!$B$4:$G$8, 4, 0)*VLOOKUP($J88, Factor!$B$12:$G$13, 4, 0)*VLOOKUP($K88, Factor!$B$17:$G$18, 4, 0)*VLOOKUP($H88, Factor!$J$4:$O$7, 4, 0)*VLOOKUP($F88, Factor!$Q$4:$V$15, 4, 0)*IF(MOD($G88,10)=0, 10, MOD($G88, 10))*((INDEX(Factor!$X$4:$AC$13, _xlfn.XMATCH($G88, Factor!$X$4:$X$13, 1),4)*IF(MOD(G88, 10) = 0, 10, MOD(G88, 10)))+INDEX(Factor!$AE$4:$AJ$13, _xlfn.XMATCH(MonsterData!$G88, Factor!$AE$4:$AE$13, 1),4))</f>
        <v>31.103999999999999</v>
      </c>
      <c r="X88" s="17" cm="1">
        <f t="array" ref="X88">O88*VLOOKUP($I88, Factor!$B$4:$G$8, 5, 0)*VLOOKUP($J88, Factor!$B$12:$G$13, 5, 0)*VLOOKUP($K88, Factor!$B$17:$G$18, 5, 0)*VLOOKUP($H88, Factor!$J$4:$O$7, 5, 0)*VLOOKUP($F88, Factor!$Q$4:$V$15, 5, 0)*IF(MOD($G88,10)=0, 10, MOD($G88, 10))*((INDEX(Factor!$X$4:$AC$13, _xlfn.XMATCH($G88, Factor!$X$4:$X$13, 1),5)*IF(MOD(G88, 10) = 0, 10, MOD(G88, 10)))+INDEX(Factor!$AE$4:$AJ$13, _xlfn.XMATCH(MonsterData!$G88, Factor!$AE$4:$AE$13, 1),5))</f>
        <v>8.6399999999999988</v>
      </c>
      <c r="Y88" s="17" cm="1">
        <f t="array" ref="Y88">P88*VLOOKUP($I88, Factor!$B$4:$G$8, 6, 0)*VLOOKUP($J88, Factor!$B$12:$G$13, 6, 0)*VLOOKUP($K88, Factor!$B$17:$G$18, 6, 0)*VLOOKUP($H88, Factor!$J$4:$O$7, 2, 0)*VLOOKUP($F88, Factor!$Q$4:$V$15, 6, 0)*IF(MOD($G88,10)=0, 10, MOD($G88, 10))*((INDEX(Factor!$X$4:$AC$13, _xlfn.XMATCH($G88, Factor!$X$4:$X$13, 1),6)*IF(MOD(G88, 10) = 0, 10, MOD(G88, 10)))+INDEX(Factor!$AE$4:$AJ$13, _xlfn.XMATCH(MonsterData!$G88, Factor!$AE$4:$AE$13, 1),6))</f>
        <v>28.8</v>
      </c>
      <c r="Z88" s="17">
        <f>$Q88*VLOOKUP($J88, Factor!$B$12:$H$13, 7, 0)</f>
        <v>4</v>
      </c>
      <c r="AA88" s="17">
        <v>1</v>
      </c>
      <c r="AB88" s="17">
        <f t="shared" si="9"/>
        <v>4</v>
      </c>
      <c r="AC88" s="17" t="s">
        <v>139</v>
      </c>
      <c r="AD88" s="19" t="s">
        <v>142</v>
      </c>
    </row>
    <row r="89" spans="1:30" ht="15.75" customHeight="1">
      <c r="A89" s="13" t="str">
        <f>T89&amp;"_"&amp;F89&amp;VLOOKUP($C89, Factor!$AM$4:$AY$30, 7, 0)&amp;IF(COUNTIFS($C$4:C88, C89, $F$4:F88, F89)+1&gt;=100, COUNTIFS($C$4:C88, C89, $F$4:F88, F89)+1,IF(COUNTIFS($C$4:C88, C89, $F$4:F88, F89)+1&gt;=10, "0"&amp;COUNTIFS($C$4:C88, C89, $F$4:F88, F89)+1, "00"&amp;COUNTIFS($C$4:C88, C89, $F$4:F88, F89)+1))</f>
        <v>enpc_F02_A_Nymphe_002</v>
      </c>
      <c r="B89" s="13"/>
      <c r="C89" s="13" t="s">
        <v>39</v>
      </c>
      <c r="D89" s="21" t="str">
        <f t="shared" si="8"/>
        <v>님프</v>
      </c>
      <c r="E89" s="21" t="str">
        <f>VLOOKUP($C89, Factor!$AM$4:$AY$30, 8, 0)</f>
        <v>S</v>
      </c>
      <c r="F89" s="21" t="s">
        <v>374</v>
      </c>
      <c r="G89" s="22">
        <v>13</v>
      </c>
      <c r="H89" s="13" t="s">
        <v>55</v>
      </c>
      <c r="I89" s="21" t="str">
        <f>VLOOKUP($C89, Factor!$AM$4:$AY$30, 11, 0)</f>
        <v>A</v>
      </c>
      <c r="J89" s="21" t="str">
        <f>VLOOKUP($C89, Factor!$AM$4:$AY$30, 12, 0)</f>
        <v>ml</v>
      </c>
      <c r="K89" s="21" t="str">
        <f>VLOOKUP($C89, Factor!$AM$4:$AY$30, 13, 0)</f>
        <v>F</v>
      </c>
      <c r="L89" s="13">
        <v>1</v>
      </c>
      <c r="M89" s="13">
        <v>1</v>
      </c>
      <c r="N89" s="13">
        <v>1</v>
      </c>
      <c r="O89" s="13">
        <v>1</v>
      </c>
      <c r="P89" s="13">
        <v>1</v>
      </c>
      <c r="Q89" s="13">
        <v>1</v>
      </c>
      <c r="R89" s="21" t="str">
        <f>VLOOKUP($C89, Factor!$AM$4:$AY$30, 9, 0)</f>
        <v>Small</v>
      </c>
      <c r="S89" s="13" t="s">
        <v>409</v>
      </c>
      <c r="T89" s="21" t="str">
        <f>VLOOKUP($C89, Factor!$AM$4:$AY$30, 10, 0)</f>
        <v>enpc</v>
      </c>
      <c r="U89" s="21" cm="1">
        <f t="array" ref="U89">L89*VLOOKUP($I89, Factor!$B$4:$G$8, 2, 0)*VLOOKUP($J89, Factor!$B$12:$G$13, 2, 0)*VLOOKUP($K89, Factor!$B$17:$G$18, 2, 0)*VLOOKUP($H89, Factor!$J$4:$O$7, 2, 0)*VLOOKUP($F89, Factor!$Q$4:$V$15, 2, 0)*IF(MOD($G89,10)=0, 10, MOD($G89, 10))*((INDEX(Factor!$X$4:$AC$13, _xlfn.XMATCH($G89, Factor!$X$4:$X$13, 1),2)*IF(MOD(G89, 10) = 0, 10, MOD(G89, 10)))+INDEX(Factor!$AE$4:$AJ$13, _xlfn.XMATCH(MonsterData!$G89, Factor!$AE$4:$AE$13, 1),2))</f>
        <v>576</v>
      </c>
      <c r="V89" s="21" cm="1">
        <f t="array" ref="V89">M89*VLOOKUP($I89, Factor!$B$4:$G$8, 3, 0)*VLOOKUP($J89, Factor!$B$12:$G$13, 3, 0)*VLOOKUP($K89, Factor!$B$17:$G$18, 3, 0)*VLOOKUP($H89, Factor!$J$4:$O$7, 3, 0)*VLOOKUP($F89, Factor!$Q$4:$V$15, 3, 0)*IF(MOD($G89,10)=0, 10, MOD($G89, 10))*((INDEX(Factor!$X$4:$AC$13, _xlfn.XMATCH($G89, Factor!$X$4:$X$13, 1),3)*IF(MOD(G89, 10) = 0, 10, MOD(G89, 10)))+INDEX(Factor!$AE$4:$AJ$13, _xlfn.XMATCH(MonsterData!$G89, Factor!$AE$4:$AE$13, 1),3))</f>
        <v>28.8</v>
      </c>
      <c r="W89" s="21" cm="1">
        <f t="array" ref="W89">N89*VLOOKUP($I89, Factor!$B$4:$G$8, 4, 0)*VLOOKUP($J89, Factor!$B$12:$G$13, 4, 0)*VLOOKUP($K89, Factor!$B$17:$G$18, 4, 0)*VLOOKUP($H89, Factor!$J$4:$O$7, 4, 0)*VLOOKUP($F89, Factor!$Q$4:$V$15, 4, 0)*IF(MOD($G89,10)=0, 10, MOD($G89, 10))*((INDEX(Factor!$X$4:$AC$13, _xlfn.XMATCH($G89, Factor!$X$4:$X$13, 1),4)*IF(MOD(G89, 10) = 0, 10, MOD(G89, 10)))+INDEX(Factor!$AE$4:$AJ$13, _xlfn.XMATCH(MonsterData!$G89, Factor!$AE$4:$AE$13, 1),4))</f>
        <v>17.279999999999998</v>
      </c>
      <c r="X89" s="21" cm="1">
        <f t="array" ref="X89">O89*VLOOKUP($I89, Factor!$B$4:$G$8, 5, 0)*VLOOKUP($J89, Factor!$B$12:$G$13, 5, 0)*VLOOKUP($K89, Factor!$B$17:$G$18, 5, 0)*VLOOKUP($H89, Factor!$J$4:$O$7, 5, 0)*VLOOKUP($F89, Factor!$Q$4:$V$15, 5, 0)*IF(MOD($G89,10)=0, 10, MOD($G89, 10))*((INDEX(Factor!$X$4:$AC$13, _xlfn.XMATCH($G89, Factor!$X$4:$X$13, 1),5)*IF(MOD(G89, 10) = 0, 10, MOD(G89, 10)))+INDEX(Factor!$AE$4:$AJ$13, _xlfn.XMATCH(MonsterData!$G89, Factor!$AE$4:$AE$13, 1),5))</f>
        <v>5.76</v>
      </c>
      <c r="Y89" s="21" cm="1">
        <f t="array" ref="Y89">P89*VLOOKUP($I89, Factor!$B$4:$G$8, 6, 0)*VLOOKUP($J89, Factor!$B$12:$G$13, 6, 0)*VLOOKUP($K89, Factor!$B$17:$G$18, 6, 0)*VLOOKUP($H89, Factor!$J$4:$O$7, 2, 0)*VLOOKUP($F89, Factor!$Q$4:$V$15, 6, 0)*IF(MOD($G89,10)=0, 10, MOD($G89, 10))*((INDEX(Factor!$X$4:$AC$13, _xlfn.XMATCH($G89, Factor!$X$4:$X$13, 1),6)*IF(MOD(G89, 10) = 0, 10, MOD(G89, 10)))+INDEX(Factor!$AE$4:$AJ$13, _xlfn.XMATCH(MonsterData!$G89, Factor!$AE$4:$AE$13, 1),6))</f>
        <v>86.4</v>
      </c>
      <c r="Z89" s="21">
        <f>$Q89*VLOOKUP($J89, Factor!$B$12:$H$13, 7, 0)</f>
        <v>1</v>
      </c>
      <c r="AA89" s="13">
        <v>1</v>
      </c>
      <c r="AB89" s="21">
        <f t="shared" si="9"/>
        <v>0</v>
      </c>
      <c r="AC89" s="13" t="s">
        <v>139</v>
      </c>
      <c r="AD89" s="15" t="s">
        <v>142</v>
      </c>
    </row>
    <row r="90" spans="1:30" ht="15.75" customHeight="1">
      <c r="A90" s="16" t="str">
        <f>T90&amp;"_"&amp;F90&amp;VLOOKUP($C90, Factor!$AM$4:$AY$30, 7, 0)&amp;IF(COUNTIFS($C$4:C89, C90, $F$4:F89, F90)+1&gt;=100, COUNTIFS($C$4:C89, C90, $F$4:F89, F90)+1,IF(COUNTIFS($C$4:C89, C90, $F$4:F89, F90)+1&gt;=10, "0"&amp;COUNTIFS($C$4:C89, C90, $F$4:F89, F90)+1, "00"&amp;COUNTIFS($C$4:C89, C90, $F$4:F89, F90)+1))</f>
        <v>enpc_F02_B_Golem_002</v>
      </c>
      <c r="B90" s="16"/>
      <c r="C90" s="16" t="s">
        <v>40</v>
      </c>
      <c r="D90" s="17" t="str">
        <f t="shared" si="8"/>
        <v>골렘</v>
      </c>
      <c r="E90" s="17" t="str">
        <f>VLOOKUP($C90, Factor!$AM$4:$AY$30, 8, 0)</f>
        <v>B</v>
      </c>
      <c r="F90" s="17" t="s">
        <v>374</v>
      </c>
      <c r="G90" s="20">
        <v>23</v>
      </c>
      <c r="H90" s="16" t="s">
        <v>57</v>
      </c>
      <c r="I90" s="17" t="str">
        <f>VLOOKUP($C90, Factor!$AM$4:$AY$30, 11, 0)</f>
        <v>B</v>
      </c>
      <c r="J90" s="17" t="str">
        <f>VLOOKUP($C90, Factor!$AM$4:$AY$30, 12, 0)</f>
        <v>ml</v>
      </c>
      <c r="K90" s="17" t="str">
        <f>VLOOKUP($C90, Factor!$AM$4:$AY$30, 13, 0)</f>
        <v>L</v>
      </c>
      <c r="L90" s="17">
        <v>1</v>
      </c>
      <c r="M90" s="17">
        <v>1</v>
      </c>
      <c r="N90" s="17">
        <v>1</v>
      </c>
      <c r="O90" s="17">
        <v>1</v>
      </c>
      <c r="P90" s="17">
        <v>1</v>
      </c>
      <c r="Q90" s="17">
        <v>1</v>
      </c>
      <c r="R90" s="17" t="str">
        <f>VLOOKUP($C90, Factor!$AM$4:$AY$30, 9, 0)</f>
        <v>Big</v>
      </c>
      <c r="S90" s="17" t="s">
        <v>398</v>
      </c>
      <c r="T90" s="17" t="str">
        <f>VLOOKUP($C90, Factor!$AM$4:$AY$30, 10, 0)</f>
        <v>enpc</v>
      </c>
      <c r="U90" s="17" cm="1">
        <f t="array" ref="U90">L90*VLOOKUP($I90, Factor!$B$4:$G$8, 2, 0)*VLOOKUP($J90, Factor!$B$12:$G$13, 2, 0)*VLOOKUP($K90, Factor!$B$17:$G$18, 2, 0)*VLOOKUP($H90, Factor!$J$4:$O$7, 2, 0)*VLOOKUP($F90, Factor!$Q$4:$V$15, 2, 0)*IF(MOD($G90,10)=0, 10, MOD($G90, 10))*((INDEX(Factor!$X$4:$AC$13, _xlfn.XMATCH($G90, Factor!$X$4:$X$13, 1),2)*IF(MOD(G90, 10) = 0, 10, MOD(G90, 10)))+INDEX(Factor!$AE$4:$AJ$13, _xlfn.XMATCH(MonsterData!$G90, Factor!$AE$4:$AE$13, 1),2))</f>
        <v>21060</v>
      </c>
      <c r="V90" s="17" cm="1">
        <f t="array" ref="V90">M90*VLOOKUP($I90, Factor!$B$4:$G$8, 3, 0)*VLOOKUP($J90, Factor!$B$12:$G$13, 3, 0)*VLOOKUP($K90, Factor!$B$17:$G$18, 3, 0)*VLOOKUP($H90, Factor!$J$4:$O$7, 3, 0)*VLOOKUP($F90, Factor!$Q$4:$V$15, 3, 0)*IF(MOD($G90,10)=0, 10, MOD($G90, 10))*((INDEX(Factor!$X$4:$AC$13, _xlfn.XMATCH($G90, Factor!$X$4:$X$13, 1),3)*IF(MOD(G90, 10) = 0, 10, MOD(G90, 10)))+INDEX(Factor!$AE$4:$AJ$13, _xlfn.XMATCH(MonsterData!$G90, Factor!$AE$4:$AE$13, 1),3))</f>
        <v>1053</v>
      </c>
      <c r="W90" s="17" cm="1">
        <f t="array" ref="W90">N90*VLOOKUP($I90, Factor!$B$4:$G$8, 4, 0)*VLOOKUP($J90, Factor!$B$12:$G$13, 4, 0)*VLOOKUP($K90, Factor!$B$17:$G$18, 4, 0)*VLOOKUP($H90, Factor!$J$4:$O$7, 4, 0)*VLOOKUP($F90, Factor!$Q$4:$V$15, 4, 0)*IF(MOD($G90,10)=0, 10, MOD($G90, 10))*((INDEX(Factor!$X$4:$AC$13, _xlfn.XMATCH($G90, Factor!$X$4:$X$13, 1),4)*IF(MOD(G90, 10) = 0, 10, MOD(G90, 10)))+INDEX(Factor!$AE$4:$AJ$13, _xlfn.XMATCH(MonsterData!$G90, Factor!$AE$4:$AE$13, 1),4))</f>
        <v>52.65</v>
      </c>
      <c r="X90" s="17" cm="1">
        <f t="array" ref="X90">O90*VLOOKUP($I90, Factor!$B$4:$G$8, 5, 0)*VLOOKUP($J90, Factor!$B$12:$G$13, 5, 0)*VLOOKUP($K90, Factor!$B$17:$G$18, 5, 0)*VLOOKUP($H90, Factor!$J$4:$O$7, 5, 0)*VLOOKUP($F90, Factor!$Q$4:$V$15, 5, 0)*IF(MOD($G90,10)=0, 10, MOD($G90, 10))*((INDEX(Factor!$X$4:$AC$13, _xlfn.XMATCH($G90, Factor!$X$4:$X$13, 1),5)*IF(MOD(G90, 10) = 0, 10, MOD(G90, 10)))+INDEX(Factor!$AE$4:$AJ$13, _xlfn.XMATCH(MonsterData!$G90, Factor!$AE$4:$AE$13, 1),5))</f>
        <v>56.16</v>
      </c>
      <c r="Y90" s="17" cm="1">
        <f t="array" ref="Y90">P90*VLOOKUP($I90, Factor!$B$4:$G$8, 6, 0)*VLOOKUP($J90, Factor!$B$12:$G$13, 6, 0)*VLOOKUP($K90, Factor!$B$17:$G$18, 6, 0)*VLOOKUP($H90, Factor!$J$4:$O$7, 2, 0)*VLOOKUP($F90, Factor!$Q$4:$V$15, 6, 0)*IF(MOD($G90,10)=0, 10, MOD($G90, 10))*((INDEX(Factor!$X$4:$AC$13, _xlfn.XMATCH($G90, Factor!$X$4:$X$13, 1),6)*IF(MOD(G90, 10) = 0, 10, MOD(G90, 10)))+INDEX(Factor!$AE$4:$AJ$13, _xlfn.XMATCH(MonsterData!$G90, Factor!$AE$4:$AE$13, 1),6))</f>
        <v>112.32</v>
      </c>
      <c r="Z90" s="17">
        <f>$Q90*VLOOKUP($J90, Factor!$B$12:$H$13, 7, 0)</f>
        <v>1</v>
      </c>
      <c r="AA90" s="17">
        <v>1</v>
      </c>
      <c r="AB90" s="17">
        <f t="shared" si="9"/>
        <v>0</v>
      </c>
      <c r="AC90" s="17" t="s">
        <v>140</v>
      </c>
      <c r="AD90" s="19" t="s">
        <v>143</v>
      </c>
    </row>
    <row r="91" spans="1:30" ht="15.75" customHeight="1">
      <c r="A91" s="13" t="str">
        <f>T91&amp;"_"&amp;F91&amp;VLOOKUP($C91, Factor!$AM$4:$AY$30, 7, 0)&amp;IF(COUNTIFS($C$4:C90, C91, $F$4:F90, F91)+1&gt;=100, COUNTIFS($C$4:C90, C91, $F$4:F90, F91)+1,IF(COUNTIFS($C$4:C90, C91, $F$4:F90, F91)+1&gt;=10, "0"&amp;COUNTIFS($C$4:C90, C91, $F$4:F90, F91)+1, "00"&amp;COUNTIFS($C$4:C90, C91, $F$4:F90, F91)+1))</f>
        <v>enpc_F02_B_Banshee_002</v>
      </c>
      <c r="B91" s="13"/>
      <c r="C91" s="13" t="s">
        <v>42</v>
      </c>
      <c r="D91" s="21" t="str">
        <f t="shared" si="8"/>
        <v>밴시</v>
      </c>
      <c r="E91" s="21" t="str">
        <f>VLOOKUP($C91, Factor!$AM$4:$AY$30, 8, 0)</f>
        <v>S</v>
      </c>
      <c r="F91" s="21" t="s">
        <v>374</v>
      </c>
      <c r="G91" s="22">
        <v>23</v>
      </c>
      <c r="H91" s="13" t="s">
        <v>56</v>
      </c>
      <c r="I91" s="21" t="str">
        <f>VLOOKUP($C91, Factor!$AM$4:$AY$30, 11, 0)</f>
        <v>B</v>
      </c>
      <c r="J91" s="21" t="str">
        <f>VLOOKUP($C91, Factor!$AM$4:$AY$30, 12, 0)</f>
        <v>ra</v>
      </c>
      <c r="K91" s="21" t="str">
        <f>VLOOKUP($C91, Factor!$AM$4:$AY$30, 13, 0)</f>
        <v>L</v>
      </c>
      <c r="L91" s="13">
        <v>1</v>
      </c>
      <c r="M91" s="13">
        <v>1</v>
      </c>
      <c r="N91" s="13">
        <v>1</v>
      </c>
      <c r="O91" s="13">
        <v>1</v>
      </c>
      <c r="P91" s="13">
        <v>1</v>
      </c>
      <c r="Q91" s="13">
        <v>1</v>
      </c>
      <c r="R91" s="21" t="str">
        <f>VLOOKUP($C91, Factor!$AM$4:$AY$30, 9, 0)</f>
        <v>Midium</v>
      </c>
      <c r="S91" s="13" t="s">
        <v>410</v>
      </c>
      <c r="T91" s="21" t="str">
        <f>VLOOKUP($C91, Factor!$AM$4:$AY$30, 10, 0)</f>
        <v>enpc</v>
      </c>
      <c r="U91" s="21" cm="1">
        <f t="array" ref="U91">L91*VLOOKUP($I91, Factor!$B$4:$G$8, 2, 0)*VLOOKUP($J91, Factor!$B$12:$G$13, 2, 0)*VLOOKUP($K91, Factor!$B$17:$G$18, 2, 0)*VLOOKUP($H91, Factor!$J$4:$O$7, 2, 0)*VLOOKUP($F91, Factor!$Q$4:$V$15, 2, 0)*IF(MOD($G91,10)=0, 10, MOD($G91, 10))*((INDEX(Factor!$X$4:$AC$13, _xlfn.XMATCH($G91, Factor!$X$4:$X$13, 1),2)*IF(MOD(G91, 10) = 0, 10, MOD(G91, 10)))+INDEX(Factor!$AE$4:$AJ$13, _xlfn.XMATCH(MonsterData!$G91, Factor!$AE$4:$AE$13, 1),2))</f>
        <v>8424</v>
      </c>
      <c r="V91" s="21" cm="1">
        <f t="array" ref="V91">M91*VLOOKUP($I91, Factor!$B$4:$G$8, 3, 0)*VLOOKUP($J91, Factor!$B$12:$G$13, 3, 0)*VLOOKUP($K91, Factor!$B$17:$G$18, 3, 0)*VLOOKUP($H91, Factor!$J$4:$O$7, 3, 0)*VLOOKUP($F91, Factor!$Q$4:$V$15, 3, 0)*IF(MOD($G91,10)=0, 10, MOD($G91, 10))*((INDEX(Factor!$X$4:$AC$13, _xlfn.XMATCH($G91, Factor!$X$4:$X$13, 1),3)*IF(MOD(G91, 10) = 0, 10, MOD(G91, 10)))+INDEX(Factor!$AE$4:$AJ$13, _xlfn.XMATCH(MonsterData!$G91, Factor!$AE$4:$AE$13, 1),3))</f>
        <v>421.2</v>
      </c>
      <c r="W91" s="21" cm="1">
        <f t="array" ref="W91">N91*VLOOKUP($I91, Factor!$B$4:$G$8, 4, 0)*VLOOKUP($J91, Factor!$B$12:$G$13, 4, 0)*VLOOKUP($K91, Factor!$B$17:$G$18, 4, 0)*VLOOKUP($H91, Factor!$J$4:$O$7, 4, 0)*VLOOKUP($F91, Factor!$Q$4:$V$15, 4, 0)*IF(MOD($G91,10)=0, 10, MOD($G91, 10))*((INDEX(Factor!$X$4:$AC$13, _xlfn.XMATCH($G91, Factor!$X$4:$X$13, 1),4)*IF(MOD(G91, 10) = 0, 10, MOD(G91, 10)))+INDEX(Factor!$AE$4:$AJ$13, _xlfn.XMATCH(MonsterData!$G91, Factor!$AE$4:$AE$13, 1),4))</f>
        <v>1263.5999999999999</v>
      </c>
      <c r="X91" s="21" cm="1">
        <f t="array" ref="X91">O91*VLOOKUP($I91, Factor!$B$4:$G$8, 5, 0)*VLOOKUP($J91, Factor!$B$12:$G$13, 5, 0)*VLOOKUP($K91, Factor!$B$17:$G$18, 5, 0)*VLOOKUP($H91, Factor!$J$4:$O$7, 5, 0)*VLOOKUP($F91, Factor!$Q$4:$V$15, 5, 0)*IF(MOD($G91,10)=0, 10, MOD($G91, 10))*((INDEX(Factor!$X$4:$AC$13, _xlfn.XMATCH($G91, Factor!$X$4:$X$13, 1),5)*IF(MOD(G91, 10) = 0, 10, MOD(G91, 10)))+INDEX(Factor!$AE$4:$AJ$13, _xlfn.XMATCH(MonsterData!$G91, Factor!$AE$4:$AE$13, 1),5))</f>
        <v>37.908000000000001</v>
      </c>
      <c r="Y91" s="21" cm="1">
        <f t="array" ref="Y91">P91*VLOOKUP($I91, Factor!$B$4:$G$8, 6, 0)*VLOOKUP($J91, Factor!$B$12:$G$13, 6, 0)*VLOOKUP($K91, Factor!$B$17:$G$18, 6, 0)*VLOOKUP($H91, Factor!$J$4:$O$7, 2, 0)*VLOOKUP($F91, Factor!$Q$4:$V$15, 6, 0)*IF(MOD($G91,10)=0, 10, MOD($G91, 10))*((INDEX(Factor!$X$4:$AC$13, _xlfn.XMATCH($G91, Factor!$X$4:$X$13, 1),6)*IF(MOD(G91, 10) = 0, 10, MOD(G91, 10)))+INDEX(Factor!$AE$4:$AJ$13, _xlfn.XMATCH(MonsterData!$G91, Factor!$AE$4:$AE$13, 1),6))</f>
        <v>56.16</v>
      </c>
      <c r="Z91" s="21">
        <f>$Q91*VLOOKUP($J91, Factor!$B$12:$H$13, 7, 0)</f>
        <v>4</v>
      </c>
      <c r="AA91" s="13">
        <v>1</v>
      </c>
      <c r="AB91" s="21">
        <f t="shared" si="9"/>
        <v>4</v>
      </c>
      <c r="AC91" s="13" t="s">
        <v>141</v>
      </c>
      <c r="AD91" s="15" t="s">
        <v>144</v>
      </c>
    </row>
    <row r="92" spans="1:30" ht="15.75" customHeight="1">
      <c r="A92" s="16" t="str">
        <f>T92&amp;"_"&amp;F92&amp;VLOOKUP($C92, Factor!$AM$4:$AY$30, 7, 0)&amp;IF(COUNTIFS($C$4:C91, C92, $F$4:F91, F92)+1&gt;=100, COUNTIFS($C$4:C91, C92, $F$4:F91, F92)+1,IF(COUNTIFS($C$4:C91, C92, $F$4:F91, F92)+1&gt;=10, "0"&amp;COUNTIFS($C$4:C91, C92, $F$4:F91, F92)+1, "00"&amp;COUNTIFS($C$4:C91, C92, $F$4:F91, F92)+1))</f>
        <v>enpc_F02_A_Scarab_002</v>
      </c>
      <c r="B92" s="16"/>
      <c r="C92" s="16" t="s">
        <v>353</v>
      </c>
      <c r="D92" s="17" t="str">
        <f t="shared" si="8"/>
        <v>스캐럽</v>
      </c>
      <c r="E92" s="17" t="str">
        <f>VLOOKUP($C92, Factor!$AM$4:$AY$30, 8, 0)</f>
        <v>S</v>
      </c>
      <c r="F92" s="17" t="s">
        <v>374</v>
      </c>
      <c r="G92" s="20">
        <v>13</v>
      </c>
      <c r="H92" s="16" t="s">
        <v>55</v>
      </c>
      <c r="I92" s="17" t="str">
        <f>VLOOKUP($C92, Factor!$AM$4:$AY$30, 11, 0)</f>
        <v>A</v>
      </c>
      <c r="J92" s="17" t="str">
        <f>VLOOKUP($C92, Factor!$AM$4:$AY$30, 12, 0)</f>
        <v>ml</v>
      </c>
      <c r="K92" s="17" t="str">
        <f>VLOOKUP($C92, Factor!$AM$4:$AY$30, 13, 0)</f>
        <v>L</v>
      </c>
      <c r="L92" s="17">
        <v>1</v>
      </c>
      <c r="M92" s="17">
        <v>1</v>
      </c>
      <c r="N92" s="17">
        <v>1</v>
      </c>
      <c r="O92" s="17">
        <v>1</v>
      </c>
      <c r="P92" s="17">
        <v>1</v>
      </c>
      <c r="Q92" s="17">
        <v>1</v>
      </c>
      <c r="R92" s="17" t="str">
        <f>VLOOKUP($C92, Factor!$AM$4:$AY$30, 9, 0)</f>
        <v>Midium</v>
      </c>
      <c r="S92" s="17" t="s">
        <v>399</v>
      </c>
      <c r="T92" s="17" t="str">
        <f>VLOOKUP($C92, Factor!$AM$4:$AY$30, 10, 0)</f>
        <v>enpc</v>
      </c>
      <c r="U92" s="17" cm="1">
        <f t="array" ref="U92">L92*VLOOKUP($I92, Factor!$B$4:$G$8, 2, 0)*VLOOKUP($J92, Factor!$B$12:$G$13, 2, 0)*VLOOKUP($K92, Factor!$B$17:$G$18, 2, 0)*VLOOKUP($H92, Factor!$J$4:$O$7, 2, 0)*VLOOKUP($F92, Factor!$Q$4:$V$15, 2, 0)*IF(MOD($G92,10)=0, 10, MOD($G92, 10))*((INDEX(Factor!$X$4:$AC$13, _xlfn.XMATCH($G92, Factor!$X$4:$X$13, 1),2)*IF(MOD(G92, 10) = 0, 10, MOD(G92, 10)))+INDEX(Factor!$AE$4:$AJ$13, _xlfn.XMATCH(MonsterData!$G92, Factor!$AE$4:$AE$13, 1),2))</f>
        <v>864</v>
      </c>
      <c r="V92" s="17" cm="1">
        <f t="array" ref="V92">M92*VLOOKUP($I92, Factor!$B$4:$G$8, 3, 0)*VLOOKUP($J92, Factor!$B$12:$G$13, 3, 0)*VLOOKUP($K92, Factor!$B$17:$G$18, 3, 0)*VLOOKUP($H92, Factor!$J$4:$O$7, 3, 0)*VLOOKUP($F92, Factor!$Q$4:$V$15, 3, 0)*IF(MOD($G92,10)=0, 10, MOD($G92, 10))*((INDEX(Factor!$X$4:$AC$13, _xlfn.XMATCH($G92, Factor!$X$4:$X$13, 1),3)*IF(MOD(G92, 10) = 0, 10, MOD(G92, 10)))+INDEX(Factor!$AE$4:$AJ$13, _xlfn.XMATCH(MonsterData!$G92, Factor!$AE$4:$AE$13, 1),3))</f>
        <v>43.2</v>
      </c>
      <c r="W92" s="17" cm="1">
        <f t="array" ref="W92">N92*VLOOKUP($I92, Factor!$B$4:$G$8, 4, 0)*VLOOKUP($J92, Factor!$B$12:$G$13, 4, 0)*VLOOKUP($K92, Factor!$B$17:$G$18, 4, 0)*VLOOKUP($H92, Factor!$J$4:$O$7, 4, 0)*VLOOKUP($F92, Factor!$Q$4:$V$15, 4, 0)*IF(MOD($G92,10)=0, 10, MOD($G92, 10))*((INDEX(Factor!$X$4:$AC$13, _xlfn.XMATCH($G92, Factor!$X$4:$X$13, 1),4)*IF(MOD(G92, 10) = 0, 10, MOD(G92, 10)))+INDEX(Factor!$AE$4:$AJ$13, _xlfn.XMATCH(MonsterData!$G92, Factor!$AE$4:$AE$13, 1),4))</f>
        <v>25.92</v>
      </c>
      <c r="X92" s="17" cm="1">
        <f t="array" ref="X92">O92*VLOOKUP($I92, Factor!$B$4:$G$8, 5, 0)*VLOOKUP($J92, Factor!$B$12:$G$13, 5, 0)*VLOOKUP($K92, Factor!$B$17:$G$18, 5, 0)*VLOOKUP($H92, Factor!$J$4:$O$7, 5, 0)*VLOOKUP($F92, Factor!$Q$4:$V$15, 5, 0)*IF(MOD($G92,10)=0, 10, MOD($G92, 10))*((INDEX(Factor!$X$4:$AC$13, _xlfn.XMATCH($G92, Factor!$X$4:$X$13, 1),5)*IF(MOD(G92, 10) = 0, 10, MOD(G92, 10)))+INDEX(Factor!$AE$4:$AJ$13, _xlfn.XMATCH(MonsterData!$G92, Factor!$AE$4:$AE$13, 1),5))</f>
        <v>5.76</v>
      </c>
      <c r="Y92" s="17" cm="1">
        <f t="array" ref="Y92">P92*VLOOKUP($I92, Factor!$B$4:$G$8, 6, 0)*VLOOKUP($J92, Factor!$B$12:$G$13, 6, 0)*VLOOKUP($K92, Factor!$B$17:$G$18, 6, 0)*VLOOKUP($H92, Factor!$J$4:$O$7, 2, 0)*VLOOKUP($F92, Factor!$Q$4:$V$15, 6, 0)*IF(MOD($G92,10)=0, 10, MOD($G92, 10))*((INDEX(Factor!$X$4:$AC$13, _xlfn.XMATCH($G92, Factor!$X$4:$X$13, 1),6)*IF(MOD(G92, 10) = 0, 10, MOD(G92, 10)))+INDEX(Factor!$AE$4:$AJ$13, _xlfn.XMATCH(MonsterData!$G92, Factor!$AE$4:$AE$13, 1),6))</f>
        <v>28.8</v>
      </c>
      <c r="Z92" s="17">
        <f>$Q92*VLOOKUP($J92, Factor!$B$12:$H$13, 7, 0)</f>
        <v>1</v>
      </c>
      <c r="AA92" s="17">
        <v>1</v>
      </c>
      <c r="AB92" s="17">
        <f t="shared" si="9"/>
        <v>0</v>
      </c>
      <c r="AC92" s="17" t="s">
        <v>139</v>
      </c>
      <c r="AD92" s="19" t="s">
        <v>387</v>
      </c>
    </row>
    <row r="93" spans="1:30" ht="15.75" customHeight="1">
      <c r="A93" s="13" t="str">
        <f>T93&amp;"_"&amp;F93&amp;VLOOKUP($C93, Factor!$AM$4:$AY$30, 7, 0)&amp;IF(COUNTIFS($C$4:C92, C93, $F$4:F92, F93)+1&gt;=100, COUNTIFS($C$4:C92, C93, $F$4:F92, F93)+1,IF(COUNTIFS($C$4:C92, C93, $F$4:F92, F93)+1&gt;=10, "0"&amp;COUNTIFS($C$4:C92, C93, $F$4:F92, F93)+1, "00"&amp;COUNTIFS($C$4:C92, C93, $F$4:F92, F93)+1))</f>
        <v>enpc_F02_A_Swarmlet_002</v>
      </c>
      <c r="B93" s="13"/>
      <c r="C93" s="13" t="s">
        <v>355</v>
      </c>
      <c r="D93" s="21" t="str">
        <f t="shared" si="8"/>
        <v>스웜렛</v>
      </c>
      <c r="E93" s="21" t="str">
        <f>VLOOKUP($C93, Factor!$AM$4:$AY$30, 8, 0)</f>
        <v>B</v>
      </c>
      <c r="F93" s="21" t="s">
        <v>374</v>
      </c>
      <c r="G93" s="22">
        <v>13</v>
      </c>
      <c r="H93" s="13" t="s">
        <v>56</v>
      </c>
      <c r="I93" s="21" t="str">
        <f>VLOOKUP($C93, Factor!$AM$4:$AY$30, 11, 0)</f>
        <v>A</v>
      </c>
      <c r="J93" s="21" t="str">
        <f>VLOOKUP($C93, Factor!$AM$4:$AY$30, 12, 0)</f>
        <v>ml</v>
      </c>
      <c r="K93" s="21" t="str">
        <f>VLOOKUP($C93, Factor!$AM$4:$AY$30, 13, 0)</f>
        <v>L</v>
      </c>
      <c r="L93" s="13">
        <v>1</v>
      </c>
      <c r="M93" s="13">
        <v>1</v>
      </c>
      <c r="N93" s="13">
        <v>1</v>
      </c>
      <c r="O93" s="13">
        <v>1</v>
      </c>
      <c r="P93" s="13">
        <v>1</v>
      </c>
      <c r="Q93" s="13">
        <v>1</v>
      </c>
      <c r="R93" s="21" t="str">
        <f>VLOOKUP($C93, Factor!$AM$4:$AY$30, 9, 0)</f>
        <v>Small</v>
      </c>
      <c r="S93" s="13" t="s">
        <v>405</v>
      </c>
      <c r="T93" s="21" t="str">
        <f>VLOOKUP($C93, Factor!$AM$4:$AY$30, 10, 0)</f>
        <v>enpc</v>
      </c>
      <c r="U93" s="21" cm="1">
        <f t="array" ref="U93">L93*VLOOKUP($I93, Factor!$B$4:$G$8, 2, 0)*VLOOKUP($J93, Factor!$B$12:$G$13, 2, 0)*VLOOKUP($K93, Factor!$B$17:$G$18, 2, 0)*VLOOKUP($H93, Factor!$J$4:$O$7, 2, 0)*VLOOKUP($F93, Factor!$Q$4:$V$15, 2, 0)*IF(MOD($G93,10)=0, 10, MOD($G93, 10))*((INDEX(Factor!$X$4:$AC$13, _xlfn.XMATCH($G93, Factor!$X$4:$X$13, 1),2)*IF(MOD(G93, 10) = 0, 10, MOD(G93, 10)))+INDEX(Factor!$AE$4:$AJ$13, _xlfn.XMATCH(MonsterData!$G93, Factor!$AE$4:$AE$13, 1),2))</f>
        <v>864</v>
      </c>
      <c r="V93" s="21" cm="1">
        <f t="array" ref="V93">M93*VLOOKUP($I93, Factor!$B$4:$G$8, 3, 0)*VLOOKUP($J93, Factor!$B$12:$G$13, 3, 0)*VLOOKUP($K93, Factor!$B$17:$G$18, 3, 0)*VLOOKUP($H93, Factor!$J$4:$O$7, 3, 0)*VLOOKUP($F93, Factor!$Q$4:$V$15, 3, 0)*IF(MOD($G93,10)=0, 10, MOD($G93, 10))*((INDEX(Factor!$X$4:$AC$13, _xlfn.XMATCH($G93, Factor!$X$4:$X$13, 1),3)*IF(MOD(G93, 10) = 0, 10, MOD(G93, 10)))+INDEX(Factor!$AE$4:$AJ$13, _xlfn.XMATCH(MonsterData!$G93, Factor!$AE$4:$AE$13, 1),3))</f>
        <v>43.2</v>
      </c>
      <c r="W93" s="21" cm="1">
        <f t="array" ref="W93">N93*VLOOKUP($I93, Factor!$B$4:$G$8, 4, 0)*VLOOKUP($J93, Factor!$B$12:$G$13, 4, 0)*VLOOKUP($K93, Factor!$B$17:$G$18, 4, 0)*VLOOKUP($H93, Factor!$J$4:$O$7, 4, 0)*VLOOKUP($F93, Factor!$Q$4:$V$15, 4, 0)*IF(MOD($G93,10)=0, 10, MOD($G93, 10))*((INDEX(Factor!$X$4:$AC$13, _xlfn.XMATCH($G93, Factor!$X$4:$X$13, 1),4)*IF(MOD(G93, 10) = 0, 10, MOD(G93, 10)))+INDEX(Factor!$AE$4:$AJ$13, _xlfn.XMATCH(MonsterData!$G93, Factor!$AE$4:$AE$13, 1),4))</f>
        <v>51.84</v>
      </c>
      <c r="X93" s="21" cm="1">
        <f t="array" ref="X93">O93*VLOOKUP($I93, Factor!$B$4:$G$8, 5, 0)*VLOOKUP($J93, Factor!$B$12:$G$13, 5, 0)*VLOOKUP($K93, Factor!$B$17:$G$18, 5, 0)*VLOOKUP($H93, Factor!$J$4:$O$7, 5, 0)*VLOOKUP($F93, Factor!$Q$4:$V$15, 5, 0)*IF(MOD($G93,10)=0, 10, MOD($G93, 10))*((INDEX(Factor!$X$4:$AC$13, _xlfn.XMATCH($G93, Factor!$X$4:$X$13, 1),5)*IF(MOD(G93, 10) = 0, 10, MOD(G93, 10)))+INDEX(Factor!$AE$4:$AJ$13, _xlfn.XMATCH(MonsterData!$G93, Factor!$AE$4:$AE$13, 1),5))</f>
        <v>5.1840000000000011</v>
      </c>
      <c r="Y93" s="21" cm="1">
        <f t="array" ref="Y93">P93*VLOOKUP($I93, Factor!$B$4:$G$8, 6, 0)*VLOOKUP($J93, Factor!$B$12:$G$13, 6, 0)*VLOOKUP($K93, Factor!$B$17:$G$18, 6, 0)*VLOOKUP($H93, Factor!$J$4:$O$7, 2, 0)*VLOOKUP($F93, Factor!$Q$4:$V$15, 6, 0)*IF(MOD($G93,10)=0, 10, MOD($G93, 10))*((INDEX(Factor!$X$4:$AC$13, _xlfn.XMATCH($G93, Factor!$X$4:$X$13, 1),6)*IF(MOD(G93, 10) = 0, 10, MOD(G93, 10)))+INDEX(Factor!$AE$4:$AJ$13, _xlfn.XMATCH(MonsterData!$G93, Factor!$AE$4:$AE$13, 1),6))</f>
        <v>28.8</v>
      </c>
      <c r="Z93" s="21">
        <f>$Q93*VLOOKUP($J93, Factor!$B$12:$H$13, 7, 0)</f>
        <v>1</v>
      </c>
      <c r="AA93" s="13">
        <v>1</v>
      </c>
      <c r="AB93" s="21">
        <f t="shared" si="9"/>
        <v>0</v>
      </c>
      <c r="AC93" s="13" t="s">
        <v>139</v>
      </c>
      <c r="AD93" s="15" t="s">
        <v>387</v>
      </c>
    </row>
    <row r="94" spans="1:30" ht="15.75" customHeight="1">
      <c r="A94" s="16" t="str">
        <f>T94&amp;"_"&amp;F94&amp;VLOOKUP($C94, Factor!$AM$4:$AY$30, 7, 0)&amp;IF(COUNTIFS($C$4:C93, C94, $F$4:F93, F94)+1&gt;=100, COUNTIFS($C$4:C93, C94, $F$4:F93, F94)+1,IF(COUNTIFS($C$4:C93, C94, $F$4:F93, F94)+1&gt;=10, "0"&amp;COUNTIFS($C$4:C93, C94, $F$4:F93, F94)+1, "00"&amp;COUNTIFS($C$4:C93, C94, $F$4:F93, F94)+1))</f>
        <v>enpc_F02_A_Mantis_002</v>
      </c>
      <c r="B94" s="16"/>
      <c r="C94" s="16" t="s">
        <v>357</v>
      </c>
      <c r="D94" s="17" t="str">
        <f t="shared" si="8"/>
        <v>맨티스</v>
      </c>
      <c r="E94" s="17" t="str">
        <f>VLOOKUP($C94, Factor!$AM$4:$AY$30, 8, 0)</f>
        <v>S</v>
      </c>
      <c r="F94" s="17" t="s">
        <v>374</v>
      </c>
      <c r="G94" s="20">
        <v>13</v>
      </c>
      <c r="H94" s="16" t="s">
        <v>55</v>
      </c>
      <c r="I94" s="17" t="str">
        <f>VLOOKUP($C94, Factor!$AM$4:$AY$30, 11, 0)</f>
        <v>A</v>
      </c>
      <c r="J94" s="17" t="str">
        <f>VLOOKUP($C94, Factor!$AM$4:$AY$30, 12, 0)</f>
        <v>ml</v>
      </c>
      <c r="K94" s="17" t="str">
        <f>VLOOKUP($C94, Factor!$AM$4:$AY$30, 13, 0)</f>
        <v>L</v>
      </c>
      <c r="L94" s="17">
        <v>1</v>
      </c>
      <c r="M94" s="17">
        <v>1</v>
      </c>
      <c r="N94" s="17">
        <v>1</v>
      </c>
      <c r="O94" s="17">
        <v>1</v>
      </c>
      <c r="P94" s="17">
        <v>1</v>
      </c>
      <c r="Q94" s="17">
        <v>1</v>
      </c>
      <c r="R94" s="17" t="str">
        <f>VLOOKUP($C94, Factor!$AM$4:$AY$30, 9, 0)</f>
        <v>Small</v>
      </c>
      <c r="S94" s="17" t="s">
        <v>400</v>
      </c>
      <c r="T94" s="17" t="str">
        <f>VLOOKUP($C94, Factor!$AM$4:$AY$30, 10, 0)</f>
        <v>enpc</v>
      </c>
      <c r="U94" s="17" cm="1">
        <f t="array" ref="U94">L94*VLOOKUP($I94, Factor!$B$4:$G$8, 2, 0)*VLOOKUP($J94, Factor!$B$12:$G$13, 2, 0)*VLOOKUP($K94, Factor!$B$17:$G$18, 2, 0)*VLOOKUP($H94, Factor!$J$4:$O$7, 2, 0)*VLOOKUP($F94, Factor!$Q$4:$V$15, 2, 0)*IF(MOD($G94,10)=0, 10, MOD($G94, 10))*((INDEX(Factor!$X$4:$AC$13, _xlfn.XMATCH($G94, Factor!$X$4:$X$13, 1),2)*IF(MOD(G94, 10) = 0, 10, MOD(G94, 10)))+INDEX(Factor!$AE$4:$AJ$13, _xlfn.XMATCH(MonsterData!$G94, Factor!$AE$4:$AE$13, 1),2))</f>
        <v>864</v>
      </c>
      <c r="V94" s="17" cm="1">
        <f t="array" ref="V94">M94*VLOOKUP($I94, Factor!$B$4:$G$8, 3, 0)*VLOOKUP($J94, Factor!$B$12:$G$13, 3, 0)*VLOOKUP($K94, Factor!$B$17:$G$18, 3, 0)*VLOOKUP($H94, Factor!$J$4:$O$7, 3, 0)*VLOOKUP($F94, Factor!$Q$4:$V$15, 3, 0)*IF(MOD($G94,10)=0, 10, MOD($G94, 10))*((INDEX(Factor!$X$4:$AC$13, _xlfn.XMATCH($G94, Factor!$X$4:$X$13, 1),3)*IF(MOD(G94, 10) = 0, 10, MOD(G94, 10)))+INDEX(Factor!$AE$4:$AJ$13, _xlfn.XMATCH(MonsterData!$G94, Factor!$AE$4:$AE$13, 1),3))</f>
        <v>43.2</v>
      </c>
      <c r="W94" s="17" cm="1">
        <f t="array" ref="W94">N94*VLOOKUP($I94, Factor!$B$4:$G$8, 4, 0)*VLOOKUP($J94, Factor!$B$12:$G$13, 4, 0)*VLOOKUP($K94, Factor!$B$17:$G$18, 4, 0)*VLOOKUP($H94, Factor!$J$4:$O$7, 4, 0)*VLOOKUP($F94, Factor!$Q$4:$V$15, 4, 0)*IF(MOD($G94,10)=0, 10, MOD($G94, 10))*((INDEX(Factor!$X$4:$AC$13, _xlfn.XMATCH($G94, Factor!$X$4:$X$13, 1),4)*IF(MOD(G94, 10) = 0, 10, MOD(G94, 10)))+INDEX(Factor!$AE$4:$AJ$13, _xlfn.XMATCH(MonsterData!$G94, Factor!$AE$4:$AE$13, 1),4))</f>
        <v>25.92</v>
      </c>
      <c r="X94" s="17" cm="1">
        <f t="array" ref="X94">O94*VLOOKUP($I94, Factor!$B$4:$G$8, 5, 0)*VLOOKUP($J94, Factor!$B$12:$G$13, 5, 0)*VLOOKUP($K94, Factor!$B$17:$G$18, 5, 0)*VLOOKUP($H94, Factor!$J$4:$O$7, 5, 0)*VLOOKUP($F94, Factor!$Q$4:$V$15, 5, 0)*IF(MOD($G94,10)=0, 10, MOD($G94, 10))*((INDEX(Factor!$X$4:$AC$13, _xlfn.XMATCH($G94, Factor!$X$4:$X$13, 1),5)*IF(MOD(G94, 10) = 0, 10, MOD(G94, 10)))+INDEX(Factor!$AE$4:$AJ$13, _xlfn.XMATCH(MonsterData!$G94, Factor!$AE$4:$AE$13, 1),5))</f>
        <v>5.76</v>
      </c>
      <c r="Y94" s="17" cm="1">
        <f t="array" ref="Y94">P94*VLOOKUP($I94, Factor!$B$4:$G$8, 6, 0)*VLOOKUP($J94, Factor!$B$12:$G$13, 6, 0)*VLOOKUP($K94, Factor!$B$17:$G$18, 6, 0)*VLOOKUP($H94, Factor!$J$4:$O$7, 2, 0)*VLOOKUP($F94, Factor!$Q$4:$V$15, 6, 0)*IF(MOD($G94,10)=0, 10, MOD($G94, 10))*((INDEX(Factor!$X$4:$AC$13, _xlfn.XMATCH($G94, Factor!$X$4:$X$13, 1),6)*IF(MOD(G94, 10) = 0, 10, MOD(G94, 10)))+INDEX(Factor!$AE$4:$AJ$13, _xlfn.XMATCH(MonsterData!$G94, Factor!$AE$4:$AE$13, 1),6))</f>
        <v>28.8</v>
      </c>
      <c r="Z94" s="17">
        <f>$Q94*VLOOKUP($J94, Factor!$B$12:$H$13, 7, 0)</f>
        <v>1</v>
      </c>
      <c r="AA94" s="17">
        <v>1</v>
      </c>
      <c r="AB94" s="17">
        <f t="shared" si="9"/>
        <v>0</v>
      </c>
      <c r="AC94" s="17" t="s">
        <v>139</v>
      </c>
      <c r="AD94" s="19" t="s">
        <v>387</v>
      </c>
    </row>
    <row r="95" spans="1:30" ht="15.75" customHeight="1">
      <c r="A95" s="13" t="str">
        <f>T95&amp;"_"&amp;F95&amp;VLOOKUP($C95, Factor!$AM$4:$AY$30, 7, 0)&amp;IF(COUNTIFS($C$4:C94, C95, $F$4:F94, F95)+1&gt;=100, COUNTIFS($C$4:C94, C95, $F$4:F94, F95)+1,IF(COUNTIFS($C$4:C94, C95, $F$4:F94, F95)+1&gt;=10, "0"&amp;COUNTIFS($C$4:C94, C95, $F$4:F94, F95)+1, "00"&amp;COUNTIFS($C$4:C94, C95, $F$4:F94, F95)+1))</f>
        <v>enpc_F02_B_Kobold_002</v>
      </c>
      <c r="B95" s="13"/>
      <c r="C95" s="13" t="s">
        <v>359</v>
      </c>
      <c r="D95" s="21" t="str">
        <f t="shared" si="8"/>
        <v>코볼트</v>
      </c>
      <c r="E95" s="21" t="str">
        <f>VLOOKUP($C95, Factor!$AM$4:$AY$30, 8, 0)</f>
        <v>M</v>
      </c>
      <c r="F95" s="21" t="s">
        <v>374</v>
      </c>
      <c r="G95" s="22">
        <v>23</v>
      </c>
      <c r="H95" s="13" t="s">
        <v>56</v>
      </c>
      <c r="I95" s="21" t="str">
        <f>VLOOKUP($C95, Factor!$AM$4:$AY$30, 11, 0)</f>
        <v>B</v>
      </c>
      <c r="J95" s="21" t="str">
        <f>VLOOKUP($C95, Factor!$AM$4:$AY$30, 12, 0)</f>
        <v>ml</v>
      </c>
      <c r="K95" s="21" t="str">
        <f>VLOOKUP($C95, Factor!$AM$4:$AY$30, 13, 0)</f>
        <v>L</v>
      </c>
      <c r="L95" s="13">
        <v>1</v>
      </c>
      <c r="M95" s="13">
        <v>1</v>
      </c>
      <c r="N95" s="13">
        <v>1</v>
      </c>
      <c r="O95" s="13">
        <v>1</v>
      </c>
      <c r="P95" s="13">
        <v>1</v>
      </c>
      <c r="Q95" s="13">
        <v>1</v>
      </c>
      <c r="R95" s="21" t="str">
        <f>VLOOKUP($C95, Factor!$AM$4:$AY$30, 9, 0)</f>
        <v>Small</v>
      </c>
      <c r="S95" s="13" t="s">
        <v>406</v>
      </c>
      <c r="T95" s="21" t="str">
        <f>VLOOKUP($C95, Factor!$AM$4:$AY$30, 10, 0)</f>
        <v>enpc</v>
      </c>
      <c r="U95" s="21" cm="1">
        <f t="array" ref="U95">L95*VLOOKUP($I95, Factor!$B$4:$G$8, 2, 0)*VLOOKUP($J95, Factor!$B$12:$G$13, 2, 0)*VLOOKUP($K95, Factor!$B$17:$G$18, 2, 0)*VLOOKUP($H95, Factor!$J$4:$O$7, 2, 0)*VLOOKUP($F95, Factor!$Q$4:$V$15, 2, 0)*IF(MOD($G95,10)=0, 10, MOD($G95, 10))*((INDEX(Factor!$X$4:$AC$13, _xlfn.XMATCH($G95, Factor!$X$4:$X$13, 1),2)*IF(MOD(G95, 10) = 0, 10, MOD(G95, 10)))+INDEX(Factor!$AE$4:$AJ$13, _xlfn.XMATCH(MonsterData!$G95, Factor!$AE$4:$AE$13, 1),2))</f>
        <v>10530</v>
      </c>
      <c r="V95" s="21" cm="1">
        <f t="array" ref="V95">M95*VLOOKUP($I95, Factor!$B$4:$G$8, 3, 0)*VLOOKUP($J95, Factor!$B$12:$G$13, 3, 0)*VLOOKUP($K95, Factor!$B$17:$G$18, 3, 0)*VLOOKUP($H95, Factor!$J$4:$O$7, 3, 0)*VLOOKUP($F95, Factor!$Q$4:$V$15, 3, 0)*IF(MOD($G95,10)=0, 10, MOD($G95, 10))*((INDEX(Factor!$X$4:$AC$13, _xlfn.XMATCH($G95, Factor!$X$4:$X$13, 1),3)*IF(MOD(G95, 10) = 0, 10, MOD(G95, 10)))+INDEX(Factor!$AE$4:$AJ$13, _xlfn.XMATCH(MonsterData!$G95, Factor!$AE$4:$AE$13, 1),3))</f>
        <v>526.5</v>
      </c>
      <c r="W95" s="21" cm="1">
        <f t="array" ref="W95">N95*VLOOKUP($I95, Factor!$B$4:$G$8, 4, 0)*VLOOKUP($J95, Factor!$B$12:$G$13, 4, 0)*VLOOKUP($K95, Factor!$B$17:$G$18, 4, 0)*VLOOKUP($H95, Factor!$J$4:$O$7, 4, 0)*VLOOKUP($F95, Factor!$Q$4:$V$15, 4, 0)*IF(MOD($G95,10)=0, 10, MOD($G95, 10))*((INDEX(Factor!$X$4:$AC$13, _xlfn.XMATCH($G95, Factor!$X$4:$X$13, 1),4)*IF(MOD(G95, 10) = 0, 10, MOD(G95, 10)))+INDEX(Factor!$AE$4:$AJ$13, _xlfn.XMATCH(MonsterData!$G95, Factor!$AE$4:$AE$13, 1),4))</f>
        <v>1053</v>
      </c>
      <c r="X95" s="21" cm="1">
        <f t="array" ref="X95">O95*VLOOKUP($I95, Factor!$B$4:$G$8, 5, 0)*VLOOKUP($J95, Factor!$B$12:$G$13, 5, 0)*VLOOKUP($K95, Factor!$B$17:$G$18, 5, 0)*VLOOKUP($H95, Factor!$J$4:$O$7, 5, 0)*VLOOKUP($F95, Factor!$Q$4:$V$15, 5, 0)*IF(MOD($G95,10)=0, 10, MOD($G95, 10))*((INDEX(Factor!$X$4:$AC$13, _xlfn.XMATCH($G95, Factor!$X$4:$X$13, 1),5)*IF(MOD(G95, 10) = 0, 10, MOD(G95, 10)))+INDEX(Factor!$AE$4:$AJ$13, _xlfn.XMATCH(MonsterData!$G95, Factor!$AE$4:$AE$13, 1),5))</f>
        <v>25.272000000000002</v>
      </c>
      <c r="Y95" s="21" cm="1">
        <f t="array" ref="Y95">P95*VLOOKUP($I95, Factor!$B$4:$G$8, 6, 0)*VLOOKUP($J95, Factor!$B$12:$G$13, 6, 0)*VLOOKUP($K95, Factor!$B$17:$G$18, 6, 0)*VLOOKUP($H95, Factor!$J$4:$O$7, 2, 0)*VLOOKUP($F95, Factor!$Q$4:$V$15, 6, 0)*IF(MOD($G95,10)=0, 10, MOD($G95, 10))*((INDEX(Factor!$X$4:$AC$13, _xlfn.XMATCH($G95, Factor!$X$4:$X$13, 1),6)*IF(MOD(G95, 10) = 0, 10, MOD(G95, 10)))+INDEX(Factor!$AE$4:$AJ$13, _xlfn.XMATCH(MonsterData!$G95, Factor!$AE$4:$AE$13, 1),6))</f>
        <v>56.16</v>
      </c>
      <c r="Z95" s="21">
        <f>$Q95*VLOOKUP($J95, Factor!$B$12:$H$13, 7, 0)</f>
        <v>1</v>
      </c>
      <c r="AA95" s="13">
        <v>1</v>
      </c>
      <c r="AB95" s="21">
        <f t="shared" si="9"/>
        <v>0</v>
      </c>
      <c r="AC95" s="13" t="s">
        <v>393</v>
      </c>
      <c r="AD95" s="15" t="s">
        <v>388</v>
      </c>
    </row>
    <row r="96" spans="1:30" ht="15.75" customHeight="1">
      <c r="A96" s="16" t="str">
        <f>T96&amp;"_"&amp;F96&amp;VLOOKUP($C96, Factor!$AM$4:$AY$30, 7, 0)&amp;IF(COUNTIFS($C$4:C95, C96, $F$4:F95, F96)+1&gt;=100, COUNTIFS($C$4:C95, C96, $F$4:F95, F96)+1,IF(COUNTIFS($C$4:C95, C96, $F$4:F95, F96)+1&gt;=10, "0"&amp;COUNTIFS($C$4:C95, C96, $F$4:F95, F96)+1, "00"&amp;COUNTIFS($C$4:C95, C96, $F$4:F95, F96)+1))</f>
        <v>enpc_F02_B_Ghoul_002</v>
      </c>
      <c r="B96" s="16"/>
      <c r="C96" s="16" t="s">
        <v>361</v>
      </c>
      <c r="D96" s="17" t="str">
        <f t="shared" si="8"/>
        <v>구울</v>
      </c>
      <c r="E96" s="17" t="str">
        <f>VLOOKUP($C96, Factor!$AM$4:$AY$30, 8, 0)</f>
        <v>M</v>
      </c>
      <c r="F96" s="17" t="s">
        <v>374</v>
      </c>
      <c r="G96" s="20">
        <v>23</v>
      </c>
      <c r="H96" s="16" t="s">
        <v>55</v>
      </c>
      <c r="I96" s="17" t="str">
        <f>VLOOKUP($C96, Factor!$AM$4:$AY$30, 11, 0)</f>
        <v>B</v>
      </c>
      <c r="J96" s="17" t="str">
        <f>VLOOKUP($C96, Factor!$AM$4:$AY$30, 12, 0)</f>
        <v>ml</v>
      </c>
      <c r="K96" s="17" t="str">
        <f>VLOOKUP($C96, Factor!$AM$4:$AY$30, 13, 0)</f>
        <v>L</v>
      </c>
      <c r="L96" s="17">
        <v>1</v>
      </c>
      <c r="M96" s="17">
        <v>1</v>
      </c>
      <c r="N96" s="17">
        <v>1</v>
      </c>
      <c r="O96" s="17">
        <v>1</v>
      </c>
      <c r="P96" s="17">
        <v>1</v>
      </c>
      <c r="Q96" s="17">
        <v>1</v>
      </c>
      <c r="R96" s="17" t="str">
        <f>VLOOKUP($C96, Factor!$AM$4:$AY$30, 9, 0)</f>
        <v>Midium</v>
      </c>
      <c r="S96" s="17" t="s">
        <v>401</v>
      </c>
      <c r="T96" s="17" t="str">
        <f>VLOOKUP($C96, Factor!$AM$4:$AY$30, 10, 0)</f>
        <v>enpc</v>
      </c>
      <c r="U96" s="17" cm="1">
        <f t="array" ref="U96">L96*VLOOKUP($I96, Factor!$B$4:$G$8, 2, 0)*VLOOKUP($J96, Factor!$B$12:$G$13, 2, 0)*VLOOKUP($K96, Factor!$B$17:$G$18, 2, 0)*VLOOKUP($H96, Factor!$J$4:$O$7, 2, 0)*VLOOKUP($F96, Factor!$Q$4:$V$15, 2, 0)*IF(MOD($G96,10)=0, 10, MOD($G96, 10))*((INDEX(Factor!$X$4:$AC$13, _xlfn.XMATCH($G96, Factor!$X$4:$X$13, 1),2)*IF(MOD(G96, 10) = 0, 10, MOD(G96, 10)))+INDEX(Factor!$AE$4:$AJ$13, _xlfn.XMATCH(MonsterData!$G96, Factor!$AE$4:$AE$13, 1),2))</f>
        <v>10530</v>
      </c>
      <c r="V96" s="17" cm="1">
        <f t="array" ref="V96">M96*VLOOKUP($I96, Factor!$B$4:$G$8, 3, 0)*VLOOKUP($J96, Factor!$B$12:$G$13, 3, 0)*VLOOKUP($K96, Factor!$B$17:$G$18, 3, 0)*VLOOKUP($H96, Factor!$J$4:$O$7, 3, 0)*VLOOKUP($F96, Factor!$Q$4:$V$15, 3, 0)*IF(MOD($G96,10)=0, 10, MOD($G96, 10))*((INDEX(Factor!$X$4:$AC$13, _xlfn.XMATCH($G96, Factor!$X$4:$X$13, 1),3)*IF(MOD(G96, 10) = 0, 10, MOD(G96, 10)))+INDEX(Factor!$AE$4:$AJ$13, _xlfn.XMATCH(MonsterData!$G96, Factor!$AE$4:$AE$13, 1),3))</f>
        <v>526.5</v>
      </c>
      <c r="W96" s="17" cm="1">
        <f t="array" ref="W96">N96*VLOOKUP($I96, Factor!$B$4:$G$8, 4, 0)*VLOOKUP($J96, Factor!$B$12:$G$13, 4, 0)*VLOOKUP($K96, Factor!$B$17:$G$18, 4, 0)*VLOOKUP($H96, Factor!$J$4:$O$7, 4, 0)*VLOOKUP($F96, Factor!$Q$4:$V$15, 4, 0)*IF(MOD($G96,10)=0, 10, MOD($G96, 10))*((INDEX(Factor!$X$4:$AC$13, _xlfn.XMATCH($G96, Factor!$X$4:$X$13, 1),4)*IF(MOD(G96, 10) = 0, 10, MOD(G96, 10)))+INDEX(Factor!$AE$4:$AJ$13, _xlfn.XMATCH(MonsterData!$G96, Factor!$AE$4:$AE$13, 1),4))</f>
        <v>526.5</v>
      </c>
      <c r="X96" s="17" cm="1">
        <f t="array" ref="X96">O96*VLOOKUP($I96, Factor!$B$4:$G$8, 5, 0)*VLOOKUP($J96, Factor!$B$12:$G$13, 5, 0)*VLOOKUP($K96, Factor!$B$17:$G$18, 5, 0)*VLOOKUP($H96, Factor!$J$4:$O$7, 5, 0)*VLOOKUP($F96, Factor!$Q$4:$V$15, 5, 0)*IF(MOD($G96,10)=0, 10, MOD($G96, 10))*((INDEX(Factor!$X$4:$AC$13, _xlfn.XMATCH($G96, Factor!$X$4:$X$13, 1),5)*IF(MOD(G96, 10) = 0, 10, MOD(G96, 10)))+INDEX(Factor!$AE$4:$AJ$13, _xlfn.XMATCH(MonsterData!$G96, Factor!$AE$4:$AE$13, 1),5))</f>
        <v>28.08</v>
      </c>
      <c r="Y96" s="17" cm="1">
        <f t="array" ref="Y96">P96*VLOOKUP($I96, Factor!$B$4:$G$8, 6, 0)*VLOOKUP($J96, Factor!$B$12:$G$13, 6, 0)*VLOOKUP($K96, Factor!$B$17:$G$18, 6, 0)*VLOOKUP($H96, Factor!$J$4:$O$7, 2, 0)*VLOOKUP($F96, Factor!$Q$4:$V$15, 6, 0)*IF(MOD($G96,10)=0, 10, MOD($G96, 10))*((INDEX(Factor!$X$4:$AC$13, _xlfn.XMATCH($G96, Factor!$X$4:$X$13, 1),6)*IF(MOD(G96, 10) = 0, 10, MOD(G96, 10)))+INDEX(Factor!$AE$4:$AJ$13, _xlfn.XMATCH(MonsterData!$G96, Factor!$AE$4:$AE$13, 1),6))</f>
        <v>56.16</v>
      </c>
      <c r="Z96" s="17">
        <f>$Q96*VLOOKUP($J96, Factor!$B$12:$H$13, 7, 0)</f>
        <v>1</v>
      </c>
      <c r="AA96" s="17">
        <v>1</v>
      </c>
      <c r="AB96" s="17">
        <f t="shared" si="9"/>
        <v>0</v>
      </c>
      <c r="AC96" s="17" t="s">
        <v>394</v>
      </c>
      <c r="AD96" s="19" t="s">
        <v>389</v>
      </c>
    </row>
    <row r="97" spans="1:30" ht="15.75" customHeight="1">
      <c r="A97" s="13" t="str">
        <f>T97&amp;"_"&amp;F97&amp;VLOOKUP($C97, Factor!$AM$4:$AY$30, 7, 0)&amp;IF(COUNTIFS($C$4:C96, C97, $F$4:F96, F97)+1&gt;=100, COUNTIFS($C$4:C96, C97, $F$4:F96, F97)+1,IF(COUNTIFS($C$4:C96, C97, $F$4:F96, F97)+1&gt;=10, "0"&amp;COUNTIFS($C$4:C96, C97, $F$4:F96, F97)+1, "00"&amp;COUNTIFS($C$4:C96, C97, $F$4:F96, F97)+1))</f>
        <v>enpc_F02_B_Gorgon_002</v>
      </c>
      <c r="B97" s="13"/>
      <c r="C97" s="13" t="s">
        <v>363</v>
      </c>
      <c r="D97" s="21" t="str">
        <f t="shared" si="8"/>
        <v>고르곤</v>
      </c>
      <c r="E97" s="21" t="str">
        <f>VLOOKUP($C97, Factor!$AM$4:$AY$30, 8, 0)</f>
        <v>B</v>
      </c>
      <c r="F97" s="21" t="s">
        <v>374</v>
      </c>
      <c r="G97" s="22">
        <v>23</v>
      </c>
      <c r="H97" s="13" t="s">
        <v>56</v>
      </c>
      <c r="I97" s="21" t="str">
        <f>VLOOKUP($C97, Factor!$AM$4:$AY$30, 11, 0)</f>
        <v>B</v>
      </c>
      <c r="J97" s="21" t="str">
        <f>VLOOKUP($C97, Factor!$AM$4:$AY$30, 12, 0)</f>
        <v>ml</v>
      </c>
      <c r="K97" s="21" t="str">
        <f>VLOOKUP($C97, Factor!$AM$4:$AY$30, 13, 0)</f>
        <v>L</v>
      </c>
      <c r="L97" s="13">
        <v>1</v>
      </c>
      <c r="M97" s="13">
        <v>1</v>
      </c>
      <c r="N97" s="13">
        <v>1</v>
      </c>
      <c r="O97" s="13">
        <v>1</v>
      </c>
      <c r="P97" s="13">
        <v>1</v>
      </c>
      <c r="Q97" s="13">
        <v>1</v>
      </c>
      <c r="R97" s="21" t="str">
        <f>VLOOKUP($C97, Factor!$AM$4:$AY$30, 9, 0)</f>
        <v>Midium</v>
      </c>
      <c r="S97" s="13" t="s">
        <v>407</v>
      </c>
      <c r="T97" s="21" t="str">
        <f>VLOOKUP($C97, Factor!$AM$4:$AY$30, 10, 0)</f>
        <v>enpc</v>
      </c>
      <c r="U97" s="21" cm="1">
        <f t="array" ref="U97">L97*VLOOKUP($I97, Factor!$B$4:$G$8, 2, 0)*VLOOKUP($J97, Factor!$B$12:$G$13, 2, 0)*VLOOKUP($K97, Factor!$B$17:$G$18, 2, 0)*VLOOKUP($H97, Factor!$J$4:$O$7, 2, 0)*VLOOKUP($F97, Factor!$Q$4:$V$15, 2, 0)*IF(MOD($G97,10)=0, 10, MOD($G97, 10))*((INDEX(Factor!$X$4:$AC$13, _xlfn.XMATCH($G97, Factor!$X$4:$X$13, 1),2)*IF(MOD(G97, 10) = 0, 10, MOD(G97, 10)))+INDEX(Factor!$AE$4:$AJ$13, _xlfn.XMATCH(MonsterData!$G97, Factor!$AE$4:$AE$13, 1),2))</f>
        <v>10530</v>
      </c>
      <c r="V97" s="21" cm="1">
        <f t="array" ref="V97">M97*VLOOKUP($I97, Factor!$B$4:$G$8, 3, 0)*VLOOKUP($J97, Factor!$B$12:$G$13, 3, 0)*VLOOKUP($K97, Factor!$B$17:$G$18, 3, 0)*VLOOKUP($H97, Factor!$J$4:$O$7, 3, 0)*VLOOKUP($F97, Factor!$Q$4:$V$15, 3, 0)*IF(MOD($G97,10)=0, 10, MOD($G97, 10))*((INDEX(Factor!$X$4:$AC$13, _xlfn.XMATCH($G97, Factor!$X$4:$X$13, 1),3)*IF(MOD(G97, 10) = 0, 10, MOD(G97, 10)))+INDEX(Factor!$AE$4:$AJ$13, _xlfn.XMATCH(MonsterData!$G97, Factor!$AE$4:$AE$13, 1),3))</f>
        <v>526.5</v>
      </c>
      <c r="W97" s="21" cm="1">
        <f t="array" ref="W97">N97*VLOOKUP($I97, Factor!$B$4:$G$8, 4, 0)*VLOOKUP($J97, Factor!$B$12:$G$13, 4, 0)*VLOOKUP($K97, Factor!$B$17:$G$18, 4, 0)*VLOOKUP($H97, Factor!$J$4:$O$7, 4, 0)*VLOOKUP($F97, Factor!$Q$4:$V$15, 4, 0)*IF(MOD($G97,10)=0, 10, MOD($G97, 10))*((INDEX(Factor!$X$4:$AC$13, _xlfn.XMATCH($G97, Factor!$X$4:$X$13, 1),4)*IF(MOD(G97, 10) = 0, 10, MOD(G97, 10)))+INDEX(Factor!$AE$4:$AJ$13, _xlfn.XMATCH(MonsterData!$G97, Factor!$AE$4:$AE$13, 1),4))</f>
        <v>1053</v>
      </c>
      <c r="X97" s="21" cm="1">
        <f t="array" ref="X97">O97*VLOOKUP($I97, Factor!$B$4:$G$8, 5, 0)*VLOOKUP($J97, Factor!$B$12:$G$13, 5, 0)*VLOOKUP($K97, Factor!$B$17:$G$18, 5, 0)*VLOOKUP($H97, Factor!$J$4:$O$7, 5, 0)*VLOOKUP($F97, Factor!$Q$4:$V$15, 5, 0)*IF(MOD($G97,10)=0, 10, MOD($G97, 10))*((INDEX(Factor!$X$4:$AC$13, _xlfn.XMATCH($G97, Factor!$X$4:$X$13, 1),5)*IF(MOD(G97, 10) = 0, 10, MOD(G97, 10)))+INDEX(Factor!$AE$4:$AJ$13, _xlfn.XMATCH(MonsterData!$G97, Factor!$AE$4:$AE$13, 1),5))</f>
        <v>25.272000000000002</v>
      </c>
      <c r="Y97" s="21" cm="1">
        <f t="array" ref="Y97">P97*VLOOKUP($I97, Factor!$B$4:$G$8, 6, 0)*VLOOKUP($J97, Factor!$B$12:$G$13, 6, 0)*VLOOKUP($K97, Factor!$B$17:$G$18, 6, 0)*VLOOKUP($H97, Factor!$J$4:$O$7, 2, 0)*VLOOKUP($F97, Factor!$Q$4:$V$15, 6, 0)*IF(MOD($G97,10)=0, 10, MOD($G97, 10))*((INDEX(Factor!$X$4:$AC$13, _xlfn.XMATCH($G97, Factor!$X$4:$X$13, 1),6)*IF(MOD(G97, 10) = 0, 10, MOD(G97, 10)))+INDEX(Factor!$AE$4:$AJ$13, _xlfn.XMATCH(MonsterData!$G97, Factor!$AE$4:$AE$13, 1),6))</f>
        <v>56.16</v>
      </c>
      <c r="Z97" s="21">
        <f>$Q97*VLOOKUP($J97, Factor!$B$12:$H$13, 7, 0)</f>
        <v>1</v>
      </c>
      <c r="AA97" s="13">
        <v>1</v>
      </c>
      <c r="AB97" s="21">
        <f t="shared" si="9"/>
        <v>0</v>
      </c>
      <c r="AC97" s="13" t="s">
        <v>395</v>
      </c>
      <c r="AD97" s="15" t="s">
        <v>390</v>
      </c>
    </row>
    <row r="98" spans="1:30" ht="15.75" customHeight="1">
      <c r="A98" s="16" t="str">
        <f>T98&amp;"_"&amp;F98&amp;VLOOKUP($C98, Factor!$AM$4:$AY$30, 7, 0)&amp;IF(COUNTIFS($C$4:C97, C98, $F$4:F97, F98)+1&gt;=100, COUNTIFS($C$4:C97, C98, $F$4:F97, F98)+1,IF(COUNTIFS($C$4:C97, C98, $F$4:F97, F98)+1&gt;=10, "0"&amp;COUNTIFS($C$4:C97, C98, $F$4:F97, F98)+1, "00"&amp;COUNTIFS($C$4:C97, C98, $F$4:F97, F98)+1))</f>
        <v>enpc_F02_B_Gargoyle_002</v>
      </c>
      <c r="B98" s="16"/>
      <c r="C98" s="16" t="s">
        <v>365</v>
      </c>
      <c r="D98" s="17" t="str">
        <f t="shared" si="8"/>
        <v>가고일</v>
      </c>
      <c r="E98" s="17" t="str">
        <f>VLOOKUP($C98, Factor!$AM$4:$AY$30, 8, 0)</f>
        <v>B</v>
      </c>
      <c r="F98" s="17" t="s">
        <v>374</v>
      </c>
      <c r="G98" s="20">
        <v>23</v>
      </c>
      <c r="H98" s="16" t="s">
        <v>55</v>
      </c>
      <c r="I98" s="17" t="str">
        <f>VLOOKUP($C98, Factor!$AM$4:$AY$30, 11, 0)</f>
        <v>B</v>
      </c>
      <c r="J98" s="17" t="str">
        <f>VLOOKUP($C98, Factor!$AM$4:$AY$30, 12, 0)</f>
        <v>ml</v>
      </c>
      <c r="K98" s="17" t="str">
        <f>VLOOKUP($C98, Factor!$AM$4:$AY$30, 13, 0)</f>
        <v>F</v>
      </c>
      <c r="L98" s="17">
        <v>1</v>
      </c>
      <c r="M98" s="17">
        <v>1</v>
      </c>
      <c r="N98" s="17">
        <v>1</v>
      </c>
      <c r="O98" s="17">
        <v>1</v>
      </c>
      <c r="P98" s="17">
        <v>1</v>
      </c>
      <c r="Q98" s="17">
        <v>1</v>
      </c>
      <c r="R98" s="17" t="str">
        <f>VLOOKUP($C98, Factor!$AM$4:$AY$30, 9, 0)</f>
        <v>Big</v>
      </c>
      <c r="S98" s="17" t="s">
        <v>402</v>
      </c>
      <c r="T98" s="17" t="str">
        <f>VLOOKUP($C98, Factor!$AM$4:$AY$30, 10, 0)</f>
        <v>enpc</v>
      </c>
      <c r="U98" s="17" cm="1">
        <f t="array" ref="U98">L98*VLOOKUP($I98, Factor!$B$4:$G$8, 2, 0)*VLOOKUP($J98, Factor!$B$12:$G$13, 2, 0)*VLOOKUP($K98, Factor!$B$17:$G$18, 2, 0)*VLOOKUP($H98, Factor!$J$4:$O$7, 2, 0)*VLOOKUP($F98, Factor!$Q$4:$V$15, 2, 0)*IF(MOD($G98,10)=0, 10, MOD($G98, 10))*((INDEX(Factor!$X$4:$AC$13, _xlfn.XMATCH($G98, Factor!$X$4:$X$13, 1),2)*IF(MOD(G98, 10) = 0, 10, MOD(G98, 10)))+INDEX(Factor!$AE$4:$AJ$13, _xlfn.XMATCH(MonsterData!$G98, Factor!$AE$4:$AE$13, 1),2))</f>
        <v>7020</v>
      </c>
      <c r="V98" s="17" cm="1">
        <f t="array" ref="V98">M98*VLOOKUP($I98, Factor!$B$4:$G$8, 3, 0)*VLOOKUP($J98, Factor!$B$12:$G$13, 3, 0)*VLOOKUP($K98, Factor!$B$17:$G$18, 3, 0)*VLOOKUP($H98, Factor!$J$4:$O$7, 3, 0)*VLOOKUP($F98, Factor!$Q$4:$V$15, 3, 0)*IF(MOD($G98,10)=0, 10, MOD($G98, 10))*((INDEX(Factor!$X$4:$AC$13, _xlfn.XMATCH($G98, Factor!$X$4:$X$13, 1),3)*IF(MOD(G98, 10) = 0, 10, MOD(G98, 10)))+INDEX(Factor!$AE$4:$AJ$13, _xlfn.XMATCH(MonsterData!$G98, Factor!$AE$4:$AE$13, 1),3))</f>
        <v>351</v>
      </c>
      <c r="W98" s="17" cm="1">
        <f t="array" ref="W98">N98*VLOOKUP($I98, Factor!$B$4:$G$8, 4, 0)*VLOOKUP($J98, Factor!$B$12:$G$13, 4, 0)*VLOOKUP($K98, Factor!$B$17:$G$18, 4, 0)*VLOOKUP($H98, Factor!$J$4:$O$7, 4, 0)*VLOOKUP($F98, Factor!$Q$4:$V$15, 4, 0)*IF(MOD($G98,10)=0, 10, MOD($G98, 10))*((INDEX(Factor!$X$4:$AC$13, _xlfn.XMATCH($G98, Factor!$X$4:$X$13, 1),4)*IF(MOD(G98, 10) = 0, 10, MOD(G98, 10)))+INDEX(Factor!$AE$4:$AJ$13, _xlfn.XMATCH(MonsterData!$G98, Factor!$AE$4:$AE$13, 1),4))</f>
        <v>351</v>
      </c>
      <c r="X98" s="17" cm="1">
        <f t="array" ref="X98">O98*VLOOKUP($I98, Factor!$B$4:$G$8, 5, 0)*VLOOKUP($J98, Factor!$B$12:$G$13, 5, 0)*VLOOKUP($K98, Factor!$B$17:$G$18, 5, 0)*VLOOKUP($H98, Factor!$J$4:$O$7, 5, 0)*VLOOKUP($F98, Factor!$Q$4:$V$15, 5, 0)*IF(MOD($G98,10)=0, 10, MOD($G98, 10))*((INDEX(Factor!$X$4:$AC$13, _xlfn.XMATCH($G98, Factor!$X$4:$X$13, 1),5)*IF(MOD(G98, 10) = 0, 10, MOD(G98, 10)))+INDEX(Factor!$AE$4:$AJ$13, _xlfn.XMATCH(MonsterData!$G98, Factor!$AE$4:$AE$13, 1),5))</f>
        <v>28.08</v>
      </c>
      <c r="Y98" s="17" cm="1">
        <f t="array" ref="Y98">P98*VLOOKUP($I98, Factor!$B$4:$G$8, 6, 0)*VLOOKUP($J98, Factor!$B$12:$G$13, 6, 0)*VLOOKUP($K98, Factor!$B$17:$G$18, 6, 0)*VLOOKUP($H98, Factor!$J$4:$O$7, 2, 0)*VLOOKUP($F98, Factor!$Q$4:$V$15, 6, 0)*IF(MOD($G98,10)=0, 10, MOD($G98, 10))*((INDEX(Factor!$X$4:$AC$13, _xlfn.XMATCH($G98, Factor!$X$4:$X$13, 1),6)*IF(MOD(G98, 10) = 0, 10, MOD(G98, 10)))+INDEX(Factor!$AE$4:$AJ$13, _xlfn.XMATCH(MonsterData!$G98, Factor!$AE$4:$AE$13, 1),6))</f>
        <v>168.48</v>
      </c>
      <c r="Z98" s="17">
        <f>$Q98*VLOOKUP($J98, Factor!$B$12:$H$13, 7, 0)</f>
        <v>1</v>
      </c>
      <c r="AA98" s="17">
        <v>1</v>
      </c>
      <c r="AB98" s="17">
        <f t="shared" si="9"/>
        <v>0</v>
      </c>
      <c r="AC98" s="17" t="s">
        <v>396</v>
      </c>
      <c r="AD98" s="19" t="s">
        <v>391</v>
      </c>
    </row>
    <row r="99" spans="1:30" ht="15.75" customHeight="1">
      <c r="A99" s="13" t="str">
        <f>T99&amp;"_"&amp;F99&amp;VLOOKUP($C99, Factor!$AM$4:$AY$30, 7, 0)&amp;IF(COUNTIFS($C$4:C98, C99, $F$4:F98, F99)+1&gt;=100, COUNTIFS($C$4:C98, C99, $F$4:F98, F99)+1,IF(COUNTIFS($C$4:C98, C99, $F$4:F98, F99)+1&gt;=10, "0"&amp;COUNTIFS($C$4:C98, C99, $F$4:F98, F99)+1, "00"&amp;COUNTIFS($C$4:C98, C99, $F$4:F98, F99)+1))</f>
        <v>enpc_F02_A_Lava_003</v>
      </c>
      <c r="B99" s="13"/>
      <c r="C99" s="13" t="s">
        <v>35</v>
      </c>
      <c r="D99" s="21" t="str">
        <f t="shared" si="8"/>
        <v>라바</v>
      </c>
      <c r="E99" s="21" t="str">
        <f>VLOOKUP($C99, Factor!$AM$4:$AY$30, 8, 0)</f>
        <v>S</v>
      </c>
      <c r="F99" s="21" t="s">
        <v>374</v>
      </c>
      <c r="G99" s="22">
        <v>15</v>
      </c>
      <c r="H99" s="13" t="s">
        <v>54</v>
      </c>
      <c r="I99" s="21" t="str">
        <f>VLOOKUP($C99, Factor!$AM$4:$AY$30, 11, 0)</f>
        <v>A</v>
      </c>
      <c r="J99" s="21" t="str">
        <f>VLOOKUP($C99, Factor!$AM$4:$AY$30, 12, 0)</f>
        <v>ml</v>
      </c>
      <c r="K99" s="21" t="str">
        <f>VLOOKUP($C99, Factor!$AM$4:$AY$30, 13, 0)</f>
        <v>L</v>
      </c>
      <c r="L99" s="13">
        <v>1</v>
      </c>
      <c r="M99" s="13">
        <v>1</v>
      </c>
      <c r="N99" s="13">
        <v>1</v>
      </c>
      <c r="O99" s="13">
        <v>1</v>
      </c>
      <c r="P99" s="13">
        <v>1</v>
      </c>
      <c r="Q99" s="13">
        <v>1</v>
      </c>
      <c r="R99" s="21" t="str">
        <f>VLOOKUP($C99, Factor!$AM$4:$AY$30, 9, 0)</f>
        <v>Small</v>
      </c>
      <c r="S99" s="13" t="s">
        <v>88</v>
      </c>
      <c r="T99" s="21" t="str">
        <f>VLOOKUP($C99, Factor!$AM$4:$AY$30, 10, 0)</f>
        <v>enpc</v>
      </c>
      <c r="U99" s="21" cm="1">
        <f t="array" ref="U99">L99*VLOOKUP($I99, Factor!$B$4:$G$8, 2, 0)*VLOOKUP($J99, Factor!$B$12:$G$13, 2, 0)*VLOOKUP($K99, Factor!$B$17:$G$18, 2, 0)*VLOOKUP($H99, Factor!$J$4:$O$7, 2, 0)*VLOOKUP($F99, Factor!$Q$4:$V$15, 2, 0)*IF(MOD($G99,10)=0, 10, MOD($G99, 10))*((INDEX(Factor!$X$4:$AC$13, _xlfn.XMATCH($G99, Factor!$X$4:$X$13, 1),2)*IF(MOD(G99, 10) = 0, 10, MOD(G99, 10)))+INDEX(Factor!$AE$4:$AJ$13, _xlfn.XMATCH(MonsterData!$G99, Factor!$AE$4:$AE$13, 1),2))</f>
        <v>1440</v>
      </c>
      <c r="V99" s="21" cm="1">
        <f t="array" ref="V99">M99*VLOOKUP($I99, Factor!$B$4:$G$8, 3, 0)*VLOOKUP($J99, Factor!$B$12:$G$13, 3, 0)*VLOOKUP($K99, Factor!$B$17:$G$18, 3, 0)*VLOOKUP($H99, Factor!$J$4:$O$7, 3, 0)*VLOOKUP($F99, Factor!$Q$4:$V$15, 3, 0)*IF(MOD($G99,10)=0, 10, MOD($G99, 10))*((INDEX(Factor!$X$4:$AC$13, _xlfn.XMATCH($G99, Factor!$X$4:$X$13, 1),3)*IF(MOD(G99, 10) = 0, 10, MOD(G99, 10)))+INDEX(Factor!$AE$4:$AJ$13, _xlfn.XMATCH(MonsterData!$G99, Factor!$AE$4:$AE$13, 1),3))</f>
        <v>72</v>
      </c>
      <c r="W99" s="21" cm="1">
        <f t="array" ref="W99">N99*VLOOKUP($I99, Factor!$B$4:$G$8, 4, 0)*VLOOKUP($J99, Factor!$B$12:$G$13, 4, 0)*VLOOKUP($K99, Factor!$B$17:$G$18, 4, 0)*VLOOKUP($H99, Factor!$J$4:$O$7, 4, 0)*VLOOKUP($F99, Factor!$Q$4:$V$15, 4, 0)*IF(MOD($G99,10)=0, 10, MOD($G99, 10))*((INDEX(Factor!$X$4:$AC$13, _xlfn.XMATCH($G99, Factor!$X$4:$X$13, 1),4)*IF(MOD(G99, 10) = 0, 10, MOD(G99, 10)))+INDEX(Factor!$AE$4:$AJ$13, _xlfn.XMATCH(MonsterData!$G99, Factor!$AE$4:$AE$13, 1),4))</f>
        <v>43.2</v>
      </c>
      <c r="X99" s="21" cm="1">
        <f t="array" ref="X99">O99*VLOOKUP($I99, Factor!$B$4:$G$8, 5, 0)*VLOOKUP($J99, Factor!$B$12:$G$13, 5, 0)*VLOOKUP($K99, Factor!$B$17:$G$18, 5, 0)*VLOOKUP($H99, Factor!$J$4:$O$7, 5, 0)*VLOOKUP($F99, Factor!$Q$4:$V$15, 5, 0)*IF(MOD($G99,10)=0, 10, MOD($G99, 10))*((INDEX(Factor!$X$4:$AC$13, _xlfn.XMATCH($G99, Factor!$X$4:$X$13, 1),5)*IF(MOD(G99, 10) = 0, 10, MOD(G99, 10)))+INDEX(Factor!$AE$4:$AJ$13, _xlfn.XMATCH(MonsterData!$G99, Factor!$AE$4:$AE$13, 1),5))</f>
        <v>12</v>
      </c>
      <c r="Y99" s="21" cm="1">
        <f t="array" ref="Y99">P99*VLOOKUP($I99, Factor!$B$4:$G$8, 6, 0)*VLOOKUP($J99, Factor!$B$12:$G$13, 6, 0)*VLOOKUP($K99, Factor!$B$17:$G$18, 6, 0)*VLOOKUP($H99, Factor!$J$4:$O$7, 2, 0)*VLOOKUP($F99, Factor!$Q$4:$V$15, 6, 0)*IF(MOD($G99,10)=0, 10, MOD($G99, 10))*((INDEX(Factor!$X$4:$AC$13, _xlfn.XMATCH($G99, Factor!$X$4:$X$13, 1),6)*IF(MOD(G99, 10) = 0, 10, MOD(G99, 10)))+INDEX(Factor!$AE$4:$AJ$13, _xlfn.XMATCH(MonsterData!$G99, Factor!$AE$4:$AE$13, 1),6))</f>
        <v>48</v>
      </c>
      <c r="Z99" s="21">
        <f>$Q99*VLOOKUP($J99, Factor!$B$12:$H$13, 7, 0)</f>
        <v>1</v>
      </c>
      <c r="AA99" s="13">
        <v>1</v>
      </c>
      <c r="AB99" s="21">
        <f t="shared" si="9"/>
        <v>0</v>
      </c>
      <c r="AC99" s="13" t="s">
        <v>139</v>
      </c>
      <c r="AD99" s="15" t="s">
        <v>142</v>
      </c>
    </row>
    <row r="100" spans="1:30" ht="15.75" customHeight="1">
      <c r="A100" s="16" t="str">
        <f>T100&amp;"_"&amp;F100&amp;VLOOKUP($C100, Factor!$AM$4:$AY$30, 7, 0)&amp;IF(COUNTIFS($C$4:C99, C100, $F$4:F99, F100)+1&gt;=100, COUNTIFS($C$4:C99, C100, $F$4:F99, F100)+1,IF(COUNTIFS($C$4:C99, C100, $F$4:F99, F100)+1&gt;=10, "0"&amp;COUNTIFS($C$4:C99, C100, $F$4:F99, F100)+1, "00"&amp;COUNTIFS($C$4:C99, C100, $F$4:F99, F100)+1))</f>
        <v>enpc_F02_A_Cocoon_003</v>
      </c>
      <c r="B100" s="16"/>
      <c r="C100" s="16" t="s">
        <v>270</v>
      </c>
      <c r="D100" s="17" t="str">
        <f t="shared" si="8"/>
        <v>코쿤</v>
      </c>
      <c r="E100" s="17" t="str">
        <f>VLOOKUP($C100, Factor!$AM$4:$AY$30, 8, 0)</f>
        <v>M</v>
      </c>
      <c r="F100" s="17" t="s">
        <v>374</v>
      </c>
      <c r="G100" s="20">
        <v>15</v>
      </c>
      <c r="H100" s="16" t="s">
        <v>55</v>
      </c>
      <c r="I100" s="17" t="str">
        <f>VLOOKUP($C100, Factor!$AM$4:$AY$30, 11, 0)</f>
        <v>A</v>
      </c>
      <c r="J100" s="17" t="str">
        <f>VLOOKUP($C100, Factor!$AM$4:$AY$30, 12, 0)</f>
        <v>ml</v>
      </c>
      <c r="K100" s="17" t="str">
        <f>VLOOKUP($C100, Factor!$AM$4:$AY$30, 13, 0)</f>
        <v>L</v>
      </c>
      <c r="L100" s="17">
        <v>1</v>
      </c>
      <c r="M100" s="17">
        <v>1</v>
      </c>
      <c r="N100" s="17">
        <v>1</v>
      </c>
      <c r="O100" s="17">
        <v>1</v>
      </c>
      <c r="P100" s="17">
        <v>1</v>
      </c>
      <c r="Q100" s="17">
        <v>1</v>
      </c>
      <c r="R100" s="17" t="str">
        <f>VLOOKUP($C100, Factor!$AM$4:$AY$30, 9, 0)</f>
        <v>Midium</v>
      </c>
      <c r="S100" s="17" t="s">
        <v>196</v>
      </c>
      <c r="T100" s="17" t="str">
        <f>VLOOKUP($C100, Factor!$AM$4:$AY$30, 10, 0)</f>
        <v>enpc</v>
      </c>
      <c r="U100" s="17" cm="1">
        <f t="array" ref="U100">L100*VLOOKUP($I100, Factor!$B$4:$G$8, 2, 0)*VLOOKUP($J100, Factor!$B$12:$G$13, 2, 0)*VLOOKUP($K100, Factor!$B$17:$G$18, 2, 0)*VLOOKUP($H100, Factor!$J$4:$O$7, 2, 0)*VLOOKUP($F100, Factor!$Q$4:$V$15, 2, 0)*IF(MOD($G100,10)=0, 10, MOD($G100, 10))*((INDEX(Factor!$X$4:$AC$13, _xlfn.XMATCH($G100, Factor!$X$4:$X$13, 1),2)*IF(MOD(G100, 10) = 0, 10, MOD(G100, 10)))+INDEX(Factor!$AE$4:$AJ$13, _xlfn.XMATCH(MonsterData!$G100, Factor!$AE$4:$AE$13, 1),2))</f>
        <v>1800</v>
      </c>
      <c r="V100" s="17" cm="1">
        <f t="array" ref="V100">M100*VLOOKUP($I100, Factor!$B$4:$G$8, 3, 0)*VLOOKUP($J100, Factor!$B$12:$G$13, 3, 0)*VLOOKUP($K100, Factor!$B$17:$G$18, 3, 0)*VLOOKUP($H100, Factor!$J$4:$O$7, 3, 0)*VLOOKUP($F100, Factor!$Q$4:$V$15, 3, 0)*IF(MOD($G100,10)=0, 10, MOD($G100, 10))*((INDEX(Factor!$X$4:$AC$13, _xlfn.XMATCH($G100, Factor!$X$4:$X$13, 1),3)*IF(MOD(G100, 10) = 0, 10, MOD(G100, 10)))+INDEX(Factor!$AE$4:$AJ$13, _xlfn.XMATCH(MonsterData!$G100, Factor!$AE$4:$AE$13, 1),3))</f>
        <v>90</v>
      </c>
      <c r="W100" s="17" cm="1">
        <f t="array" ref="W100">N100*VLOOKUP($I100, Factor!$B$4:$G$8, 4, 0)*VLOOKUP($J100, Factor!$B$12:$G$13, 4, 0)*VLOOKUP($K100, Factor!$B$17:$G$18, 4, 0)*VLOOKUP($H100, Factor!$J$4:$O$7, 4, 0)*VLOOKUP($F100, Factor!$Q$4:$V$15, 4, 0)*IF(MOD($G100,10)=0, 10, MOD($G100, 10))*((INDEX(Factor!$X$4:$AC$13, _xlfn.XMATCH($G100, Factor!$X$4:$X$13, 1),4)*IF(MOD(G100, 10) = 0, 10, MOD(G100, 10)))+INDEX(Factor!$AE$4:$AJ$13, _xlfn.XMATCH(MonsterData!$G100, Factor!$AE$4:$AE$13, 1),4))</f>
        <v>53.999999999999993</v>
      </c>
      <c r="X100" s="17" cm="1">
        <f t="array" ref="X100">O100*VLOOKUP($I100, Factor!$B$4:$G$8, 5, 0)*VLOOKUP($J100, Factor!$B$12:$G$13, 5, 0)*VLOOKUP($K100, Factor!$B$17:$G$18, 5, 0)*VLOOKUP($H100, Factor!$J$4:$O$7, 5, 0)*VLOOKUP($F100, Factor!$Q$4:$V$15, 5, 0)*IF(MOD($G100,10)=0, 10, MOD($G100, 10))*((INDEX(Factor!$X$4:$AC$13, _xlfn.XMATCH($G100, Factor!$X$4:$X$13, 1),5)*IF(MOD(G100, 10) = 0, 10, MOD(G100, 10)))+INDEX(Factor!$AE$4:$AJ$13, _xlfn.XMATCH(MonsterData!$G100, Factor!$AE$4:$AE$13, 1),5))</f>
        <v>12</v>
      </c>
      <c r="Y100" s="17" cm="1">
        <f t="array" ref="Y100">P100*VLOOKUP($I100, Factor!$B$4:$G$8, 6, 0)*VLOOKUP($J100, Factor!$B$12:$G$13, 6, 0)*VLOOKUP($K100, Factor!$B$17:$G$18, 6, 0)*VLOOKUP($H100, Factor!$J$4:$O$7, 2, 0)*VLOOKUP($F100, Factor!$Q$4:$V$15, 6, 0)*IF(MOD($G100,10)=0, 10, MOD($G100, 10))*((INDEX(Factor!$X$4:$AC$13, _xlfn.XMATCH($G100, Factor!$X$4:$X$13, 1),6)*IF(MOD(G100, 10) = 0, 10, MOD(G100, 10)))+INDEX(Factor!$AE$4:$AJ$13, _xlfn.XMATCH(MonsterData!$G100, Factor!$AE$4:$AE$13, 1),6))</f>
        <v>60</v>
      </c>
      <c r="Z100" s="17">
        <f>$Q100*VLOOKUP($J100, Factor!$B$12:$H$13, 7, 0)</f>
        <v>1</v>
      </c>
      <c r="AA100" s="17">
        <v>1</v>
      </c>
      <c r="AB100" s="17">
        <f t="shared" si="9"/>
        <v>0</v>
      </c>
      <c r="AC100" s="17" t="s">
        <v>139</v>
      </c>
      <c r="AD100" s="19" t="s">
        <v>142</v>
      </c>
    </row>
    <row r="101" spans="1:30" ht="15.75" customHeight="1">
      <c r="A101" s="13" t="str">
        <f>T101&amp;"_"&amp;F101&amp;VLOOKUP($C101, Factor!$AM$4:$AY$30, 7, 0)&amp;IF(COUNTIFS($C$4:C100, C101, $F$4:F100, F101)+1&gt;=100, COUNTIFS($C$4:C100, C101, $F$4:F100, F101)+1,IF(COUNTIFS($C$4:C100, C101, $F$4:F100, F101)+1&gt;=10, "0"&amp;COUNTIFS($C$4:C100, C101, $F$4:F100, F101)+1, "00"&amp;COUNTIFS($C$4:C100, C101, $F$4:F100, F101)+1))</f>
        <v>enpc_F02_A_Antlion_003</v>
      </c>
      <c r="B101" s="13"/>
      <c r="C101" s="13" t="s">
        <v>38</v>
      </c>
      <c r="D101" s="21" t="str">
        <f t="shared" si="8"/>
        <v>앤틸리온</v>
      </c>
      <c r="E101" s="21" t="str">
        <f>VLOOKUP($C101, Factor!$AM$4:$AY$30, 8, 0)</f>
        <v>M</v>
      </c>
      <c r="F101" s="21" t="s">
        <v>374</v>
      </c>
      <c r="G101" s="22">
        <v>15</v>
      </c>
      <c r="H101" s="13" t="s">
        <v>55</v>
      </c>
      <c r="I101" s="21" t="str">
        <f>VLOOKUP($C101, Factor!$AM$4:$AY$30, 11, 0)</f>
        <v>A</v>
      </c>
      <c r="J101" s="21" t="str">
        <f>VLOOKUP($C101, Factor!$AM$4:$AY$30, 12, 0)</f>
        <v>ra</v>
      </c>
      <c r="K101" s="21" t="str">
        <f>VLOOKUP($C101, Factor!$AM$4:$AY$30, 13, 0)</f>
        <v>L</v>
      </c>
      <c r="L101" s="13">
        <v>1</v>
      </c>
      <c r="M101" s="13">
        <v>1</v>
      </c>
      <c r="N101" s="13">
        <v>1</v>
      </c>
      <c r="O101" s="13">
        <v>1</v>
      </c>
      <c r="P101" s="13">
        <v>1</v>
      </c>
      <c r="Q101" s="13">
        <v>1</v>
      </c>
      <c r="R101" s="21" t="str">
        <f>VLOOKUP($C101, Factor!$AM$4:$AY$30, 9, 0)</f>
        <v>Midium</v>
      </c>
      <c r="S101" s="13" t="s">
        <v>397</v>
      </c>
      <c r="T101" s="21" t="str">
        <f>VLOOKUP($C101, Factor!$AM$4:$AY$30, 10, 0)</f>
        <v>enpc</v>
      </c>
      <c r="U101" s="21" cm="1">
        <f t="array" ref="U101">L101*VLOOKUP($I101, Factor!$B$4:$G$8, 2, 0)*VLOOKUP($J101, Factor!$B$12:$G$13, 2, 0)*VLOOKUP($K101, Factor!$B$17:$G$18, 2, 0)*VLOOKUP($H101, Factor!$J$4:$O$7, 2, 0)*VLOOKUP($F101, Factor!$Q$4:$V$15, 2, 0)*IF(MOD($G101,10)=0, 10, MOD($G101, 10))*((INDEX(Factor!$X$4:$AC$13, _xlfn.XMATCH($G101, Factor!$X$4:$X$13, 1),2)*IF(MOD(G101, 10) = 0, 10, MOD(G101, 10)))+INDEX(Factor!$AE$4:$AJ$13, _xlfn.XMATCH(MonsterData!$G101, Factor!$AE$4:$AE$13, 1),2))</f>
        <v>1440</v>
      </c>
      <c r="V101" s="21" cm="1">
        <f t="array" ref="V101">M101*VLOOKUP($I101, Factor!$B$4:$G$8, 3, 0)*VLOOKUP($J101, Factor!$B$12:$G$13, 3, 0)*VLOOKUP($K101, Factor!$B$17:$G$18, 3, 0)*VLOOKUP($H101, Factor!$J$4:$O$7, 3, 0)*VLOOKUP($F101, Factor!$Q$4:$V$15, 3, 0)*IF(MOD($G101,10)=0, 10, MOD($G101, 10))*((INDEX(Factor!$X$4:$AC$13, _xlfn.XMATCH($G101, Factor!$X$4:$X$13, 1),3)*IF(MOD(G101, 10) = 0, 10, MOD(G101, 10)))+INDEX(Factor!$AE$4:$AJ$13, _xlfn.XMATCH(MonsterData!$G101, Factor!$AE$4:$AE$13, 1),3))</f>
        <v>72</v>
      </c>
      <c r="W101" s="21" cm="1">
        <f t="array" ref="W101">N101*VLOOKUP($I101, Factor!$B$4:$G$8, 4, 0)*VLOOKUP($J101, Factor!$B$12:$G$13, 4, 0)*VLOOKUP($K101, Factor!$B$17:$G$18, 4, 0)*VLOOKUP($H101, Factor!$J$4:$O$7, 4, 0)*VLOOKUP($F101, Factor!$Q$4:$V$15, 4, 0)*IF(MOD($G101,10)=0, 10, MOD($G101, 10))*((INDEX(Factor!$X$4:$AC$13, _xlfn.XMATCH($G101, Factor!$X$4:$X$13, 1),4)*IF(MOD(G101, 10) = 0, 10, MOD(G101, 10)))+INDEX(Factor!$AE$4:$AJ$13, _xlfn.XMATCH(MonsterData!$G101, Factor!$AE$4:$AE$13, 1),4))</f>
        <v>64.8</v>
      </c>
      <c r="X101" s="21" cm="1">
        <f t="array" ref="X101">O101*VLOOKUP($I101, Factor!$B$4:$G$8, 5, 0)*VLOOKUP($J101, Factor!$B$12:$G$13, 5, 0)*VLOOKUP($K101, Factor!$B$17:$G$18, 5, 0)*VLOOKUP($H101, Factor!$J$4:$O$7, 5, 0)*VLOOKUP($F101, Factor!$Q$4:$V$15, 5, 0)*IF(MOD($G101,10)=0, 10, MOD($G101, 10))*((INDEX(Factor!$X$4:$AC$13, _xlfn.XMATCH($G101, Factor!$X$4:$X$13, 1),5)*IF(MOD(G101, 10) = 0, 10, MOD(G101, 10)))+INDEX(Factor!$AE$4:$AJ$13, _xlfn.XMATCH(MonsterData!$G101, Factor!$AE$4:$AE$13, 1),5))</f>
        <v>18</v>
      </c>
      <c r="Y101" s="21" cm="1">
        <f t="array" ref="Y101">P101*VLOOKUP($I101, Factor!$B$4:$G$8, 6, 0)*VLOOKUP($J101, Factor!$B$12:$G$13, 6, 0)*VLOOKUP($K101, Factor!$B$17:$G$18, 6, 0)*VLOOKUP($H101, Factor!$J$4:$O$7, 2, 0)*VLOOKUP($F101, Factor!$Q$4:$V$15, 6, 0)*IF(MOD($G101,10)=0, 10, MOD($G101, 10))*((INDEX(Factor!$X$4:$AC$13, _xlfn.XMATCH($G101, Factor!$X$4:$X$13, 1),6)*IF(MOD(G101, 10) = 0, 10, MOD(G101, 10)))+INDEX(Factor!$AE$4:$AJ$13, _xlfn.XMATCH(MonsterData!$G101, Factor!$AE$4:$AE$13, 1),6))</f>
        <v>60</v>
      </c>
      <c r="Z101" s="21">
        <f>$Q101*VLOOKUP($J101, Factor!$B$12:$H$13, 7, 0)</f>
        <v>4</v>
      </c>
      <c r="AA101" s="13">
        <v>1</v>
      </c>
      <c r="AB101" s="21">
        <f t="shared" si="9"/>
        <v>4</v>
      </c>
      <c r="AC101" s="13" t="s">
        <v>139</v>
      </c>
      <c r="AD101" s="15" t="s">
        <v>142</v>
      </c>
    </row>
    <row r="102" spans="1:30" ht="15.75" customHeight="1">
      <c r="A102" s="16" t="str">
        <f>T102&amp;"_"&amp;F102&amp;VLOOKUP($C102, Factor!$AM$4:$AY$30, 7, 0)&amp;IF(COUNTIFS($C$4:C101, C102, $F$4:F101, F102)+1&gt;=100, COUNTIFS($C$4:C101, C102, $F$4:F101, F102)+1,IF(COUNTIFS($C$4:C101, C102, $F$4:F101, F102)+1&gt;=10, "0"&amp;COUNTIFS($C$4:C101, C102, $F$4:F101, F102)+1, "00"&amp;COUNTIFS($C$4:C101, C102, $F$4:F101, F102)+1))</f>
        <v>enpc_F02_A_Nymphe_003</v>
      </c>
      <c r="B102" s="16"/>
      <c r="C102" s="16" t="s">
        <v>39</v>
      </c>
      <c r="D102" s="17" t="str">
        <f t="shared" si="8"/>
        <v>님프</v>
      </c>
      <c r="E102" s="17" t="str">
        <f>VLOOKUP($C102, Factor!$AM$4:$AY$30, 8, 0)</f>
        <v>S</v>
      </c>
      <c r="F102" s="17" t="s">
        <v>374</v>
      </c>
      <c r="G102" s="20">
        <v>15</v>
      </c>
      <c r="H102" s="16" t="s">
        <v>55</v>
      </c>
      <c r="I102" s="17" t="str">
        <f>VLOOKUP($C102, Factor!$AM$4:$AY$30, 11, 0)</f>
        <v>A</v>
      </c>
      <c r="J102" s="17" t="str">
        <f>VLOOKUP($C102, Factor!$AM$4:$AY$30, 12, 0)</f>
        <v>ml</v>
      </c>
      <c r="K102" s="17" t="str">
        <f>VLOOKUP($C102, Factor!$AM$4:$AY$30, 13, 0)</f>
        <v>F</v>
      </c>
      <c r="L102" s="17">
        <v>1</v>
      </c>
      <c r="M102" s="17">
        <v>1</v>
      </c>
      <c r="N102" s="17">
        <v>1</v>
      </c>
      <c r="O102" s="17">
        <v>1</v>
      </c>
      <c r="P102" s="17">
        <v>1</v>
      </c>
      <c r="Q102" s="17">
        <v>1</v>
      </c>
      <c r="R102" s="17" t="str">
        <f>VLOOKUP($C102, Factor!$AM$4:$AY$30, 9, 0)</f>
        <v>Small</v>
      </c>
      <c r="S102" s="17" t="s">
        <v>197</v>
      </c>
      <c r="T102" s="17" t="str">
        <f>VLOOKUP($C102, Factor!$AM$4:$AY$30, 10, 0)</f>
        <v>enpc</v>
      </c>
      <c r="U102" s="17" cm="1">
        <f t="array" ref="U102">L102*VLOOKUP($I102, Factor!$B$4:$G$8, 2, 0)*VLOOKUP($J102, Factor!$B$12:$G$13, 2, 0)*VLOOKUP($K102, Factor!$B$17:$G$18, 2, 0)*VLOOKUP($H102, Factor!$J$4:$O$7, 2, 0)*VLOOKUP($F102, Factor!$Q$4:$V$15, 2, 0)*IF(MOD($G102,10)=0, 10, MOD($G102, 10))*((INDEX(Factor!$X$4:$AC$13, _xlfn.XMATCH($G102, Factor!$X$4:$X$13, 1),2)*IF(MOD(G102, 10) = 0, 10, MOD(G102, 10)))+INDEX(Factor!$AE$4:$AJ$13, _xlfn.XMATCH(MonsterData!$G102, Factor!$AE$4:$AE$13, 1),2))</f>
        <v>1200</v>
      </c>
      <c r="V102" s="17" cm="1">
        <f t="array" ref="V102">M102*VLOOKUP($I102, Factor!$B$4:$G$8, 3, 0)*VLOOKUP($J102, Factor!$B$12:$G$13, 3, 0)*VLOOKUP($K102, Factor!$B$17:$G$18, 3, 0)*VLOOKUP($H102, Factor!$J$4:$O$7, 3, 0)*VLOOKUP($F102, Factor!$Q$4:$V$15, 3, 0)*IF(MOD($G102,10)=0, 10, MOD($G102, 10))*((INDEX(Factor!$X$4:$AC$13, _xlfn.XMATCH($G102, Factor!$X$4:$X$13, 1),3)*IF(MOD(G102, 10) = 0, 10, MOD(G102, 10)))+INDEX(Factor!$AE$4:$AJ$13, _xlfn.XMATCH(MonsterData!$G102, Factor!$AE$4:$AE$13, 1),3))</f>
        <v>60</v>
      </c>
      <c r="W102" s="17" cm="1">
        <f t="array" ref="W102">N102*VLOOKUP($I102, Factor!$B$4:$G$8, 4, 0)*VLOOKUP($J102, Factor!$B$12:$G$13, 4, 0)*VLOOKUP($K102, Factor!$B$17:$G$18, 4, 0)*VLOOKUP($H102, Factor!$J$4:$O$7, 4, 0)*VLOOKUP($F102, Factor!$Q$4:$V$15, 4, 0)*IF(MOD($G102,10)=0, 10, MOD($G102, 10))*((INDEX(Factor!$X$4:$AC$13, _xlfn.XMATCH($G102, Factor!$X$4:$X$13, 1),4)*IF(MOD(G102, 10) = 0, 10, MOD(G102, 10)))+INDEX(Factor!$AE$4:$AJ$13, _xlfn.XMATCH(MonsterData!$G102, Factor!$AE$4:$AE$13, 1),4))</f>
        <v>36</v>
      </c>
      <c r="X102" s="17" cm="1">
        <f t="array" ref="X102">O102*VLOOKUP($I102, Factor!$B$4:$G$8, 5, 0)*VLOOKUP($J102, Factor!$B$12:$G$13, 5, 0)*VLOOKUP($K102, Factor!$B$17:$G$18, 5, 0)*VLOOKUP($H102, Factor!$J$4:$O$7, 5, 0)*VLOOKUP($F102, Factor!$Q$4:$V$15, 5, 0)*IF(MOD($G102,10)=0, 10, MOD($G102, 10))*((INDEX(Factor!$X$4:$AC$13, _xlfn.XMATCH($G102, Factor!$X$4:$X$13, 1),5)*IF(MOD(G102, 10) = 0, 10, MOD(G102, 10)))+INDEX(Factor!$AE$4:$AJ$13, _xlfn.XMATCH(MonsterData!$G102, Factor!$AE$4:$AE$13, 1),5))</f>
        <v>12</v>
      </c>
      <c r="Y102" s="17" cm="1">
        <f t="array" ref="Y102">P102*VLOOKUP($I102, Factor!$B$4:$G$8, 6, 0)*VLOOKUP($J102, Factor!$B$12:$G$13, 6, 0)*VLOOKUP($K102, Factor!$B$17:$G$18, 6, 0)*VLOOKUP($H102, Factor!$J$4:$O$7, 2, 0)*VLOOKUP($F102, Factor!$Q$4:$V$15, 6, 0)*IF(MOD($G102,10)=0, 10, MOD($G102, 10))*((INDEX(Factor!$X$4:$AC$13, _xlfn.XMATCH($G102, Factor!$X$4:$X$13, 1),6)*IF(MOD(G102, 10) = 0, 10, MOD(G102, 10)))+INDEX(Factor!$AE$4:$AJ$13, _xlfn.XMATCH(MonsterData!$G102, Factor!$AE$4:$AE$13, 1),6))</f>
        <v>180</v>
      </c>
      <c r="Z102" s="17">
        <f>$Q102*VLOOKUP($J102, Factor!$B$12:$H$13, 7, 0)</f>
        <v>1</v>
      </c>
      <c r="AA102" s="17">
        <v>1</v>
      </c>
      <c r="AB102" s="17">
        <f t="shared" si="9"/>
        <v>0</v>
      </c>
      <c r="AC102" s="17" t="s">
        <v>139</v>
      </c>
      <c r="AD102" s="19" t="s">
        <v>142</v>
      </c>
    </row>
    <row r="103" spans="1:30" ht="15.75" customHeight="1">
      <c r="A103" s="13" t="str">
        <f>T103&amp;"_"&amp;F103&amp;VLOOKUP($C103, Factor!$AM$4:$AY$30, 7, 0)&amp;IF(COUNTIFS($C$4:C102, C103, $F$4:F102, F103)+1&gt;=100, COUNTIFS($C$4:C102, C103, $F$4:F102, F103)+1,IF(COUNTIFS($C$4:C102, C103, $F$4:F102, F103)+1&gt;=10, "0"&amp;COUNTIFS($C$4:C102, C103, $F$4:F102, F103)+1, "00"&amp;COUNTIFS($C$4:C102, C103, $F$4:F102, F103)+1))</f>
        <v>enpc_F02_B_Golem_003</v>
      </c>
      <c r="B103" s="13"/>
      <c r="C103" s="13" t="s">
        <v>40</v>
      </c>
      <c r="D103" s="21" t="str">
        <f t="shared" si="8"/>
        <v>골렘</v>
      </c>
      <c r="E103" s="21" t="str">
        <f>VLOOKUP($C103, Factor!$AM$4:$AY$30, 8, 0)</f>
        <v>B</v>
      </c>
      <c r="F103" s="21" t="s">
        <v>374</v>
      </c>
      <c r="G103" s="22">
        <v>26</v>
      </c>
      <c r="H103" s="13" t="s">
        <v>57</v>
      </c>
      <c r="I103" s="21" t="str">
        <f>VLOOKUP($C103, Factor!$AM$4:$AY$30, 11, 0)</f>
        <v>B</v>
      </c>
      <c r="J103" s="21" t="str">
        <f>VLOOKUP($C103, Factor!$AM$4:$AY$30, 12, 0)</f>
        <v>ml</v>
      </c>
      <c r="K103" s="21" t="str">
        <f>VLOOKUP($C103, Factor!$AM$4:$AY$30, 13, 0)</f>
        <v>L</v>
      </c>
      <c r="L103" s="13">
        <v>1</v>
      </c>
      <c r="M103" s="13">
        <v>1</v>
      </c>
      <c r="N103" s="13">
        <v>1</v>
      </c>
      <c r="O103" s="13">
        <v>1</v>
      </c>
      <c r="P103" s="13">
        <v>1</v>
      </c>
      <c r="Q103" s="13">
        <v>1</v>
      </c>
      <c r="R103" s="21" t="str">
        <f>VLOOKUP($C103, Factor!$AM$4:$AY$30, 9, 0)</f>
        <v>Big</v>
      </c>
      <c r="S103" s="13" t="s">
        <v>398</v>
      </c>
      <c r="T103" s="21" t="str">
        <f>VLOOKUP($C103, Factor!$AM$4:$AY$30, 10, 0)</f>
        <v>enpc</v>
      </c>
      <c r="U103" s="21" cm="1">
        <f t="array" ref="U103">L103*VLOOKUP($I103, Factor!$B$4:$G$8, 2, 0)*VLOOKUP($J103, Factor!$B$12:$G$13, 2, 0)*VLOOKUP($K103, Factor!$B$17:$G$18, 2, 0)*VLOOKUP($H103, Factor!$J$4:$O$7, 2, 0)*VLOOKUP($F103, Factor!$Q$4:$V$15, 2, 0)*IF(MOD($G103,10)=0, 10, MOD($G103, 10))*((INDEX(Factor!$X$4:$AC$13, _xlfn.XMATCH($G103, Factor!$X$4:$X$13, 1),2)*IF(MOD(G103, 10) = 0, 10, MOD(G103, 10)))+INDEX(Factor!$AE$4:$AJ$13, _xlfn.XMATCH(MonsterData!$G103, Factor!$AE$4:$AE$13, 1),2))</f>
        <v>51840</v>
      </c>
      <c r="V103" s="21" cm="1">
        <f t="array" ref="V103">M103*VLOOKUP($I103, Factor!$B$4:$G$8, 3, 0)*VLOOKUP($J103, Factor!$B$12:$G$13, 3, 0)*VLOOKUP($K103, Factor!$B$17:$G$18, 3, 0)*VLOOKUP($H103, Factor!$J$4:$O$7, 3, 0)*VLOOKUP($F103, Factor!$Q$4:$V$15, 3, 0)*IF(MOD($G103,10)=0, 10, MOD($G103, 10))*((INDEX(Factor!$X$4:$AC$13, _xlfn.XMATCH($G103, Factor!$X$4:$X$13, 1),3)*IF(MOD(G103, 10) = 0, 10, MOD(G103, 10)))+INDEX(Factor!$AE$4:$AJ$13, _xlfn.XMATCH(MonsterData!$G103, Factor!$AE$4:$AE$13, 1),3))</f>
        <v>2592</v>
      </c>
      <c r="W103" s="21" cm="1">
        <f t="array" ref="W103">N103*VLOOKUP($I103, Factor!$B$4:$G$8, 4, 0)*VLOOKUP($J103, Factor!$B$12:$G$13, 4, 0)*VLOOKUP($K103, Factor!$B$17:$G$18, 4, 0)*VLOOKUP($H103, Factor!$J$4:$O$7, 4, 0)*VLOOKUP($F103, Factor!$Q$4:$V$15, 4, 0)*IF(MOD($G103,10)=0, 10, MOD($G103, 10))*((INDEX(Factor!$X$4:$AC$13, _xlfn.XMATCH($G103, Factor!$X$4:$X$13, 1),4)*IF(MOD(G103, 10) = 0, 10, MOD(G103, 10)))+INDEX(Factor!$AE$4:$AJ$13, _xlfn.XMATCH(MonsterData!$G103, Factor!$AE$4:$AE$13, 1),4))</f>
        <v>129.6</v>
      </c>
      <c r="X103" s="21" cm="1">
        <f t="array" ref="X103">O103*VLOOKUP($I103, Factor!$B$4:$G$8, 5, 0)*VLOOKUP($J103, Factor!$B$12:$G$13, 5, 0)*VLOOKUP($K103, Factor!$B$17:$G$18, 5, 0)*VLOOKUP($H103, Factor!$J$4:$O$7, 5, 0)*VLOOKUP($F103, Factor!$Q$4:$V$15, 5, 0)*IF(MOD($G103,10)=0, 10, MOD($G103, 10))*((INDEX(Factor!$X$4:$AC$13, _xlfn.XMATCH($G103, Factor!$X$4:$X$13, 1),5)*IF(MOD(G103, 10) = 0, 10, MOD(G103, 10)))+INDEX(Factor!$AE$4:$AJ$13, _xlfn.XMATCH(MonsterData!$G103, Factor!$AE$4:$AE$13, 1),5))</f>
        <v>138.23999999999998</v>
      </c>
      <c r="Y103" s="21" cm="1">
        <f t="array" ref="Y103">P103*VLOOKUP($I103, Factor!$B$4:$G$8, 6, 0)*VLOOKUP($J103, Factor!$B$12:$G$13, 6, 0)*VLOOKUP($K103, Factor!$B$17:$G$18, 6, 0)*VLOOKUP($H103, Factor!$J$4:$O$7, 2, 0)*VLOOKUP($F103, Factor!$Q$4:$V$15, 6, 0)*IF(MOD($G103,10)=0, 10, MOD($G103, 10))*((INDEX(Factor!$X$4:$AC$13, _xlfn.XMATCH($G103, Factor!$X$4:$X$13, 1),6)*IF(MOD(G103, 10) = 0, 10, MOD(G103, 10)))+INDEX(Factor!$AE$4:$AJ$13, _xlfn.XMATCH(MonsterData!$G103, Factor!$AE$4:$AE$13, 1),6))</f>
        <v>276.47999999999996</v>
      </c>
      <c r="Z103" s="21">
        <f>$Q103*VLOOKUP($J103, Factor!$B$12:$H$13, 7, 0)</f>
        <v>1</v>
      </c>
      <c r="AA103" s="13">
        <v>1</v>
      </c>
      <c r="AB103" s="21">
        <f t="shared" si="9"/>
        <v>0</v>
      </c>
      <c r="AC103" s="13" t="s">
        <v>140</v>
      </c>
      <c r="AD103" s="15" t="s">
        <v>143</v>
      </c>
    </row>
    <row r="104" spans="1:30" ht="15.75" customHeight="1">
      <c r="A104" s="16" t="str">
        <f>T104&amp;"_"&amp;F104&amp;VLOOKUP($C104, Factor!$AM$4:$AY$30, 7, 0)&amp;IF(COUNTIFS($C$4:C103, C104, $F$4:F103, F104)+1&gt;=100, COUNTIFS($C$4:C103, C104, $F$4:F103, F104)+1,IF(COUNTIFS($C$4:C103, C104, $F$4:F103, F104)+1&gt;=10, "0"&amp;COUNTIFS($C$4:C103, C104, $F$4:F103, F104)+1, "00"&amp;COUNTIFS($C$4:C103, C104, $F$4:F103, F104)+1))</f>
        <v>enpc_F02_B_Banshee_003</v>
      </c>
      <c r="B104" s="16"/>
      <c r="C104" s="16" t="s">
        <v>42</v>
      </c>
      <c r="D104" s="17" t="str">
        <f t="shared" si="8"/>
        <v>밴시</v>
      </c>
      <c r="E104" s="17" t="str">
        <f>VLOOKUP($C104, Factor!$AM$4:$AY$30, 8, 0)</f>
        <v>S</v>
      </c>
      <c r="F104" s="17" t="s">
        <v>374</v>
      </c>
      <c r="G104" s="20">
        <v>26</v>
      </c>
      <c r="H104" s="16" t="s">
        <v>56</v>
      </c>
      <c r="I104" s="17" t="str">
        <f>VLOOKUP($C104, Factor!$AM$4:$AY$30, 11, 0)</f>
        <v>B</v>
      </c>
      <c r="J104" s="17" t="str">
        <f>VLOOKUP($C104, Factor!$AM$4:$AY$30, 12, 0)</f>
        <v>ra</v>
      </c>
      <c r="K104" s="17" t="str">
        <f>VLOOKUP($C104, Factor!$AM$4:$AY$30, 13, 0)</f>
        <v>L</v>
      </c>
      <c r="L104" s="17">
        <v>1</v>
      </c>
      <c r="M104" s="17">
        <v>1</v>
      </c>
      <c r="N104" s="17">
        <v>1</v>
      </c>
      <c r="O104" s="17">
        <v>1</v>
      </c>
      <c r="P104" s="17">
        <v>1</v>
      </c>
      <c r="Q104" s="17">
        <v>1</v>
      </c>
      <c r="R104" s="17" t="str">
        <f>VLOOKUP($C104, Factor!$AM$4:$AY$30, 9, 0)</f>
        <v>Midium</v>
      </c>
      <c r="S104" s="17" t="s">
        <v>198</v>
      </c>
      <c r="T104" s="17" t="str">
        <f>VLOOKUP($C104, Factor!$AM$4:$AY$30, 10, 0)</f>
        <v>enpc</v>
      </c>
      <c r="U104" s="17" cm="1">
        <f t="array" ref="U104">L104*VLOOKUP($I104, Factor!$B$4:$G$8, 2, 0)*VLOOKUP($J104, Factor!$B$12:$G$13, 2, 0)*VLOOKUP($K104, Factor!$B$17:$G$18, 2, 0)*VLOOKUP($H104, Factor!$J$4:$O$7, 2, 0)*VLOOKUP($F104, Factor!$Q$4:$V$15, 2, 0)*IF(MOD($G104,10)=0, 10, MOD($G104, 10))*((INDEX(Factor!$X$4:$AC$13, _xlfn.XMATCH($G104, Factor!$X$4:$X$13, 1),2)*IF(MOD(G104, 10) = 0, 10, MOD(G104, 10)))+INDEX(Factor!$AE$4:$AJ$13, _xlfn.XMATCH(MonsterData!$G104, Factor!$AE$4:$AE$13, 1),2))</f>
        <v>20736</v>
      </c>
      <c r="V104" s="17" cm="1">
        <f t="array" ref="V104">M104*VLOOKUP($I104, Factor!$B$4:$G$8, 3, 0)*VLOOKUP($J104, Factor!$B$12:$G$13, 3, 0)*VLOOKUP($K104, Factor!$B$17:$G$18, 3, 0)*VLOOKUP($H104, Factor!$J$4:$O$7, 3, 0)*VLOOKUP($F104, Factor!$Q$4:$V$15, 3, 0)*IF(MOD($G104,10)=0, 10, MOD($G104, 10))*((INDEX(Factor!$X$4:$AC$13, _xlfn.XMATCH($G104, Factor!$X$4:$X$13, 1),3)*IF(MOD(G104, 10) = 0, 10, MOD(G104, 10)))+INDEX(Factor!$AE$4:$AJ$13, _xlfn.XMATCH(MonsterData!$G104, Factor!$AE$4:$AE$13, 1),3))</f>
        <v>1036.8</v>
      </c>
      <c r="W104" s="17" cm="1">
        <f t="array" ref="W104">N104*VLOOKUP($I104, Factor!$B$4:$G$8, 4, 0)*VLOOKUP($J104, Factor!$B$12:$G$13, 4, 0)*VLOOKUP($K104, Factor!$B$17:$G$18, 4, 0)*VLOOKUP($H104, Factor!$J$4:$O$7, 4, 0)*VLOOKUP($F104, Factor!$Q$4:$V$15, 4, 0)*IF(MOD($G104,10)=0, 10, MOD($G104, 10))*((INDEX(Factor!$X$4:$AC$13, _xlfn.XMATCH($G104, Factor!$X$4:$X$13, 1),4)*IF(MOD(G104, 10) = 0, 10, MOD(G104, 10)))+INDEX(Factor!$AE$4:$AJ$13, _xlfn.XMATCH(MonsterData!$G104, Factor!$AE$4:$AE$13, 1),4))</f>
        <v>3110.4</v>
      </c>
      <c r="X104" s="17" cm="1">
        <f t="array" ref="X104">O104*VLOOKUP($I104, Factor!$B$4:$G$8, 5, 0)*VLOOKUP($J104, Factor!$B$12:$G$13, 5, 0)*VLOOKUP($K104, Factor!$B$17:$G$18, 5, 0)*VLOOKUP($H104, Factor!$J$4:$O$7, 5, 0)*VLOOKUP($F104, Factor!$Q$4:$V$15, 5, 0)*IF(MOD($G104,10)=0, 10, MOD($G104, 10))*((INDEX(Factor!$X$4:$AC$13, _xlfn.XMATCH($G104, Factor!$X$4:$X$13, 1),5)*IF(MOD(G104, 10) = 0, 10, MOD(G104, 10)))+INDEX(Factor!$AE$4:$AJ$13, _xlfn.XMATCH(MonsterData!$G104, Factor!$AE$4:$AE$13, 1),5))</f>
        <v>93.311999999999998</v>
      </c>
      <c r="Y104" s="17" cm="1">
        <f t="array" ref="Y104">P104*VLOOKUP($I104, Factor!$B$4:$G$8, 6, 0)*VLOOKUP($J104, Factor!$B$12:$G$13, 6, 0)*VLOOKUP($K104, Factor!$B$17:$G$18, 6, 0)*VLOOKUP($H104, Factor!$J$4:$O$7, 2, 0)*VLOOKUP($F104, Factor!$Q$4:$V$15, 6, 0)*IF(MOD($G104,10)=0, 10, MOD($G104, 10))*((INDEX(Factor!$X$4:$AC$13, _xlfn.XMATCH($G104, Factor!$X$4:$X$13, 1),6)*IF(MOD(G104, 10) = 0, 10, MOD(G104, 10)))+INDEX(Factor!$AE$4:$AJ$13, _xlfn.XMATCH(MonsterData!$G104, Factor!$AE$4:$AE$13, 1),6))</f>
        <v>138.23999999999998</v>
      </c>
      <c r="Z104" s="17">
        <f>$Q104*VLOOKUP($J104, Factor!$B$12:$H$13, 7, 0)</f>
        <v>4</v>
      </c>
      <c r="AA104" s="17">
        <v>1</v>
      </c>
      <c r="AB104" s="17">
        <f t="shared" si="9"/>
        <v>4</v>
      </c>
      <c r="AC104" s="17" t="s">
        <v>141</v>
      </c>
      <c r="AD104" s="19" t="s">
        <v>144</v>
      </c>
    </row>
    <row r="105" spans="1:30" ht="15.75" customHeight="1">
      <c r="A105" s="13" t="str">
        <f>T105&amp;"_"&amp;F105&amp;VLOOKUP($C105, Factor!$AM$4:$AY$30, 7, 0)&amp;IF(COUNTIFS($C$4:C104, C105, $F$4:F104, F105)+1&gt;=100, COUNTIFS($C$4:C104, C105, $F$4:F104, F105)+1,IF(COUNTIFS($C$4:C104, C105, $F$4:F104, F105)+1&gt;=10, "0"&amp;COUNTIFS($C$4:C104, C105, $F$4:F104, F105)+1, "00"&amp;COUNTIFS($C$4:C104, C105, $F$4:F104, F105)+1))</f>
        <v>enpc_F02_A_Scarab_003</v>
      </c>
      <c r="B105" s="13"/>
      <c r="C105" s="13" t="s">
        <v>353</v>
      </c>
      <c r="D105" s="21" t="str">
        <f t="shared" si="8"/>
        <v>스캐럽</v>
      </c>
      <c r="E105" s="21" t="str">
        <f>VLOOKUP($C105, Factor!$AM$4:$AY$30, 8, 0)</f>
        <v>S</v>
      </c>
      <c r="F105" s="21" t="s">
        <v>374</v>
      </c>
      <c r="G105" s="22">
        <v>15</v>
      </c>
      <c r="H105" s="13" t="s">
        <v>55</v>
      </c>
      <c r="I105" s="21" t="str">
        <f>VLOOKUP($C105, Factor!$AM$4:$AY$30, 11, 0)</f>
        <v>A</v>
      </c>
      <c r="J105" s="21" t="str">
        <f>VLOOKUP($C105, Factor!$AM$4:$AY$30, 12, 0)</f>
        <v>ml</v>
      </c>
      <c r="K105" s="21" t="str">
        <f>VLOOKUP($C105, Factor!$AM$4:$AY$30, 13, 0)</f>
        <v>L</v>
      </c>
      <c r="L105" s="13">
        <v>1</v>
      </c>
      <c r="M105" s="13">
        <v>1</v>
      </c>
      <c r="N105" s="13">
        <v>1</v>
      </c>
      <c r="O105" s="13">
        <v>1</v>
      </c>
      <c r="P105" s="13">
        <v>1</v>
      </c>
      <c r="Q105" s="13">
        <v>1</v>
      </c>
      <c r="R105" s="21" t="str">
        <f>VLOOKUP($C105, Factor!$AM$4:$AY$30, 9, 0)</f>
        <v>Midium</v>
      </c>
      <c r="S105" s="13" t="s">
        <v>399</v>
      </c>
      <c r="T105" s="21" t="str">
        <f>VLOOKUP($C105, Factor!$AM$4:$AY$30, 10, 0)</f>
        <v>enpc</v>
      </c>
      <c r="U105" s="21" cm="1">
        <f t="array" ref="U105">L105*VLOOKUP($I105, Factor!$B$4:$G$8, 2, 0)*VLOOKUP($J105, Factor!$B$12:$G$13, 2, 0)*VLOOKUP($K105, Factor!$B$17:$G$18, 2, 0)*VLOOKUP($H105, Factor!$J$4:$O$7, 2, 0)*VLOOKUP($F105, Factor!$Q$4:$V$15, 2, 0)*IF(MOD($G105,10)=0, 10, MOD($G105, 10))*((INDEX(Factor!$X$4:$AC$13, _xlfn.XMATCH($G105, Factor!$X$4:$X$13, 1),2)*IF(MOD(G105, 10) = 0, 10, MOD(G105, 10)))+INDEX(Factor!$AE$4:$AJ$13, _xlfn.XMATCH(MonsterData!$G105, Factor!$AE$4:$AE$13, 1),2))</f>
        <v>1800</v>
      </c>
      <c r="V105" s="21" cm="1">
        <f t="array" ref="V105">M105*VLOOKUP($I105, Factor!$B$4:$G$8, 3, 0)*VLOOKUP($J105, Factor!$B$12:$G$13, 3, 0)*VLOOKUP($K105, Factor!$B$17:$G$18, 3, 0)*VLOOKUP($H105, Factor!$J$4:$O$7, 3, 0)*VLOOKUP($F105, Factor!$Q$4:$V$15, 3, 0)*IF(MOD($G105,10)=0, 10, MOD($G105, 10))*((INDEX(Factor!$X$4:$AC$13, _xlfn.XMATCH($G105, Factor!$X$4:$X$13, 1),3)*IF(MOD(G105, 10) = 0, 10, MOD(G105, 10)))+INDEX(Factor!$AE$4:$AJ$13, _xlfn.XMATCH(MonsterData!$G105, Factor!$AE$4:$AE$13, 1),3))</f>
        <v>90</v>
      </c>
      <c r="W105" s="21" cm="1">
        <f t="array" ref="W105">N105*VLOOKUP($I105, Factor!$B$4:$G$8, 4, 0)*VLOOKUP($J105, Factor!$B$12:$G$13, 4, 0)*VLOOKUP($K105, Factor!$B$17:$G$18, 4, 0)*VLOOKUP($H105, Factor!$J$4:$O$7, 4, 0)*VLOOKUP($F105, Factor!$Q$4:$V$15, 4, 0)*IF(MOD($G105,10)=0, 10, MOD($G105, 10))*((INDEX(Factor!$X$4:$AC$13, _xlfn.XMATCH($G105, Factor!$X$4:$X$13, 1),4)*IF(MOD(G105, 10) = 0, 10, MOD(G105, 10)))+INDEX(Factor!$AE$4:$AJ$13, _xlfn.XMATCH(MonsterData!$G105, Factor!$AE$4:$AE$13, 1),4))</f>
        <v>53.999999999999993</v>
      </c>
      <c r="X105" s="21" cm="1">
        <f t="array" ref="X105">O105*VLOOKUP($I105, Factor!$B$4:$G$8, 5, 0)*VLOOKUP($J105, Factor!$B$12:$G$13, 5, 0)*VLOOKUP($K105, Factor!$B$17:$G$18, 5, 0)*VLOOKUP($H105, Factor!$J$4:$O$7, 5, 0)*VLOOKUP($F105, Factor!$Q$4:$V$15, 5, 0)*IF(MOD($G105,10)=0, 10, MOD($G105, 10))*((INDEX(Factor!$X$4:$AC$13, _xlfn.XMATCH($G105, Factor!$X$4:$X$13, 1),5)*IF(MOD(G105, 10) = 0, 10, MOD(G105, 10)))+INDEX(Factor!$AE$4:$AJ$13, _xlfn.XMATCH(MonsterData!$G105, Factor!$AE$4:$AE$13, 1),5))</f>
        <v>12</v>
      </c>
      <c r="Y105" s="21" cm="1">
        <f t="array" ref="Y105">P105*VLOOKUP($I105, Factor!$B$4:$G$8, 6, 0)*VLOOKUP($J105, Factor!$B$12:$G$13, 6, 0)*VLOOKUP($K105, Factor!$B$17:$G$18, 6, 0)*VLOOKUP($H105, Factor!$J$4:$O$7, 2, 0)*VLOOKUP($F105, Factor!$Q$4:$V$15, 6, 0)*IF(MOD($G105,10)=0, 10, MOD($G105, 10))*((INDEX(Factor!$X$4:$AC$13, _xlfn.XMATCH($G105, Factor!$X$4:$X$13, 1),6)*IF(MOD(G105, 10) = 0, 10, MOD(G105, 10)))+INDEX(Factor!$AE$4:$AJ$13, _xlfn.XMATCH(MonsterData!$G105, Factor!$AE$4:$AE$13, 1),6))</f>
        <v>60</v>
      </c>
      <c r="Z105" s="21">
        <f>$Q105*VLOOKUP($J105, Factor!$B$12:$H$13, 7, 0)</f>
        <v>1</v>
      </c>
      <c r="AA105" s="13">
        <v>1</v>
      </c>
      <c r="AB105" s="21">
        <f t="shared" si="9"/>
        <v>0</v>
      </c>
      <c r="AC105" s="13" t="s">
        <v>139</v>
      </c>
      <c r="AD105" s="15" t="s">
        <v>387</v>
      </c>
    </row>
    <row r="106" spans="1:30" ht="15.75" customHeight="1">
      <c r="A106" s="16" t="str">
        <f>T106&amp;"_"&amp;F106&amp;VLOOKUP($C106, Factor!$AM$4:$AY$30, 7, 0)&amp;IF(COUNTIFS($C$4:C105, C106, $F$4:F105, F106)+1&gt;=100, COUNTIFS($C$4:C105, C106, $F$4:F105, F106)+1,IF(COUNTIFS($C$4:C105, C106, $F$4:F105, F106)+1&gt;=10, "0"&amp;COUNTIFS($C$4:C105, C106, $F$4:F105, F106)+1, "00"&amp;COUNTIFS($C$4:C105, C106, $F$4:F105, F106)+1))</f>
        <v>enpc_F02_A_Swarmlet_003</v>
      </c>
      <c r="B106" s="16"/>
      <c r="C106" s="16" t="s">
        <v>355</v>
      </c>
      <c r="D106" s="17" t="str">
        <f t="shared" si="8"/>
        <v>스웜렛</v>
      </c>
      <c r="E106" s="17" t="str">
        <f>VLOOKUP($C106, Factor!$AM$4:$AY$30, 8, 0)</f>
        <v>B</v>
      </c>
      <c r="F106" s="17" t="s">
        <v>374</v>
      </c>
      <c r="G106" s="20">
        <v>15</v>
      </c>
      <c r="H106" s="16" t="s">
        <v>56</v>
      </c>
      <c r="I106" s="17" t="str">
        <f>VLOOKUP($C106, Factor!$AM$4:$AY$30, 11, 0)</f>
        <v>A</v>
      </c>
      <c r="J106" s="17" t="str">
        <f>VLOOKUP($C106, Factor!$AM$4:$AY$30, 12, 0)</f>
        <v>ml</v>
      </c>
      <c r="K106" s="17" t="str">
        <f>VLOOKUP($C106, Factor!$AM$4:$AY$30, 13, 0)</f>
        <v>L</v>
      </c>
      <c r="L106" s="17">
        <v>1</v>
      </c>
      <c r="M106" s="17">
        <v>1</v>
      </c>
      <c r="N106" s="17">
        <v>1</v>
      </c>
      <c r="O106" s="17">
        <v>1</v>
      </c>
      <c r="P106" s="17">
        <v>1</v>
      </c>
      <c r="Q106" s="17">
        <v>1</v>
      </c>
      <c r="R106" s="17" t="str">
        <f>VLOOKUP($C106, Factor!$AM$4:$AY$30, 9, 0)</f>
        <v>Small</v>
      </c>
      <c r="S106" s="17" t="s">
        <v>376</v>
      </c>
      <c r="T106" s="17" t="str">
        <f>VLOOKUP($C106, Factor!$AM$4:$AY$30, 10, 0)</f>
        <v>enpc</v>
      </c>
      <c r="U106" s="17" cm="1">
        <f t="array" ref="U106">L106*VLOOKUP($I106, Factor!$B$4:$G$8, 2, 0)*VLOOKUP($J106, Factor!$B$12:$G$13, 2, 0)*VLOOKUP($K106, Factor!$B$17:$G$18, 2, 0)*VLOOKUP($H106, Factor!$J$4:$O$7, 2, 0)*VLOOKUP($F106, Factor!$Q$4:$V$15, 2, 0)*IF(MOD($G106,10)=0, 10, MOD($G106, 10))*((INDEX(Factor!$X$4:$AC$13, _xlfn.XMATCH($G106, Factor!$X$4:$X$13, 1),2)*IF(MOD(G106, 10) = 0, 10, MOD(G106, 10)))+INDEX(Factor!$AE$4:$AJ$13, _xlfn.XMATCH(MonsterData!$G106, Factor!$AE$4:$AE$13, 1),2))</f>
        <v>1800</v>
      </c>
      <c r="V106" s="17" cm="1">
        <f t="array" ref="V106">M106*VLOOKUP($I106, Factor!$B$4:$G$8, 3, 0)*VLOOKUP($J106, Factor!$B$12:$G$13, 3, 0)*VLOOKUP($K106, Factor!$B$17:$G$18, 3, 0)*VLOOKUP($H106, Factor!$J$4:$O$7, 3, 0)*VLOOKUP($F106, Factor!$Q$4:$V$15, 3, 0)*IF(MOD($G106,10)=0, 10, MOD($G106, 10))*((INDEX(Factor!$X$4:$AC$13, _xlfn.XMATCH($G106, Factor!$X$4:$X$13, 1),3)*IF(MOD(G106, 10) = 0, 10, MOD(G106, 10)))+INDEX(Factor!$AE$4:$AJ$13, _xlfn.XMATCH(MonsterData!$G106, Factor!$AE$4:$AE$13, 1),3))</f>
        <v>90</v>
      </c>
      <c r="W106" s="17" cm="1">
        <f t="array" ref="W106">N106*VLOOKUP($I106, Factor!$B$4:$G$8, 4, 0)*VLOOKUP($J106, Factor!$B$12:$G$13, 4, 0)*VLOOKUP($K106, Factor!$B$17:$G$18, 4, 0)*VLOOKUP($H106, Factor!$J$4:$O$7, 4, 0)*VLOOKUP($F106, Factor!$Q$4:$V$15, 4, 0)*IF(MOD($G106,10)=0, 10, MOD($G106, 10))*((INDEX(Factor!$X$4:$AC$13, _xlfn.XMATCH($G106, Factor!$X$4:$X$13, 1),4)*IF(MOD(G106, 10) = 0, 10, MOD(G106, 10)))+INDEX(Factor!$AE$4:$AJ$13, _xlfn.XMATCH(MonsterData!$G106, Factor!$AE$4:$AE$13, 1),4))</f>
        <v>107.99999999999999</v>
      </c>
      <c r="X106" s="17" cm="1">
        <f t="array" ref="X106">O106*VLOOKUP($I106, Factor!$B$4:$G$8, 5, 0)*VLOOKUP($J106, Factor!$B$12:$G$13, 5, 0)*VLOOKUP($K106, Factor!$B$17:$G$18, 5, 0)*VLOOKUP($H106, Factor!$J$4:$O$7, 5, 0)*VLOOKUP($F106, Factor!$Q$4:$V$15, 5, 0)*IF(MOD($G106,10)=0, 10, MOD($G106, 10))*((INDEX(Factor!$X$4:$AC$13, _xlfn.XMATCH($G106, Factor!$X$4:$X$13, 1),5)*IF(MOD(G106, 10) = 0, 10, MOD(G106, 10)))+INDEX(Factor!$AE$4:$AJ$13, _xlfn.XMATCH(MonsterData!$G106, Factor!$AE$4:$AE$13, 1),5))</f>
        <v>10.8</v>
      </c>
      <c r="Y106" s="17" cm="1">
        <f t="array" ref="Y106">P106*VLOOKUP($I106, Factor!$B$4:$G$8, 6, 0)*VLOOKUP($J106, Factor!$B$12:$G$13, 6, 0)*VLOOKUP($K106, Factor!$B$17:$G$18, 6, 0)*VLOOKUP($H106, Factor!$J$4:$O$7, 2, 0)*VLOOKUP($F106, Factor!$Q$4:$V$15, 6, 0)*IF(MOD($G106,10)=0, 10, MOD($G106, 10))*((INDEX(Factor!$X$4:$AC$13, _xlfn.XMATCH($G106, Factor!$X$4:$X$13, 1),6)*IF(MOD(G106, 10) = 0, 10, MOD(G106, 10)))+INDEX(Factor!$AE$4:$AJ$13, _xlfn.XMATCH(MonsterData!$G106, Factor!$AE$4:$AE$13, 1),6))</f>
        <v>60</v>
      </c>
      <c r="Z106" s="17">
        <f>$Q106*VLOOKUP($J106, Factor!$B$12:$H$13, 7, 0)</f>
        <v>1</v>
      </c>
      <c r="AA106" s="17">
        <v>1</v>
      </c>
      <c r="AB106" s="17">
        <f t="shared" si="9"/>
        <v>0</v>
      </c>
      <c r="AC106" s="17" t="s">
        <v>139</v>
      </c>
      <c r="AD106" s="19" t="s">
        <v>387</v>
      </c>
    </row>
    <row r="107" spans="1:30" ht="15.75" customHeight="1">
      <c r="A107" s="13" t="str">
        <f>T107&amp;"_"&amp;F107&amp;VLOOKUP($C107, Factor!$AM$4:$AY$30, 7, 0)&amp;IF(COUNTIFS($C$4:C106, C107, $F$4:F106, F107)+1&gt;=100, COUNTIFS($C$4:C106, C107, $F$4:F106, F107)+1,IF(COUNTIFS($C$4:C106, C107, $F$4:F106, F107)+1&gt;=10, "0"&amp;COUNTIFS($C$4:C106, C107, $F$4:F106, F107)+1, "00"&amp;COUNTIFS($C$4:C106, C107, $F$4:F106, F107)+1))</f>
        <v>enpc_F02_A_Mantis_003</v>
      </c>
      <c r="B107" s="13"/>
      <c r="C107" s="13" t="s">
        <v>357</v>
      </c>
      <c r="D107" s="21" t="str">
        <f t="shared" si="8"/>
        <v>맨티스</v>
      </c>
      <c r="E107" s="21" t="str">
        <f>VLOOKUP($C107, Factor!$AM$4:$AY$30, 8, 0)</f>
        <v>S</v>
      </c>
      <c r="F107" s="21" t="s">
        <v>374</v>
      </c>
      <c r="G107" s="22">
        <v>15</v>
      </c>
      <c r="H107" s="13" t="s">
        <v>55</v>
      </c>
      <c r="I107" s="21" t="str">
        <f>VLOOKUP($C107, Factor!$AM$4:$AY$30, 11, 0)</f>
        <v>A</v>
      </c>
      <c r="J107" s="21" t="str">
        <f>VLOOKUP($C107, Factor!$AM$4:$AY$30, 12, 0)</f>
        <v>ml</v>
      </c>
      <c r="K107" s="21" t="str">
        <f>VLOOKUP($C107, Factor!$AM$4:$AY$30, 13, 0)</f>
        <v>L</v>
      </c>
      <c r="L107" s="13">
        <v>1</v>
      </c>
      <c r="M107" s="13">
        <v>1</v>
      </c>
      <c r="N107" s="13">
        <v>1</v>
      </c>
      <c r="O107" s="13">
        <v>1</v>
      </c>
      <c r="P107" s="13">
        <v>1</v>
      </c>
      <c r="Q107" s="13">
        <v>1</v>
      </c>
      <c r="R107" s="21" t="str">
        <f>VLOOKUP($C107, Factor!$AM$4:$AY$30, 9, 0)</f>
        <v>Small</v>
      </c>
      <c r="S107" s="13" t="s">
        <v>400</v>
      </c>
      <c r="T107" s="21" t="str">
        <f>VLOOKUP($C107, Factor!$AM$4:$AY$30, 10, 0)</f>
        <v>enpc</v>
      </c>
      <c r="U107" s="21" cm="1">
        <f t="array" ref="U107">L107*VLOOKUP($I107, Factor!$B$4:$G$8, 2, 0)*VLOOKUP($J107, Factor!$B$12:$G$13, 2, 0)*VLOOKUP($K107, Factor!$B$17:$G$18, 2, 0)*VLOOKUP($H107, Factor!$J$4:$O$7, 2, 0)*VLOOKUP($F107, Factor!$Q$4:$V$15, 2, 0)*IF(MOD($G107,10)=0, 10, MOD($G107, 10))*((INDEX(Factor!$X$4:$AC$13, _xlfn.XMATCH($G107, Factor!$X$4:$X$13, 1),2)*IF(MOD(G107, 10) = 0, 10, MOD(G107, 10)))+INDEX(Factor!$AE$4:$AJ$13, _xlfn.XMATCH(MonsterData!$G107, Factor!$AE$4:$AE$13, 1),2))</f>
        <v>1800</v>
      </c>
      <c r="V107" s="21" cm="1">
        <f t="array" ref="V107">M107*VLOOKUP($I107, Factor!$B$4:$G$8, 3, 0)*VLOOKUP($J107, Factor!$B$12:$G$13, 3, 0)*VLOOKUP($K107, Factor!$B$17:$G$18, 3, 0)*VLOOKUP($H107, Factor!$J$4:$O$7, 3, 0)*VLOOKUP($F107, Factor!$Q$4:$V$15, 3, 0)*IF(MOD($G107,10)=0, 10, MOD($G107, 10))*((INDEX(Factor!$X$4:$AC$13, _xlfn.XMATCH($G107, Factor!$X$4:$X$13, 1),3)*IF(MOD(G107, 10) = 0, 10, MOD(G107, 10)))+INDEX(Factor!$AE$4:$AJ$13, _xlfn.XMATCH(MonsterData!$G107, Factor!$AE$4:$AE$13, 1),3))</f>
        <v>90</v>
      </c>
      <c r="W107" s="21" cm="1">
        <f t="array" ref="W107">N107*VLOOKUP($I107, Factor!$B$4:$G$8, 4, 0)*VLOOKUP($J107, Factor!$B$12:$G$13, 4, 0)*VLOOKUP($K107, Factor!$B$17:$G$18, 4, 0)*VLOOKUP($H107, Factor!$J$4:$O$7, 4, 0)*VLOOKUP($F107, Factor!$Q$4:$V$15, 4, 0)*IF(MOD($G107,10)=0, 10, MOD($G107, 10))*((INDEX(Factor!$X$4:$AC$13, _xlfn.XMATCH($G107, Factor!$X$4:$X$13, 1),4)*IF(MOD(G107, 10) = 0, 10, MOD(G107, 10)))+INDEX(Factor!$AE$4:$AJ$13, _xlfn.XMATCH(MonsterData!$G107, Factor!$AE$4:$AE$13, 1),4))</f>
        <v>53.999999999999993</v>
      </c>
      <c r="X107" s="21" cm="1">
        <f t="array" ref="X107">O107*VLOOKUP($I107, Factor!$B$4:$G$8, 5, 0)*VLOOKUP($J107, Factor!$B$12:$G$13, 5, 0)*VLOOKUP($K107, Factor!$B$17:$G$18, 5, 0)*VLOOKUP($H107, Factor!$J$4:$O$7, 5, 0)*VLOOKUP($F107, Factor!$Q$4:$V$15, 5, 0)*IF(MOD($G107,10)=0, 10, MOD($G107, 10))*((INDEX(Factor!$X$4:$AC$13, _xlfn.XMATCH($G107, Factor!$X$4:$X$13, 1),5)*IF(MOD(G107, 10) = 0, 10, MOD(G107, 10)))+INDEX(Factor!$AE$4:$AJ$13, _xlfn.XMATCH(MonsterData!$G107, Factor!$AE$4:$AE$13, 1),5))</f>
        <v>12</v>
      </c>
      <c r="Y107" s="21" cm="1">
        <f t="array" ref="Y107">P107*VLOOKUP($I107, Factor!$B$4:$G$8, 6, 0)*VLOOKUP($J107, Factor!$B$12:$G$13, 6, 0)*VLOOKUP($K107, Factor!$B$17:$G$18, 6, 0)*VLOOKUP($H107, Factor!$J$4:$O$7, 2, 0)*VLOOKUP($F107, Factor!$Q$4:$V$15, 6, 0)*IF(MOD($G107,10)=0, 10, MOD($G107, 10))*((INDEX(Factor!$X$4:$AC$13, _xlfn.XMATCH($G107, Factor!$X$4:$X$13, 1),6)*IF(MOD(G107, 10) = 0, 10, MOD(G107, 10)))+INDEX(Factor!$AE$4:$AJ$13, _xlfn.XMATCH(MonsterData!$G107, Factor!$AE$4:$AE$13, 1),6))</f>
        <v>60</v>
      </c>
      <c r="Z107" s="21">
        <f>$Q107*VLOOKUP($J107, Factor!$B$12:$H$13, 7, 0)</f>
        <v>1</v>
      </c>
      <c r="AA107" s="13">
        <v>1</v>
      </c>
      <c r="AB107" s="21">
        <f t="shared" si="9"/>
        <v>0</v>
      </c>
      <c r="AC107" s="13" t="s">
        <v>139</v>
      </c>
      <c r="AD107" s="15" t="s">
        <v>387</v>
      </c>
    </row>
    <row r="108" spans="1:30" ht="15.75" customHeight="1">
      <c r="A108" s="16" t="str">
        <f>T108&amp;"_"&amp;F108&amp;VLOOKUP($C108, Factor!$AM$4:$AY$30, 7, 0)&amp;IF(COUNTIFS($C$4:C107, C108, $F$4:F107, F108)+1&gt;=100, COUNTIFS($C$4:C107, C108, $F$4:F107, F108)+1,IF(COUNTIFS($C$4:C107, C108, $F$4:F107, F108)+1&gt;=10, "0"&amp;COUNTIFS($C$4:C107, C108, $F$4:F107, F108)+1, "00"&amp;COUNTIFS($C$4:C107, C108, $F$4:F107, F108)+1))</f>
        <v>enpc_F02_B_Kobold_003</v>
      </c>
      <c r="B108" s="16"/>
      <c r="C108" s="16" t="s">
        <v>359</v>
      </c>
      <c r="D108" s="17" t="str">
        <f t="shared" si="8"/>
        <v>코볼트</v>
      </c>
      <c r="E108" s="17" t="str">
        <f>VLOOKUP($C108, Factor!$AM$4:$AY$30, 8, 0)</f>
        <v>M</v>
      </c>
      <c r="F108" s="17" t="s">
        <v>374</v>
      </c>
      <c r="G108" s="20">
        <v>26</v>
      </c>
      <c r="H108" s="16" t="s">
        <v>56</v>
      </c>
      <c r="I108" s="17" t="str">
        <f>VLOOKUP($C108, Factor!$AM$4:$AY$30, 11, 0)</f>
        <v>B</v>
      </c>
      <c r="J108" s="17" t="str">
        <f>VLOOKUP($C108, Factor!$AM$4:$AY$30, 12, 0)</f>
        <v>ml</v>
      </c>
      <c r="K108" s="17" t="str">
        <f>VLOOKUP($C108, Factor!$AM$4:$AY$30, 13, 0)</f>
        <v>L</v>
      </c>
      <c r="L108" s="17">
        <v>1</v>
      </c>
      <c r="M108" s="17">
        <v>1</v>
      </c>
      <c r="N108" s="17">
        <v>1</v>
      </c>
      <c r="O108" s="17">
        <v>1</v>
      </c>
      <c r="P108" s="17">
        <v>1</v>
      </c>
      <c r="Q108" s="17">
        <v>1</v>
      </c>
      <c r="R108" s="17" t="str">
        <f>VLOOKUP($C108, Factor!$AM$4:$AY$30, 9, 0)</f>
        <v>Small</v>
      </c>
      <c r="S108" s="17" t="s">
        <v>378</v>
      </c>
      <c r="T108" s="17" t="str">
        <f>VLOOKUP($C108, Factor!$AM$4:$AY$30, 10, 0)</f>
        <v>enpc</v>
      </c>
      <c r="U108" s="17" cm="1">
        <f t="array" ref="U108">L108*VLOOKUP($I108, Factor!$B$4:$G$8, 2, 0)*VLOOKUP($J108, Factor!$B$12:$G$13, 2, 0)*VLOOKUP($K108, Factor!$B$17:$G$18, 2, 0)*VLOOKUP($H108, Factor!$J$4:$O$7, 2, 0)*VLOOKUP($F108, Factor!$Q$4:$V$15, 2, 0)*IF(MOD($G108,10)=0, 10, MOD($G108, 10))*((INDEX(Factor!$X$4:$AC$13, _xlfn.XMATCH($G108, Factor!$X$4:$X$13, 1),2)*IF(MOD(G108, 10) = 0, 10, MOD(G108, 10)))+INDEX(Factor!$AE$4:$AJ$13, _xlfn.XMATCH(MonsterData!$G108, Factor!$AE$4:$AE$13, 1),2))</f>
        <v>25920</v>
      </c>
      <c r="V108" s="17" cm="1">
        <f t="array" ref="V108">M108*VLOOKUP($I108, Factor!$B$4:$G$8, 3, 0)*VLOOKUP($J108, Factor!$B$12:$G$13, 3, 0)*VLOOKUP($K108, Factor!$B$17:$G$18, 3, 0)*VLOOKUP($H108, Factor!$J$4:$O$7, 3, 0)*VLOOKUP($F108, Factor!$Q$4:$V$15, 3, 0)*IF(MOD($G108,10)=0, 10, MOD($G108, 10))*((INDEX(Factor!$X$4:$AC$13, _xlfn.XMATCH($G108, Factor!$X$4:$X$13, 1),3)*IF(MOD(G108, 10) = 0, 10, MOD(G108, 10)))+INDEX(Factor!$AE$4:$AJ$13, _xlfn.XMATCH(MonsterData!$G108, Factor!$AE$4:$AE$13, 1),3))</f>
        <v>1296</v>
      </c>
      <c r="W108" s="17" cm="1">
        <f t="array" ref="W108">N108*VLOOKUP($I108, Factor!$B$4:$G$8, 4, 0)*VLOOKUP($J108, Factor!$B$12:$G$13, 4, 0)*VLOOKUP($K108, Factor!$B$17:$G$18, 4, 0)*VLOOKUP($H108, Factor!$J$4:$O$7, 4, 0)*VLOOKUP($F108, Factor!$Q$4:$V$15, 4, 0)*IF(MOD($G108,10)=0, 10, MOD($G108, 10))*((INDEX(Factor!$X$4:$AC$13, _xlfn.XMATCH($G108, Factor!$X$4:$X$13, 1),4)*IF(MOD(G108, 10) = 0, 10, MOD(G108, 10)))+INDEX(Factor!$AE$4:$AJ$13, _xlfn.XMATCH(MonsterData!$G108, Factor!$AE$4:$AE$13, 1),4))</f>
        <v>2592</v>
      </c>
      <c r="X108" s="17" cm="1">
        <f t="array" ref="X108">O108*VLOOKUP($I108, Factor!$B$4:$G$8, 5, 0)*VLOOKUP($J108, Factor!$B$12:$G$13, 5, 0)*VLOOKUP($K108, Factor!$B$17:$G$18, 5, 0)*VLOOKUP($H108, Factor!$J$4:$O$7, 5, 0)*VLOOKUP($F108, Factor!$Q$4:$V$15, 5, 0)*IF(MOD($G108,10)=0, 10, MOD($G108, 10))*((INDEX(Factor!$X$4:$AC$13, _xlfn.XMATCH($G108, Factor!$X$4:$X$13, 1),5)*IF(MOD(G108, 10) = 0, 10, MOD(G108, 10)))+INDEX(Factor!$AE$4:$AJ$13, _xlfn.XMATCH(MonsterData!$G108, Factor!$AE$4:$AE$13, 1),5))</f>
        <v>62.207999999999998</v>
      </c>
      <c r="Y108" s="17" cm="1">
        <f t="array" ref="Y108">P108*VLOOKUP($I108, Factor!$B$4:$G$8, 6, 0)*VLOOKUP($J108, Factor!$B$12:$G$13, 6, 0)*VLOOKUP($K108, Factor!$B$17:$G$18, 6, 0)*VLOOKUP($H108, Factor!$J$4:$O$7, 2, 0)*VLOOKUP($F108, Factor!$Q$4:$V$15, 6, 0)*IF(MOD($G108,10)=0, 10, MOD($G108, 10))*((INDEX(Factor!$X$4:$AC$13, _xlfn.XMATCH($G108, Factor!$X$4:$X$13, 1),6)*IF(MOD(G108, 10) = 0, 10, MOD(G108, 10)))+INDEX(Factor!$AE$4:$AJ$13, _xlfn.XMATCH(MonsterData!$G108, Factor!$AE$4:$AE$13, 1),6))</f>
        <v>138.23999999999998</v>
      </c>
      <c r="Z108" s="17">
        <f>$Q108*VLOOKUP($J108, Factor!$B$12:$H$13, 7, 0)</f>
        <v>1</v>
      </c>
      <c r="AA108" s="17">
        <v>1</v>
      </c>
      <c r="AB108" s="17">
        <f t="shared" si="9"/>
        <v>0</v>
      </c>
      <c r="AC108" s="17" t="s">
        <v>393</v>
      </c>
      <c r="AD108" s="19" t="s">
        <v>388</v>
      </c>
    </row>
    <row r="109" spans="1:30" ht="15.75" customHeight="1">
      <c r="A109" s="13" t="str">
        <f>T109&amp;"_"&amp;F109&amp;VLOOKUP($C109, Factor!$AM$4:$AY$30, 7, 0)&amp;IF(COUNTIFS($C$4:C108, C109, $F$4:F108, F109)+1&gt;=100, COUNTIFS($C$4:C108, C109, $F$4:F108, F109)+1,IF(COUNTIFS($C$4:C108, C109, $F$4:F108, F109)+1&gt;=10, "0"&amp;COUNTIFS($C$4:C108, C109, $F$4:F108, F109)+1, "00"&amp;COUNTIFS($C$4:C108, C109, $F$4:F108, F109)+1))</f>
        <v>enpc_F02_B_Ghoul_003</v>
      </c>
      <c r="B109" s="13"/>
      <c r="C109" s="13" t="s">
        <v>361</v>
      </c>
      <c r="D109" s="21" t="str">
        <f t="shared" si="8"/>
        <v>구울</v>
      </c>
      <c r="E109" s="21" t="str">
        <f>VLOOKUP($C109, Factor!$AM$4:$AY$30, 8, 0)</f>
        <v>M</v>
      </c>
      <c r="F109" s="21" t="s">
        <v>374</v>
      </c>
      <c r="G109" s="22">
        <v>26</v>
      </c>
      <c r="H109" s="13" t="s">
        <v>55</v>
      </c>
      <c r="I109" s="21" t="str">
        <f>VLOOKUP($C109, Factor!$AM$4:$AY$30, 11, 0)</f>
        <v>B</v>
      </c>
      <c r="J109" s="21" t="str">
        <f>VLOOKUP($C109, Factor!$AM$4:$AY$30, 12, 0)</f>
        <v>ml</v>
      </c>
      <c r="K109" s="21" t="str">
        <f>VLOOKUP($C109, Factor!$AM$4:$AY$30, 13, 0)</f>
        <v>L</v>
      </c>
      <c r="L109" s="13">
        <v>1</v>
      </c>
      <c r="M109" s="13">
        <v>1</v>
      </c>
      <c r="N109" s="13">
        <v>1</v>
      </c>
      <c r="O109" s="13">
        <v>1</v>
      </c>
      <c r="P109" s="13">
        <v>1</v>
      </c>
      <c r="Q109" s="13">
        <v>1</v>
      </c>
      <c r="R109" s="21" t="str">
        <f>VLOOKUP($C109, Factor!$AM$4:$AY$30, 9, 0)</f>
        <v>Midium</v>
      </c>
      <c r="S109" s="13" t="s">
        <v>401</v>
      </c>
      <c r="T109" s="21" t="str">
        <f>VLOOKUP($C109, Factor!$AM$4:$AY$30, 10, 0)</f>
        <v>enpc</v>
      </c>
      <c r="U109" s="21" cm="1">
        <f t="array" ref="U109">L109*VLOOKUP($I109, Factor!$B$4:$G$8, 2, 0)*VLOOKUP($J109, Factor!$B$12:$G$13, 2, 0)*VLOOKUP($K109, Factor!$B$17:$G$18, 2, 0)*VLOOKUP($H109, Factor!$J$4:$O$7, 2, 0)*VLOOKUP($F109, Factor!$Q$4:$V$15, 2, 0)*IF(MOD($G109,10)=0, 10, MOD($G109, 10))*((INDEX(Factor!$X$4:$AC$13, _xlfn.XMATCH($G109, Factor!$X$4:$X$13, 1),2)*IF(MOD(G109, 10) = 0, 10, MOD(G109, 10)))+INDEX(Factor!$AE$4:$AJ$13, _xlfn.XMATCH(MonsterData!$G109, Factor!$AE$4:$AE$13, 1),2))</f>
        <v>25920</v>
      </c>
      <c r="V109" s="21" cm="1">
        <f t="array" ref="V109">M109*VLOOKUP($I109, Factor!$B$4:$G$8, 3, 0)*VLOOKUP($J109, Factor!$B$12:$G$13, 3, 0)*VLOOKUP($K109, Factor!$B$17:$G$18, 3, 0)*VLOOKUP($H109, Factor!$J$4:$O$7, 3, 0)*VLOOKUP($F109, Factor!$Q$4:$V$15, 3, 0)*IF(MOD($G109,10)=0, 10, MOD($G109, 10))*((INDEX(Factor!$X$4:$AC$13, _xlfn.XMATCH($G109, Factor!$X$4:$X$13, 1),3)*IF(MOD(G109, 10) = 0, 10, MOD(G109, 10)))+INDEX(Factor!$AE$4:$AJ$13, _xlfn.XMATCH(MonsterData!$G109, Factor!$AE$4:$AE$13, 1),3))</f>
        <v>1296</v>
      </c>
      <c r="W109" s="21" cm="1">
        <f t="array" ref="W109">N109*VLOOKUP($I109, Factor!$B$4:$G$8, 4, 0)*VLOOKUP($J109, Factor!$B$12:$G$13, 4, 0)*VLOOKUP($K109, Factor!$B$17:$G$18, 4, 0)*VLOOKUP($H109, Factor!$J$4:$O$7, 4, 0)*VLOOKUP($F109, Factor!$Q$4:$V$15, 4, 0)*IF(MOD($G109,10)=0, 10, MOD($G109, 10))*((INDEX(Factor!$X$4:$AC$13, _xlfn.XMATCH($G109, Factor!$X$4:$X$13, 1),4)*IF(MOD(G109, 10) = 0, 10, MOD(G109, 10)))+INDEX(Factor!$AE$4:$AJ$13, _xlfn.XMATCH(MonsterData!$G109, Factor!$AE$4:$AE$13, 1),4))</f>
        <v>1296</v>
      </c>
      <c r="X109" s="21" cm="1">
        <f t="array" ref="X109">O109*VLOOKUP($I109, Factor!$B$4:$G$8, 5, 0)*VLOOKUP($J109, Factor!$B$12:$G$13, 5, 0)*VLOOKUP($K109, Factor!$B$17:$G$18, 5, 0)*VLOOKUP($H109, Factor!$J$4:$O$7, 5, 0)*VLOOKUP($F109, Factor!$Q$4:$V$15, 5, 0)*IF(MOD($G109,10)=0, 10, MOD($G109, 10))*((INDEX(Factor!$X$4:$AC$13, _xlfn.XMATCH($G109, Factor!$X$4:$X$13, 1),5)*IF(MOD(G109, 10) = 0, 10, MOD(G109, 10)))+INDEX(Factor!$AE$4:$AJ$13, _xlfn.XMATCH(MonsterData!$G109, Factor!$AE$4:$AE$13, 1),5))</f>
        <v>69.11999999999999</v>
      </c>
      <c r="Y109" s="21" cm="1">
        <f t="array" ref="Y109">P109*VLOOKUP($I109, Factor!$B$4:$G$8, 6, 0)*VLOOKUP($J109, Factor!$B$12:$G$13, 6, 0)*VLOOKUP($K109, Factor!$B$17:$G$18, 6, 0)*VLOOKUP($H109, Factor!$J$4:$O$7, 2, 0)*VLOOKUP($F109, Factor!$Q$4:$V$15, 6, 0)*IF(MOD($G109,10)=0, 10, MOD($G109, 10))*((INDEX(Factor!$X$4:$AC$13, _xlfn.XMATCH($G109, Factor!$X$4:$X$13, 1),6)*IF(MOD(G109, 10) = 0, 10, MOD(G109, 10)))+INDEX(Factor!$AE$4:$AJ$13, _xlfn.XMATCH(MonsterData!$G109, Factor!$AE$4:$AE$13, 1),6))</f>
        <v>138.23999999999998</v>
      </c>
      <c r="Z109" s="21">
        <f>$Q109*VLOOKUP($J109, Factor!$B$12:$H$13, 7, 0)</f>
        <v>1</v>
      </c>
      <c r="AA109" s="13">
        <v>1</v>
      </c>
      <c r="AB109" s="21">
        <f t="shared" si="9"/>
        <v>0</v>
      </c>
      <c r="AC109" s="13" t="s">
        <v>394</v>
      </c>
      <c r="AD109" s="15" t="s">
        <v>389</v>
      </c>
    </row>
    <row r="110" spans="1:30" ht="15.75" customHeight="1">
      <c r="A110" s="16" t="str">
        <f>T110&amp;"_"&amp;F110&amp;VLOOKUP($C110, Factor!$AM$4:$AY$30, 7, 0)&amp;IF(COUNTIFS($C$4:C109, C110, $F$4:F109, F110)+1&gt;=100, COUNTIFS($C$4:C109, C110, $F$4:F109, F110)+1,IF(COUNTIFS($C$4:C109, C110, $F$4:F109, F110)+1&gt;=10, "0"&amp;COUNTIFS($C$4:C109, C110, $F$4:F109, F110)+1, "00"&amp;COUNTIFS($C$4:C109, C110, $F$4:F109, F110)+1))</f>
        <v>enpc_F02_B_Gorgon_003</v>
      </c>
      <c r="B110" s="16"/>
      <c r="C110" s="16" t="s">
        <v>363</v>
      </c>
      <c r="D110" s="17" t="str">
        <f t="shared" si="8"/>
        <v>고르곤</v>
      </c>
      <c r="E110" s="17" t="str">
        <f>VLOOKUP($C110, Factor!$AM$4:$AY$30, 8, 0)</f>
        <v>B</v>
      </c>
      <c r="F110" s="17" t="s">
        <v>374</v>
      </c>
      <c r="G110" s="20">
        <v>26</v>
      </c>
      <c r="H110" s="16" t="s">
        <v>56</v>
      </c>
      <c r="I110" s="17" t="str">
        <f>VLOOKUP($C110, Factor!$AM$4:$AY$30, 11, 0)</f>
        <v>B</v>
      </c>
      <c r="J110" s="17" t="str">
        <f>VLOOKUP($C110, Factor!$AM$4:$AY$30, 12, 0)</f>
        <v>ml</v>
      </c>
      <c r="K110" s="17" t="str">
        <f>VLOOKUP($C110, Factor!$AM$4:$AY$30, 13, 0)</f>
        <v>L</v>
      </c>
      <c r="L110" s="17">
        <v>1</v>
      </c>
      <c r="M110" s="17">
        <v>1</v>
      </c>
      <c r="N110" s="17">
        <v>1</v>
      </c>
      <c r="O110" s="17">
        <v>1</v>
      </c>
      <c r="P110" s="17">
        <v>1</v>
      </c>
      <c r="Q110" s="17">
        <v>1</v>
      </c>
      <c r="R110" s="17" t="str">
        <f>VLOOKUP($C110, Factor!$AM$4:$AY$30, 9, 0)</f>
        <v>Midium</v>
      </c>
      <c r="S110" s="17" t="s">
        <v>380</v>
      </c>
      <c r="T110" s="17" t="str">
        <f>VLOOKUP($C110, Factor!$AM$4:$AY$30, 10, 0)</f>
        <v>enpc</v>
      </c>
      <c r="U110" s="17" cm="1">
        <f t="array" ref="U110">L110*VLOOKUP($I110, Factor!$B$4:$G$8, 2, 0)*VLOOKUP($J110, Factor!$B$12:$G$13, 2, 0)*VLOOKUP($K110, Factor!$B$17:$G$18, 2, 0)*VLOOKUP($H110, Factor!$J$4:$O$7, 2, 0)*VLOOKUP($F110, Factor!$Q$4:$V$15, 2, 0)*IF(MOD($G110,10)=0, 10, MOD($G110, 10))*((INDEX(Factor!$X$4:$AC$13, _xlfn.XMATCH($G110, Factor!$X$4:$X$13, 1),2)*IF(MOD(G110, 10) = 0, 10, MOD(G110, 10)))+INDEX(Factor!$AE$4:$AJ$13, _xlfn.XMATCH(MonsterData!$G110, Factor!$AE$4:$AE$13, 1),2))</f>
        <v>25920</v>
      </c>
      <c r="V110" s="17" cm="1">
        <f t="array" ref="V110">M110*VLOOKUP($I110, Factor!$B$4:$G$8, 3, 0)*VLOOKUP($J110, Factor!$B$12:$G$13, 3, 0)*VLOOKUP($K110, Factor!$B$17:$G$18, 3, 0)*VLOOKUP($H110, Factor!$J$4:$O$7, 3, 0)*VLOOKUP($F110, Factor!$Q$4:$V$15, 3, 0)*IF(MOD($G110,10)=0, 10, MOD($G110, 10))*((INDEX(Factor!$X$4:$AC$13, _xlfn.XMATCH($G110, Factor!$X$4:$X$13, 1),3)*IF(MOD(G110, 10) = 0, 10, MOD(G110, 10)))+INDEX(Factor!$AE$4:$AJ$13, _xlfn.XMATCH(MonsterData!$G110, Factor!$AE$4:$AE$13, 1),3))</f>
        <v>1296</v>
      </c>
      <c r="W110" s="17" cm="1">
        <f t="array" ref="W110">N110*VLOOKUP($I110, Factor!$B$4:$G$8, 4, 0)*VLOOKUP($J110, Factor!$B$12:$G$13, 4, 0)*VLOOKUP($K110, Factor!$B$17:$G$18, 4, 0)*VLOOKUP($H110, Factor!$J$4:$O$7, 4, 0)*VLOOKUP($F110, Factor!$Q$4:$V$15, 4, 0)*IF(MOD($G110,10)=0, 10, MOD($G110, 10))*((INDEX(Factor!$X$4:$AC$13, _xlfn.XMATCH($G110, Factor!$X$4:$X$13, 1),4)*IF(MOD(G110, 10) = 0, 10, MOD(G110, 10)))+INDEX(Factor!$AE$4:$AJ$13, _xlfn.XMATCH(MonsterData!$G110, Factor!$AE$4:$AE$13, 1),4))</f>
        <v>2592</v>
      </c>
      <c r="X110" s="17" cm="1">
        <f t="array" ref="X110">O110*VLOOKUP($I110, Factor!$B$4:$G$8, 5, 0)*VLOOKUP($J110, Factor!$B$12:$G$13, 5, 0)*VLOOKUP($K110, Factor!$B$17:$G$18, 5, 0)*VLOOKUP($H110, Factor!$J$4:$O$7, 5, 0)*VLOOKUP($F110, Factor!$Q$4:$V$15, 5, 0)*IF(MOD($G110,10)=0, 10, MOD($G110, 10))*((INDEX(Factor!$X$4:$AC$13, _xlfn.XMATCH($G110, Factor!$X$4:$X$13, 1),5)*IF(MOD(G110, 10) = 0, 10, MOD(G110, 10)))+INDEX(Factor!$AE$4:$AJ$13, _xlfn.XMATCH(MonsterData!$G110, Factor!$AE$4:$AE$13, 1),5))</f>
        <v>62.207999999999998</v>
      </c>
      <c r="Y110" s="17" cm="1">
        <f t="array" ref="Y110">P110*VLOOKUP($I110, Factor!$B$4:$G$8, 6, 0)*VLOOKUP($J110, Factor!$B$12:$G$13, 6, 0)*VLOOKUP($K110, Factor!$B$17:$G$18, 6, 0)*VLOOKUP($H110, Factor!$J$4:$O$7, 2, 0)*VLOOKUP($F110, Factor!$Q$4:$V$15, 6, 0)*IF(MOD($G110,10)=0, 10, MOD($G110, 10))*((INDEX(Factor!$X$4:$AC$13, _xlfn.XMATCH($G110, Factor!$X$4:$X$13, 1),6)*IF(MOD(G110, 10) = 0, 10, MOD(G110, 10)))+INDEX(Factor!$AE$4:$AJ$13, _xlfn.XMATCH(MonsterData!$G110, Factor!$AE$4:$AE$13, 1),6))</f>
        <v>138.23999999999998</v>
      </c>
      <c r="Z110" s="17">
        <f>$Q110*VLOOKUP($J110, Factor!$B$12:$H$13, 7, 0)</f>
        <v>1</v>
      </c>
      <c r="AA110" s="17">
        <v>1</v>
      </c>
      <c r="AB110" s="17">
        <f t="shared" si="9"/>
        <v>0</v>
      </c>
      <c r="AC110" s="17" t="s">
        <v>395</v>
      </c>
      <c r="AD110" s="19" t="s">
        <v>390</v>
      </c>
    </row>
    <row r="111" spans="1:30" ht="15.75" customHeight="1">
      <c r="A111" s="13" t="str">
        <f>T111&amp;"_"&amp;F111&amp;VLOOKUP($C111, Factor!$AM$4:$AY$30, 7, 0)&amp;IF(COUNTIFS($C$4:C110, C111, $F$4:F110, F111)+1&gt;=100, COUNTIFS($C$4:C110, C111, $F$4:F110, F111)+1,IF(COUNTIFS($C$4:C110, C111, $F$4:F110, F111)+1&gt;=10, "0"&amp;COUNTIFS($C$4:C110, C111, $F$4:F110, F111)+1, "00"&amp;COUNTIFS($C$4:C110, C111, $F$4:F110, F111)+1))</f>
        <v>enpc_F02_B_Gargoyle_003</v>
      </c>
      <c r="B111" s="13"/>
      <c r="C111" s="13" t="s">
        <v>365</v>
      </c>
      <c r="D111" s="21" t="str">
        <f t="shared" si="8"/>
        <v>가고일</v>
      </c>
      <c r="E111" s="21" t="str">
        <f>VLOOKUP($C111, Factor!$AM$4:$AY$30, 8, 0)</f>
        <v>B</v>
      </c>
      <c r="F111" s="21" t="s">
        <v>374</v>
      </c>
      <c r="G111" s="22">
        <v>26</v>
      </c>
      <c r="H111" s="13" t="s">
        <v>55</v>
      </c>
      <c r="I111" s="21" t="str">
        <f>VLOOKUP($C111, Factor!$AM$4:$AY$30, 11, 0)</f>
        <v>B</v>
      </c>
      <c r="J111" s="21" t="str">
        <f>VLOOKUP($C111, Factor!$AM$4:$AY$30, 12, 0)</f>
        <v>ml</v>
      </c>
      <c r="K111" s="21" t="str">
        <f>VLOOKUP($C111, Factor!$AM$4:$AY$30, 13, 0)</f>
        <v>F</v>
      </c>
      <c r="L111" s="13">
        <v>1</v>
      </c>
      <c r="M111" s="13">
        <v>1</v>
      </c>
      <c r="N111" s="13">
        <v>1</v>
      </c>
      <c r="O111" s="13">
        <v>1</v>
      </c>
      <c r="P111" s="13">
        <v>1</v>
      </c>
      <c r="Q111" s="13">
        <v>1</v>
      </c>
      <c r="R111" s="21" t="str">
        <f>VLOOKUP($C111, Factor!$AM$4:$AY$30, 9, 0)</f>
        <v>Big</v>
      </c>
      <c r="S111" s="13" t="s">
        <v>402</v>
      </c>
      <c r="T111" s="21" t="str">
        <f>VLOOKUP($C111, Factor!$AM$4:$AY$30, 10, 0)</f>
        <v>enpc</v>
      </c>
      <c r="U111" s="21" cm="1">
        <f t="array" ref="U111">L111*VLOOKUP($I111, Factor!$B$4:$G$8, 2, 0)*VLOOKUP($J111, Factor!$B$12:$G$13, 2, 0)*VLOOKUP($K111, Factor!$B$17:$G$18, 2, 0)*VLOOKUP($H111, Factor!$J$4:$O$7, 2, 0)*VLOOKUP($F111, Factor!$Q$4:$V$15, 2, 0)*IF(MOD($G111,10)=0, 10, MOD($G111, 10))*((INDEX(Factor!$X$4:$AC$13, _xlfn.XMATCH($G111, Factor!$X$4:$X$13, 1),2)*IF(MOD(G111, 10) = 0, 10, MOD(G111, 10)))+INDEX(Factor!$AE$4:$AJ$13, _xlfn.XMATCH(MonsterData!$G111, Factor!$AE$4:$AE$13, 1),2))</f>
        <v>17280</v>
      </c>
      <c r="V111" s="21" cm="1">
        <f t="array" ref="V111">M111*VLOOKUP($I111, Factor!$B$4:$G$8, 3, 0)*VLOOKUP($J111, Factor!$B$12:$G$13, 3, 0)*VLOOKUP($K111, Factor!$B$17:$G$18, 3, 0)*VLOOKUP($H111, Factor!$J$4:$O$7, 3, 0)*VLOOKUP($F111, Factor!$Q$4:$V$15, 3, 0)*IF(MOD($G111,10)=0, 10, MOD($G111, 10))*((INDEX(Factor!$X$4:$AC$13, _xlfn.XMATCH($G111, Factor!$X$4:$X$13, 1),3)*IF(MOD(G111, 10) = 0, 10, MOD(G111, 10)))+INDEX(Factor!$AE$4:$AJ$13, _xlfn.XMATCH(MonsterData!$G111, Factor!$AE$4:$AE$13, 1),3))</f>
        <v>864</v>
      </c>
      <c r="W111" s="21" cm="1">
        <f t="array" ref="W111">N111*VLOOKUP($I111, Factor!$B$4:$G$8, 4, 0)*VLOOKUP($J111, Factor!$B$12:$G$13, 4, 0)*VLOOKUP($K111, Factor!$B$17:$G$18, 4, 0)*VLOOKUP($H111, Factor!$J$4:$O$7, 4, 0)*VLOOKUP($F111, Factor!$Q$4:$V$15, 4, 0)*IF(MOD($G111,10)=0, 10, MOD($G111, 10))*((INDEX(Factor!$X$4:$AC$13, _xlfn.XMATCH($G111, Factor!$X$4:$X$13, 1),4)*IF(MOD(G111, 10) = 0, 10, MOD(G111, 10)))+INDEX(Factor!$AE$4:$AJ$13, _xlfn.XMATCH(MonsterData!$G111, Factor!$AE$4:$AE$13, 1),4))</f>
        <v>864</v>
      </c>
      <c r="X111" s="21" cm="1">
        <f t="array" ref="X111">O111*VLOOKUP($I111, Factor!$B$4:$G$8, 5, 0)*VLOOKUP($J111, Factor!$B$12:$G$13, 5, 0)*VLOOKUP($K111, Factor!$B$17:$G$18, 5, 0)*VLOOKUP($H111, Factor!$J$4:$O$7, 5, 0)*VLOOKUP($F111, Factor!$Q$4:$V$15, 5, 0)*IF(MOD($G111,10)=0, 10, MOD($G111, 10))*((INDEX(Factor!$X$4:$AC$13, _xlfn.XMATCH($G111, Factor!$X$4:$X$13, 1),5)*IF(MOD(G111, 10) = 0, 10, MOD(G111, 10)))+INDEX(Factor!$AE$4:$AJ$13, _xlfn.XMATCH(MonsterData!$G111, Factor!$AE$4:$AE$13, 1),5))</f>
        <v>69.11999999999999</v>
      </c>
      <c r="Y111" s="21" cm="1">
        <f t="array" ref="Y111">P111*VLOOKUP($I111, Factor!$B$4:$G$8, 6, 0)*VLOOKUP($J111, Factor!$B$12:$G$13, 6, 0)*VLOOKUP($K111, Factor!$B$17:$G$18, 6, 0)*VLOOKUP($H111, Factor!$J$4:$O$7, 2, 0)*VLOOKUP($F111, Factor!$Q$4:$V$15, 6, 0)*IF(MOD($G111,10)=0, 10, MOD($G111, 10))*((INDEX(Factor!$X$4:$AC$13, _xlfn.XMATCH($G111, Factor!$X$4:$X$13, 1),6)*IF(MOD(G111, 10) = 0, 10, MOD(G111, 10)))+INDEX(Factor!$AE$4:$AJ$13, _xlfn.XMATCH(MonsterData!$G111, Factor!$AE$4:$AE$13, 1),6))</f>
        <v>414.71999999999997</v>
      </c>
      <c r="Z111" s="21">
        <f>$Q111*VLOOKUP($J111, Factor!$B$12:$H$13, 7, 0)</f>
        <v>1</v>
      </c>
      <c r="AA111" s="13">
        <v>1</v>
      </c>
      <c r="AB111" s="21">
        <f t="shared" si="9"/>
        <v>0</v>
      </c>
      <c r="AC111" s="13" t="s">
        <v>396</v>
      </c>
      <c r="AD111" s="15" t="s">
        <v>391</v>
      </c>
    </row>
    <row r="112" spans="1:30" ht="15.75" customHeight="1">
      <c r="A112" s="16" t="str">
        <f>T112&amp;"_"&amp;F112&amp;VLOOKUP($C112, Factor!$AM$4:$AY$30, 7, 0)&amp;IF(COUNTIFS($C$4:C111, C112, $F$4:F111, F112)+1&gt;=100, COUNTIFS($C$4:C111, C112, $F$4:F111, F112)+1,IF(COUNTIFS($C$4:C111, C112, $F$4:F111, F112)+1&gt;=10, "0"&amp;COUNTIFS($C$4:C111, C112, $F$4:F111, F112)+1, "00"&amp;COUNTIFS($C$4:C111, C112, $F$4:F111, F112)+1))</f>
        <v>enpc_F02_A_Lava_004</v>
      </c>
      <c r="B112" s="16"/>
      <c r="C112" s="16" t="s">
        <v>35</v>
      </c>
      <c r="D112" s="17" t="str">
        <f t="shared" si="8"/>
        <v>라바</v>
      </c>
      <c r="E112" s="17" t="str">
        <f>VLOOKUP($C112, Factor!$AM$4:$AY$30, 8, 0)</f>
        <v>S</v>
      </c>
      <c r="F112" s="17" t="s">
        <v>374</v>
      </c>
      <c r="G112" s="20">
        <v>17</v>
      </c>
      <c r="H112" s="16" t="s">
        <v>54</v>
      </c>
      <c r="I112" s="17" t="str">
        <f>VLOOKUP($C112, Factor!$AM$4:$AY$30, 11, 0)</f>
        <v>A</v>
      </c>
      <c r="J112" s="17" t="str">
        <f>VLOOKUP($C112, Factor!$AM$4:$AY$30, 12, 0)</f>
        <v>ml</v>
      </c>
      <c r="K112" s="17" t="str">
        <f>VLOOKUP($C112, Factor!$AM$4:$AY$30, 13, 0)</f>
        <v>L</v>
      </c>
      <c r="L112" s="17">
        <v>1</v>
      </c>
      <c r="M112" s="17">
        <v>1</v>
      </c>
      <c r="N112" s="17">
        <v>1</v>
      </c>
      <c r="O112" s="17">
        <v>1</v>
      </c>
      <c r="P112" s="17">
        <v>1</v>
      </c>
      <c r="Q112" s="17">
        <v>1</v>
      </c>
      <c r="R112" s="17" t="str">
        <f>VLOOKUP($C112, Factor!$AM$4:$AY$30, 9, 0)</f>
        <v>Small</v>
      </c>
      <c r="S112" s="17" t="s">
        <v>88</v>
      </c>
      <c r="T112" s="17" t="str">
        <f>VLOOKUP($C112, Factor!$AM$4:$AY$30, 10, 0)</f>
        <v>enpc</v>
      </c>
      <c r="U112" s="17" cm="1">
        <f t="array" ref="U112">L112*VLOOKUP($I112, Factor!$B$4:$G$8, 2, 0)*VLOOKUP($J112, Factor!$B$12:$G$13, 2, 0)*VLOOKUP($K112, Factor!$B$17:$G$18, 2, 0)*VLOOKUP($H112, Factor!$J$4:$O$7, 2, 0)*VLOOKUP($F112, Factor!$Q$4:$V$15, 2, 0)*IF(MOD($G112,10)=0, 10, MOD($G112, 10))*((INDEX(Factor!$X$4:$AC$13, _xlfn.XMATCH($G112, Factor!$X$4:$X$13, 1),2)*IF(MOD(G112, 10) = 0, 10, MOD(G112, 10)))+INDEX(Factor!$AE$4:$AJ$13, _xlfn.XMATCH(MonsterData!$G112, Factor!$AE$4:$AE$13, 1),2))</f>
        <v>2419.2000000000003</v>
      </c>
      <c r="V112" s="17" cm="1">
        <f t="array" ref="V112">M112*VLOOKUP($I112, Factor!$B$4:$G$8, 3, 0)*VLOOKUP($J112, Factor!$B$12:$G$13, 3, 0)*VLOOKUP($K112, Factor!$B$17:$G$18, 3, 0)*VLOOKUP($H112, Factor!$J$4:$O$7, 3, 0)*VLOOKUP($F112, Factor!$Q$4:$V$15, 3, 0)*IF(MOD($G112,10)=0, 10, MOD($G112, 10))*((INDEX(Factor!$X$4:$AC$13, _xlfn.XMATCH($G112, Factor!$X$4:$X$13, 1),3)*IF(MOD(G112, 10) = 0, 10, MOD(G112, 10)))+INDEX(Factor!$AE$4:$AJ$13, _xlfn.XMATCH(MonsterData!$G112, Factor!$AE$4:$AE$13, 1),3))</f>
        <v>120.96</v>
      </c>
      <c r="W112" s="17" cm="1">
        <f t="array" ref="W112">N112*VLOOKUP($I112, Factor!$B$4:$G$8, 4, 0)*VLOOKUP($J112, Factor!$B$12:$G$13, 4, 0)*VLOOKUP($K112, Factor!$B$17:$G$18, 4, 0)*VLOOKUP($H112, Factor!$J$4:$O$7, 4, 0)*VLOOKUP($F112, Factor!$Q$4:$V$15, 4, 0)*IF(MOD($G112,10)=0, 10, MOD($G112, 10))*((INDEX(Factor!$X$4:$AC$13, _xlfn.XMATCH($G112, Factor!$X$4:$X$13, 1),4)*IF(MOD(G112, 10) = 0, 10, MOD(G112, 10)))+INDEX(Factor!$AE$4:$AJ$13, _xlfn.XMATCH(MonsterData!$G112, Factor!$AE$4:$AE$13, 1),4))</f>
        <v>72.576000000000022</v>
      </c>
      <c r="X112" s="17" cm="1">
        <f t="array" ref="X112">O112*VLOOKUP($I112, Factor!$B$4:$G$8, 5, 0)*VLOOKUP($J112, Factor!$B$12:$G$13, 5, 0)*VLOOKUP($K112, Factor!$B$17:$G$18, 5, 0)*VLOOKUP($H112, Factor!$J$4:$O$7, 5, 0)*VLOOKUP($F112, Factor!$Q$4:$V$15, 5, 0)*IF(MOD($G112,10)=0, 10, MOD($G112, 10))*((INDEX(Factor!$X$4:$AC$13, _xlfn.XMATCH($G112, Factor!$X$4:$X$13, 1),5)*IF(MOD(G112, 10) = 0, 10, MOD(G112, 10)))+INDEX(Factor!$AE$4:$AJ$13, _xlfn.XMATCH(MonsterData!$G112, Factor!$AE$4:$AE$13, 1),5))</f>
        <v>20.160000000000004</v>
      </c>
      <c r="Y112" s="17" cm="1">
        <f t="array" ref="Y112">P112*VLOOKUP($I112, Factor!$B$4:$G$8, 6, 0)*VLOOKUP($J112, Factor!$B$12:$G$13, 6, 0)*VLOOKUP($K112, Factor!$B$17:$G$18, 6, 0)*VLOOKUP($H112, Factor!$J$4:$O$7, 2, 0)*VLOOKUP($F112, Factor!$Q$4:$V$15, 6, 0)*IF(MOD($G112,10)=0, 10, MOD($G112, 10))*((INDEX(Factor!$X$4:$AC$13, _xlfn.XMATCH($G112, Factor!$X$4:$X$13, 1),6)*IF(MOD(G112, 10) = 0, 10, MOD(G112, 10)))+INDEX(Factor!$AE$4:$AJ$13, _xlfn.XMATCH(MonsterData!$G112, Factor!$AE$4:$AE$13, 1),6))</f>
        <v>80.640000000000015</v>
      </c>
      <c r="Z112" s="17">
        <f>$Q112*VLOOKUP($J112, Factor!$B$12:$H$13, 7, 0)</f>
        <v>1</v>
      </c>
      <c r="AA112" s="17">
        <v>1</v>
      </c>
      <c r="AB112" s="17">
        <f t="shared" si="9"/>
        <v>0</v>
      </c>
      <c r="AC112" s="17" t="s">
        <v>139</v>
      </c>
      <c r="AD112" s="19" t="s">
        <v>142</v>
      </c>
    </row>
    <row r="113" spans="1:30" ht="15.75" customHeight="1">
      <c r="A113" s="13" t="str">
        <f>T113&amp;"_"&amp;F113&amp;VLOOKUP($C113, Factor!$AM$4:$AY$30, 7, 0)&amp;IF(COUNTIFS($C$4:C112, C113, $F$4:F112, F113)+1&gt;=100, COUNTIFS($C$4:C112, C113, $F$4:F112, F113)+1,IF(COUNTIFS($C$4:C112, C113, $F$4:F112, F113)+1&gt;=10, "0"&amp;COUNTIFS($C$4:C112, C113, $F$4:F112, F113)+1, "00"&amp;COUNTIFS($C$4:C112, C113, $F$4:F112, F113)+1))</f>
        <v>enpc_F02_A_Cocoon_004</v>
      </c>
      <c r="B113" s="13"/>
      <c r="C113" s="13" t="s">
        <v>270</v>
      </c>
      <c r="D113" s="21" t="str">
        <f t="shared" si="8"/>
        <v>코쿤</v>
      </c>
      <c r="E113" s="21" t="str">
        <f>VLOOKUP($C113, Factor!$AM$4:$AY$30, 8, 0)</f>
        <v>M</v>
      </c>
      <c r="F113" s="21" t="s">
        <v>374</v>
      </c>
      <c r="G113" s="22">
        <v>17</v>
      </c>
      <c r="H113" s="13" t="s">
        <v>55</v>
      </c>
      <c r="I113" s="21" t="str">
        <f>VLOOKUP($C113, Factor!$AM$4:$AY$30, 11, 0)</f>
        <v>A</v>
      </c>
      <c r="J113" s="21" t="str">
        <f>VLOOKUP($C113, Factor!$AM$4:$AY$30, 12, 0)</f>
        <v>ml</v>
      </c>
      <c r="K113" s="21" t="str">
        <f>VLOOKUP($C113, Factor!$AM$4:$AY$30, 13, 0)</f>
        <v>L</v>
      </c>
      <c r="L113" s="13">
        <v>1</v>
      </c>
      <c r="M113" s="13">
        <v>1</v>
      </c>
      <c r="N113" s="13">
        <v>1</v>
      </c>
      <c r="O113" s="13">
        <v>1</v>
      </c>
      <c r="P113" s="13">
        <v>1</v>
      </c>
      <c r="Q113" s="13">
        <v>1</v>
      </c>
      <c r="R113" s="21" t="str">
        <f>VLOOKUP($C113, Factor!$AM$4:$AY$30, 9, 0)</f>
        <v>Midium</v>
      </c>
      <c r="S113" s="13" t="s">
        <v>408</v>
      </c>
      <c r="T113" s="21" t="str">
        <f>VLOOKUP($C113, Factor!$AM$4:$AY$30, 10, 0)</f>
        <v>enpc</v>
      </c>
      <c r="U113" s="21" cm="1">
        <f t="array" ref="U113">L113*VLOOKUP($I113, Factor!$B$4:$G$8, 2, 0)*VLOOKUP($J113, Factor!$B$12:$G$13, 2, 0)*VLOOKUP($K113, Factor!$B$17:$G$18, 2, 0)*VLOOKUP($H113, Factor!$J$4:$O$7, 2, 0)*VLOOKUP($F113, Factor!$Q$4:$V$15, 2, 0)*IF(MOD($G113,10)=0, 10, MOD($G113, 10))*((INDEX(Factor!$X$4:$AC$13, _xlfn.XMATCH($G113, Factor!$X$4:$X$13, 1),2)*IF(MOD(G113, 10) = 0, 10, MOD(G113, 10)))+INDEX(Factor!$AE$4:$AJ$13, _xlfn.XMATCH(MonsterData!$G113, Factor!$AE$4:$AE$13, 1),2))</f>
        <v>3024.0000000000005</v>
      </c>
      <c r="V113" s="21" cm="1">
        <f t="array" ref="V113">M113*VLOOKUP($I113, Factor!$B$4:$G$8, 3, 0)*VLOOKUP($J113, Factor!$B$12:$G$13, 3, 0)*VLOOKUP($K113, Factor!$B$17:$G$18, 3, 0)*VLOOKUP($H113, Factor!$J$4:$O$7, 3, 0)*VLOOKUP($F113, Factor!$Q$4:$V$15, 3, 0)*IF(MOD($G113,10)=0, 10, MOD($G113, 10))*((INDEX(Factor!$X$4:$AC$13, _xlfn.XMATCH($G113, Factor!$X$4:$X$13, 1),3)*IF(MOD(G113, 10) = 0, 10, MOD(G113, 10)))+INDEX(Factor!$AE$4:$AJ$13, _xlfn.XMATCH(MonsterData!$G113, Factor!$AE$4:$AE$13, 1),3))</f>
        <v>151.20000000000002</v>
      </c>
      <c r="W113" s="21" cm="1">
        <f t="array" ref="W113">N113*VLOOKUP($I113, Factor!$B$4:$G$8, 4, 0)*VLOOKUP($J113, Factor!$B$12:$G$13, 4, 0)*VLOOKUP($K113, Factor!$B$17:$G$18, 4, 0)*VLOOKUP($H113, Factor!$J$4:$O$7, 4, 0)*VLOOKUP($F113, Factor!$Q$4:$V$15, 4, 0)*IF(MOD($G113,10)=0, 10, MOD($G113, 10))*((INDEX(Factor!$X$4:$AC$13, _xlfn.XMATCH($G113, Factor!$X$4:$X$13, 1),4)*IF(MOD(G113, 10) = 0, 10, MOD(G113, 10)))+INDEX(Factor!$AE$4:$AJ$13, _xlfn.XMATCH(MonsterData!$G113, Factor!$AE$4:$AE$13, 1),4))</f>
        <v>90.720000000000013</v>
      </c>
      <c r="X113" s="21" cm="1">
        <f t="array" ref="X113">O113*VLOOKUP($I113, Factor!$B$4:$G$8, 5, 0)*VLOOKUP($J113, Factor!$B$12:$G$13, 5, 0)*VLOOKUP($K113, Factor!$B$17:$G$18, 5, 0)*VLOOKUP($H113, Factor!$J$4:$O$7, 5, 0)*VLOOKUP($F113, Factor!$Q$4:$V$15, 5, 0)*IF(MOD($G113,10)=0, 10, MOD($G113, 10))*((INDEX(Factor!$X$4:$AC$13, _xlfn.XMATCH($G113, Factor!$X$4:$X$13, 1),5)*IF(MOD(G113, 10) = 0, 10, MOD(G113, 10)))+INDEX(Factor!$AE$4:$AJ$13, _xlfn.XMATCH(MonsterData!$G113, Factor!$AE$4:$AE$13, 1),5))</f>
        <v>20.160000000000004</v>
      </c>
      <c r="Y113" s="21" cm="1">
        <f t="array" ref="Y113">P113*VLOOKUP($I113, Factor!$B$4:$G$8, 6, 0)*VLOOKUP($J113, Factor!$B$12:$G$13, 6, 0)*VLOOKUP($K113, Factor!$B$17:$G$18, 6, 0)*VLOOKUP($H113, Factor!$J$4:$O$7, 2, 0)*VLOOKUP($F113, Factor!$Q$4:$V$15, 6, 0)*IF(MOD($G113,10)=0, 10, MOD($G113, 10))*((INDEX(Factor!$X$4:$AC$13, _xlfn.XMATCH($G113, Factor!$X$4:$X$13, 1),6)*IF(MOD(G113, 10) = 0, 10, MOD(G113, 10)))+INDEX(Factor!$AE$4:$AJ$13, _xlfn.XMATCH(MonsterData!$G113, Factor!$AE$4:$AE$13, 1),6))</f>
        <v>100.80000000000001</v>
      </c>
      <c r="Z113" s="21">
        <f>$Q113*VLOOKUP($J113, Factor!$B$12:$H$13, 7, 0)</f>
        <v>1</v>
      </c>
      <c r="AA113" s="13">
        <v>1</v>
      </c>
      <c r="AB113" s="21">
        <f t="shared" si="9"/>
        <v>0</v>
      </c>
      <c r="AC113" s="13" t="s">
        <v>139</v>
      </c>
      <c r="AD113" s="15" t="s">
        <v>142</v>
      </c>
    </row>
    <row r="114" spans="1:30" ht="15.75" customHeight="1">
      <c r="A114" s="16" t="str">
        <f>T114&amp;"_"&amp;F114&amp;VLOOKUP($C114, Factor!$AM$4:$AY$30, 7, 0)&amp;IF(COUNTIFS($C$4:C113, C114, $F$4:F113, F114)+1&gt;=100, COUNTIFS($C$4:C113, C114, $F$4:F113, F114)+1,IF(COUNTIFS($C$4:C113, C114, $F$4:F113, F114)+1&gt;=10, "0"&amp;COUNTIFS($C$4:C113, C114, $F$4:F113, F114)+1, "00"&amp;COUNTIFS($C$4:C113, C114, $F$4:F113, F114)+1))</f>
        <v>enpc_F02_A_Antlion_004</v>
      </c>
      <c r="B114" s="16"/>
      <c r="C114" s="16" t="s">
        <v>38</v>
      </c>
      <c r="D114" s="17" t="str">
        <f t="shared" si="8"/>
        <v>앤틸리온</v>
      </c>
      <c r="E114" s="17" t="str">
        <f>VLOOKUP($C114, Factor!$AM$4:$AY$30, 8, 0)</f>
        <v>M</v>
      </c>
      <c r="F114" s="17" t="s">
        <v>374</v>
      </c>
      <c r="G114" s="20">
        <v>17</v>
      </c>
      <c r="H114" s="16" t="s">
        <v>55</v>
      </c>
      <c r="I114" s="17" t="str">
        <f>VLOOKUP($C114, Factor!$AM$4:$AY$30, 11, 0)</f>
        <v>A</v>
      </c>
      <c r="J114" s="17" t="str">
        <f>VLOOKUP($C114, Factor!$AM$4:$AY$30, 12, 0)</f>
        <v>ra</v>
      </c>
      <c r="K114" s="17" t="str">
        <f>VLOOKUP($C114, Factor!$AM$4:$AY$30, 13, 0)</f>
        <v>L</v>
      </c>
      <c r="L114" s="17">
        <v>1</v>
      </c>
      <c r="M114" s="17">
        <v>1</v>
      </c>
      <c r="N114" s="17">
        <v>1</v>
      </c>
      <c r="O114" s="17">
        <v>1</v>
      </c>
      <c r="P114" s="17">
        <v>1</v>
      </c>
      <c r="Q114" s="17">
        <v>1</v>
      </c>
      <c r="R114" s="17" t="str">
        <f>VLOOKUP($C114, Factor!$AM$4:$AY$30, 9, 0)</f>
        <v>Midium</v>
      </c>
      <c r="S114" s="17" t="s">
        <v>397</v>
      </c>
      <c r="T114" s="17" t="str">
        <f>VLOOKUP($C114, Factor!$AM$4:$AY$30, 10, 0)</f>
        <v>enpc</v>
      </c>
      <c r="U114" s="17" cm="1">
        <f t="array" ref="U114">L114*VLOOKUP($I114, Factor!$B$4:$G$8, 2, 0)*VLOOKUP($J114, Factor!$B$12:$G$13, 2, 0)*VLOOKUP($K114, Factor!$B$17:$G$18, 2, 0)*VLOOKUP($H114, Factor!$J$4:$O$7, 2, 0)*VLOOKUP($F114, Factor!$Q$4:$V$15, 2, 0)*IF(MOD($G114,10)=0, 10, MOD($G114, 10))*((INDEX(Factor!$X$4:$AC$13, _xlfn.XMATCH($G114, Factor!$X$4:$X$13, 1),2)*IF(MOD(G114, 10) = 0, 10, MOD(G114, 10)))+INDEX(Factor!$AE$4:$AJ$13, _xlfn.XMATCH(MonsterData!$G114, Factor!$AE$4:$AE$13, 1),2))</f>
        <v>2419.2000000000003</v>
      </c>
      <c r="V114" s="17" cm="1">
        <f t="array" ref="V114">M114*VLOOKUP($I114, Factor!$B$4:$G$8, 3, 0)*VLOOKUP($J114, Factor!$B$12:$G$13, 3, 0)*VLOOKUP($K114, Factor!$B$17:$G$18, 3, 0)*VLOOKUP($H114, Factor!$J$4:$O$7, 3, 0)*VLOOKUP($F114, Factor!$Q$4:$V$15, 3, 0)*IF(MOD($G114,10)=0, 10, MOD($G114, 10))*((INDEX(Factor!$X$4:$AC$13, _xlfn.XMATCH($G114, Factor!$X$4:$X$13, 1),3)*IF(MOD(G114, 10) = 0, 10, MOD(G114, 10)))+INDEX(Factor!$AE$4:$AJ$13, _xlfn.XMATCH(MonsterData!$G114, Factor!$AE$4:$AE$13, 1),3))</f>
        <v>120.96</v>
      </c>
      <c r="W114" s="17" cm="1">
        <f t="array" ref="W114">N114*VLOOKUP($I114, Factor!$B$4:$G$8, 4, 0)*VLOOKUP($J114, Factor!$B$12:$G$13, 4, 0)*VLOOKUP($K114, Factor!$B$17:$G$18, 4, 0)*VLOOKUP($H114, Factor!$J$4:$O$7, 4, 0)*VLOOKUP($F114, Factor!$Q$4:$V$15, 4, 0)*IF(MOD($G114,10)=0, 10, MOD($G114, 10))*((INDEX(Factor!$X$4:$AC$13, _xlfn.XMATCH($G114, Factor!$X$4:$X$13, 1),4)*IF(MOD(G114, 10) = 0, 10, MOD(G114, 10)))+INDEX(Factor!$AE$4:$AJ$13, _xlfn.XMATCH(MonsterData!$G114, Factor!$AE$4:$AE$13, 1),4))</f>
        <v>108.86400000000002</v>
      </c>
      <c r="X114" s="17" cm="1">
        <f t="array" ref="X114">O114*VLOOKUP($I114, Factor!$B$4:$G$8, 5, 0)*VLOOKUP($J114, Factor!$B$12:$G$13, 5, 0)*VLOOKUP($K114, Factor!$B$17:$G$18, 5, 0)*VLOOKUP($H114, Factor!$J$4:$O$7, 5, 0)*VLOOKUP($F114, Factor!$Q$4:$V$15, 5, 0)*IF(MOD($G114,10)=0, 10, MOD($G114, 10))*((INDEX(Factor!$X$4:$AC$13, _xlfn.XMATCH($G114, Factor!$X$4:$X$13, 1),5)*IF(MOD(G114, 10) = 0, 10, MOD(G114, 10)))+INDEX(Factor!$AE$4:$AJ$13, _xlfn.XMATCH(MonsterData!$G114, Factor!$AE$4:$AE$13, 1),5))</f>
        <v>30.24</v>
      </c>
      <c r="Y114" s="17" cm="1">
        <f t="array" ref="Y114">P114*VLOOKUP($I114, Factor!$B$4:$G$8, 6, 0)*VLOOKUP($J114, Factor!$B$12:$G$13, 6, 0)*VLOOKUP($K114, Factor!$B$17:$G$18, 6, 0)*VLOOKUP($H114, Factor!$J$4:$O$7, 2, 0)*VLOOKUP($F114, Factor!$Q$4:$V$15, 6, 0)*IF(MOD($G114,10)=0, 10, MOD($G114, 10))*((INDEX(Factor!$X$4:$AC$13, _xlfn.XMATCH($G114, Factor!$X$4:$X$13, 1),6)*IF(MOD(G114, 10) = 0, 10, MOD(G114, 10)))+INDEX(Factor!$AE$4:$AJ$13, _xlfn.XMATCH(MonsterData!$G114, Factor!$AE$4:$AE$13, 1),6))</f>
        <v>100.80000000000001</v>
      </c>
      <c r="Z114" s="17">
        <f>$Q114*VLOOKUP($J114, Factor!$B$12:$H$13, 7, 0)</f>
        <v>4</v>
      </c>
      <c r="AA114" s="17">
        <v>1</v>
      </c>
      <c r="AB114" s="17">
        <f t="shared" si="9"/>
        <v>4</v>
      </c>
      <c r="AC114" s="17" t="s">
        <v>139</v>
      </c>
      <c r="AD114" s="19" t="s">
        <v>142</v>
      </c>
    </row>
    <row r="115" spans="1:30" ht="15.75" customHeight="1">
      <c r="A115" s="13" t="str">
        <f>T115&amp;"_"&amp;F115&amp;VLOOKUP($C115, Factor!$AM$4:$AY$30, 7, 0)&amp;IF(COUNTIFS($C$4:C114, C115, $F$4:F114, F115)+1&gt;=100, COUNTIFS($C$4:C114, C115, $F$4:F114, F115)+1,IF(COUNTIFS($C$4:C114, C115, $F$4:F114, F115)+1&gt;=10, "0"&amp;COUNTIFS($C$4:C114, C115, $F$4:F114, F115)+1, "00"&amp;COUNTIFS($C$4:C114, C115, $F$4:F114, F115)+1))</f>
        <v>enpc_F02_A_Nymphe_004</v>
      </c>
      <c r="B115" s="13"/>
      <c r="C115" s="13" t="s">
        <v>39</v>
      </c>
      <c r="D115" s="21" t="str">
        <f t="shared" si="8"/>
        <v>님프</v>
      </c>
      <c r="E115" s="21" t="str">
        <f>VLOOKUP($C115, Factor!$AM$4:$AY$30, 8, 0)</f>
        <v>S</v>
      </c>
      <c r="F115" s="21" t="s">
        <v>374</v>
      </c>
      <c r="G115" s="22">
        <v>17</v>
      </c>
      <c r="H115" s="13" t="s">
        <v>55</v>
      </c>
      <c r="I115" s="21" t="str">
        <f>VLOOKUP($C115, Factor!$AM$4:$AY$30, 11, 0)</f>
        <v>A</v>
      </c>
      <c r="J115" s="21" t="str">
        <f>VLOOKUP($C115, Factor!$AM$4:$AY$30, 12, 0)</f>
        <v>ml</v>
      </c>
      <c r="K115" s="21" t="str">
        <f>VLOOKUP($C115, Factor!$AM$4:$AY$30, 13, 0)</f>
        <v>F</v>
      </c>
      <c r="L115" s="13">
        <v>1</v>
      </c>
      <c r="M115" s="13">
        <v>1</v>
      </c>
      <c r="N115" s="13">
        <v>1</v>
      </c>
      <c r="O115" s="13">
        <v>1</v>
      </c>
      <c r="P115" s="13">
        <v>1</v>
      </c>
      <c r="Q115" s="13">
        <v>1</v>
      </c>
      <c r="R115" s="21" t="str">
        <f>VLOOKUP($C115, Factor!$AM$4:$AY$30, 9, 0)</f>
        <v>Small</v>
      </c>
      <c r="S115" s="13" t="s">
        <v>409</v>
      </c>
      <c r="T115" s="21" t="str">
        <f>VLOOKUP($C115, Factor!$AM$4:$AY$30, 10, 0)</f>
        <v>enpc</v>
      </c>
      <c r="U115" s="21" cm="1">
        <f t="array" ref="U115">L115*VLOOKUP($I115, Factor!$B$4:$G$8, 2, 0)*VLOOKUP($J115, Factor!$B$12:$G$13, 2, 0)*VLOOKUP($K115, Factor!$B$17:$G$18, 2, 0)*VLOOKUP($H115, Factor!$J$4:$O$7, 2, 0)*VLOOKUP($F115, Factor!$Q$4:$V$15, 2, 0)*IF(MOD($G115,10)=0, 10, MOD($G115, 10))*((INDEX(Factor!$X$4:$AC$13, _xlfn.XMATCH($G115, Factor!$X$4:$X$13, 1),2)*IF(MOD(G115, 10) = 0, 10, MOD(G115, 10)))+INDEX(Factor!$AE$4:$AJ$13, _xlfn.XMATCH(MonsterData!$G115, Factor!$AE$4:$AE$13, 1),2))</f>
        <v>2016.0000000000002</v>
      </c>
      <c r="V115" s="21" cm="1">
        <f t="array" ref="V115">M115*VLOOKUP($I115, Factor!$B$4:$G$8, 3, 0)*VLOOKUP($J115, Factor!$B$12:$G$13, 3, 0)*VLOOKUP($K115, Factor!$B$17:$G$18, 3, 0)*VLOOKUP($H115, Factor!$J$4:$O$7, 3, 0)*VLOOKUP($F115, Factor!$Q$4:$V$15, 3, 0)*IF(MOD($G115,10)=0, 10, MOD($G115, 10))*((INDEX(Factor!$X$4:$AC$13, _xlfn.XMATCH($G115, Factor!$X$4:$X$13, 1),3)*IF(MOD(G115, 10) = 0, 10, MOD(G115, 10)))+INDEX(Factor!$AE$4:$AJ$13, _xlfn.XMATCH(MonsterData!$G115, Factor!$AE$4:$AE$13, 1),3))</f>
        <v>100.80000000000001</v>
      </c>
      <c r="W115" s="21" cm="1">
        <f t="array" ref="W115">N115*VLOOKUP($I115, Factor!$B$4:$G$8, 4, 0)*VLOOKUP($J115, Factor!$B$12:$G$13, 4, 0)*VLOOKUP($K115, Factor!$B$17:$G$18, 4, 0)*VLOOKUP($H115, Factor!$J$4:$O$7, 4, 0)*VLOOKUP($F115, Factor!$Q$4:$V$15, 4, 0)*IF(MOD($G115,10)=0, 10, MOD($G115, 10))*((INDEX(Factor!$X$4:$AC$13, _xlfn.XMATCH($G115, Factor!$X$4:$X$13, 1),4)*IF(MOD(G115, 10) = 0, 10, MOD(G115, 10)))+INDEX(Factor!$AE$4:$AJ$13, _xlfn.XMATCH(MonsterData!$G115, Factor!$AE$4:$AE$13, 1),4))</f>
        <v>60.48</v>
      </c>
      <c r="X115" s="21" cm="1">
        <f t="array" ref="X115">O115*VLOOKUP($I115, Factor!$B$4:$G$8, 5, 0)*VLOOKUP($J115, Factor!$B$12:$G$13, 5, 0)*VLOOKUP($K115, Factor!$B$17:$G$18, 5, 0)*VLOOKUP($H115, Factor!$J$4:$O$7, 5, 0)*VLOOKUP($F115, Factor!$Q$4:$V$15, 5, 0)*IF(MOD($G115,10)=0, 10, MOD($G115, 10))*((INDEX(Factor!$X$4:$AC$13, _xlfn.XMATCH($G115, Factor!$X$4:$X$13, 1),5)*IF(MOD(G115, 10) = 0, 10, MOD(G115, 10)))+INDEX(Factor!$AE$4:$AJ$13, _xlfn.XMATCH(MonsterData!$G115, Factor!$AE$4:$AE$13, 1),5))</f>
        <v>20.160000000000004</v>
      </c>
      <c r="Y115" s="21" cm="1">
        <f t="array" ref="Y115">P115*VLOOKUP($I115, Factor!$B$4:$G$8, 6, 0)*VLOOKUP($J115, Factor!$B$12:$G$13, 6, 0)*VLOOKUP($K115, Factor!$B$17:$G$18, 6, 0)*VLOOKUP($H115, Factor!$J$4:$O$7, 2, 0)*VLOOKUP($F115, Factor!$Q$4:$V$15, 6, 0)*IF(MOD($G115,10)=0, 10, MOD($G115, 10))*((INDEX(Factor!$X$4:$AC$13, _xlfn.XMATCH($G115, Factor!$X$4:$X$13, 1),6)*IF(MOD(G115, 10) = 0, 10, MOD(G115, 10)))+INDEX(Factor!$AE$4:$AJ$13, _xlfn.XMATCH(MonsterData!$G115, Factor!$AE$4:$AE$13, 1),6))</f>
        <v>302.40000000000003</v>
      </c>
      <c r="Z115" s="21">
        <f>$Q115*VLOOKUP($J115, Factor!$B$12:$H$13, 7, 0)</f>
        <v>1</v>
      </c>
      <c r="AA115" s="13">
        <v>1</v>
      </c>
      <c r="AB115" s="21">
        <f t="shared" si="9"/>
        <v>0</v>
      </c>
      <c r="AC115" s="13" t="s">
        <v>139</v>
      </c>
      <c r="AD115" s="15" t="s">
        <v>142</v>
      </c>
    </row>
    <row r="116" spans="1:30" ht="15.75" customHeight="1">
      <c r="A116" s="16" t="str">
        <f>T116&amp;"_"&amp;F116&amp;VLOOKUP($C116, Factor!$AM$4:$AY$30, 7, 0)&amp;IF(COUNTIFS($C$4:C115, C116, $F$4:F115, F116)+1&gt;=100, COUNTIFS($C$4:C115, C116, $F$4:F115, F116)+1,IF(COUNTIFS($C$4:C115, C116, $F$4:F115, F116)+1&gt;=10, "0"&amp;COUNTIFS($C$4:C115, C116, $F$4:F115, F116)+1, "00"&amp;COUNTIFS($C$4:C115, C116, $F$4:F115, F116)+1))</f>
        <v>enpc_F02_B_Golem_004</v>
      </c>
      <c r="B116" s="16"/>
      <c r="C116" s="16" t="s">
        <v>40</v>
      </c>
      <c r="D116" s="17" t="str">
        <f t="shared" si="8"/>
        <v>골렘</v>
      </c>
      <c r="E116" s="17" t="str">
        <f>VLOOKUP($C116, Factor!$AM$4:$AY$30, 8, 0)</f>
        <v>B</v>
      </c>
      <c r="F116" s="17" t="s">
        <v>374</v>
      </c>
      <c r="G116" s="20">
        <v>29</v>
      </c>
      <c r="H116" s="16" t="s">
        <v>57</v>
      </c>
      <c r="I116" s="17" t="str">
        <f>VLOOKUP($C116, Factor!$AM$4:$AY$30, 11, 0)</f>
        <v>B</v>
      </c>
      <c r="J116" s="17" t="str">
        <f>VLOOKUP($C116, Factor!$AM$4:$AY$30, 12, 0)</f>
        <v>ml</v>
      </c>
      <c r="K116" s="17" t="str">
        <f>VLOOKUP($C116, Factor!$AM$4:$AY$30, 13, 0)</f>
        <v>L</v>
      </c>
      <c r="L116" s="17">
        <v>1</v>
      </c>
      <c r="M116" s="17">
        <v>1</v>
      </c>
      <c r="N116" s="17">
        <v>1</v>
      </c>
      <c r="O116" s="17">
        <v>1</v>
      </c>
      <c r="P116" s="17">
        <v>1</v>
      </c>
      <c r="Q116" s="17">
        <v>1</v>
      </c>
      <c r="R116" s="17" t="str">
        <f>VLOOKUP($C116, Factor!$AM$4:$AY$30, 9, 0)</f>
        <v>Big</v>
      </c>
      <c r="S116" s="17" t="s">
        <v>398</v>
      </c>
      <c r="T116" s="17" t="str">
        <f>VLOOKUP($C116, Factor!$AM$4:$AY$30, 10, 0)</f>
        <v>enpc</v>
      </c>
      <c r="U116" s="17" cm="1">
        <f t="array" ref="U116">L116*VLOOKUP($I116, Factor!$B$4:$G$8, 2, 0)*VLOOKUP($J116, Factor!$B$12:$G$13, 2, 0)*VLOOKUP($K116, Factor!$B$17:$G$18, 2, 0)*VLOOKUP($H116, Factor!$J$4:$O$7, 2, 0)*VLOOKUP($F116, Factor!$Q$4:$V$15, 2, 0)*IF(MOD($G116,10)=0, 10, MOD($G116, 10))*((INDEX(Factor!$X$4:$AC$13, _xlfn.XMATCH($G116, Factor!$X$4:$X$13, 1),2)*IF(MOD(G116, 10) = 0, 10, MOD(G116, 10)))+INDEX(Factor!$AE$4:$AJ$13, _xlfn.XMATCH(MonsterData!$G116, Factor!$AE$4:$AE$13, 1),2))</f>
        <v>92339.999999999985</v>
      </c>
      <c r="V116" s="17" cm="1">
        <f t="array" ref="V116">M116*VLOOKUP($I116, Factor!$B$4:$G$8, 3, 0)*VLOOKUP($J116, Factor!$B$12:$G$13, 3, 0)*VLOOKUP($K116, Factor!$B$17:$G$18, 3, 0)*VLOOKUP($H116, Factor!$J$4:$O$7, 3, 0)*VLOOKUP($F116, Factor!$Q$4:$V$15, 3, 0)*IF(MOD($G116,10)=0, 10, MOD($G116, 10))*((INDEX(Factor!$X$4:$AC$13, _xlfn.XMATCH($G116, Factor!$X$4:$X$13, 1),3)*IF(MOD(G116, 10) = 0, 10, MOD(G116, 10)))+INDEX(Factor!$AE$4:$AJ$13, _xlfn.XMATCH(MonsterData!$G116, Factor!$AE$4:$AE$13, 1),3))</f>
        <v>4616.9999999999991</v>
      </c>
      <c r="W116" s="17" cm="1">
        <f t="array" ref="W116">N116*VLOOKUP($I116, Factor!$B$4:$G$8, 4, 0)*VLOOKUP($J116, Factor!$B$12:$G$13, 4, 0)*VLOOKUP($K116, Factor!$B$17:$G$18, 4, 0)*VLOOKUP($H116, Factor!$J$4:$O$7, 4, 0)*VLOOKUP($F116, Factor!$Q$4:$V$15, 4, 0)*IF(MOD($G116,10)=0, 10, MOD($G116, 10))*((INDEX(Factor!$X$4:$AC$13, _xlfn.XMATCH($G116, Factor!$X$4:$X$13, 1),4)*IF(MOD(G116, 10) = 0, 10, MOD(G116, 10)))+INDEX(Factor!$AE$4:$AJ$13, _xlfn.XMATCH(MonsterData!$G116, Factor!$AE$4:$AE$13, 1),4))</f>
        <v>230.84999999999997</v>
      </c>
      <c r="X116" s="17" cm="1">
        <f t="array" ref="X116">O116*VLOOKUP($I116, Factor!$B$4:$G$8, 5, 0)*VLOOKUP($J116, Factor!$B$12:$G$13, 5, 0)*VLOOKUP($K116, Factor!$B$17:$G$18, 5, 0)*VLOOKUP($H116, Factor!$J$4:$O$7, 5, 0)*VLOOKUP($F116, Factor!$Q$4:$V$15, 5, 0)*IF(MOD($G116,10)=0, 10, MOD($G116, 10))*((INDEX(Factor!$X$4:$AC$13, _xlfn.XMATCH($G116, Factor!$X$4:$X$13, 1),5)*IF(MOD(G116, 10) = 0, 10, MOD(G116, 10)))+INDEX(Factor!$AE$4:$AJ$13, _xlfn.XMATCH(MonsterData!$G116, Factor!$AE$4:$AE$13, 1),5))</f>
        <v>246.23999999999995</v>
      </c>
      <c r="Y116" s="17" cm="1">
        <f t="array" ref="Y116">P116*VLOOKUP($I116, Factor!$B$4:$G$8, 6, 0)*VLOOKUP($J116, Factor!$B$12:$G$13, 6, 0)*VLOOKUP($K116, Factor!$B$17:$G$18, 6, 0)*VLOOKUP($H116, Factor!$J$4:$O$7, 2, 0)*VLOOKUP($F116, Factor!$Q$4:$V$15, 6, 0)*IF(MOD($G116,10)=0, 10, MOD($G116, 10))*((INDEX(Factor!$X$4:$AC$13, _xlfn.XMATCH($G116, Factor!$X$4:$X$13, 1),6)*IF(MOD(G116, 10) = 0, 10, MOD(G116, 10)))+INDEX(Factor!$AE$4:$AJ$13, _xlfn.XMATCH(MonsterData!$G116, Factor!$AE$4:$AE$13, 1),6))</f>
        <v>492.4799999999999</v>
      </c>
      <c r="Z116" s="17">
        <f>$Q116*VLOOKUP($J116, Factor!$B$12:$H$13, 7, 0)</f>
        <v>1</v>
      </c>
      <c r="AA116" s="17">
        <v>1</v>
      </c>
      <c r="AB116" s="17">
        <f t="shared" si="9"/>
        <v>0</v>
      </c>
      <c r="AC116" s="17" t="s">
        <v>140</v>
      </c>
      <c r="AD116" s="19" t="s">
        <v>143</v>
      </c>
    </row>
    <row r="117" spans="1:30" ht="15.75" customHeight="1">
      <c r="A117" s="13" t="str">
        <f>T117&amp;"_"&amp;F117&amp;VLOOKUP($C117, Factor!$AM$4:$AY$30, 7, 0)&amp;IF(COUNTIFS($C$4:C116, C117, $F$4:F116, F117)+1&gt;=100, COUNTIFS($C$4:C116, C117, $F$4:F116, F117)+1,IF(COUNTIFS($C$4:C116, C117, $F$4:F116, F117)+1&gt;=10, "0"&amp;COUNTIFS($C$4:C116, C117, $F$4:F116, F117)+1, "00"&amp;COUNTIFS($C$4:C116, C117, $F$4:F116, F117)+1))</f>
        <v>enpc_F02_B_Banshee_004</v>
      </c>
      <c r="B117" s="13"/>
      <c r="C117" s="13" t="s">
        <v>42</v>
      </c>
      <c r="D117" s="21" t="str">
        <f t="shared" si="8"/>
        <v>밴시</v>
      </c>
      <c r="E117" s="21" t="str">
        <f>VLOOKUP($C117, Factor!$AM$4:$AY$30, 8, 0)</f>
        <v>S</v>
      </c>
      <c r="F117" s="21" t="s">
        <v>374</v>
      </c>
      <c r="G117" s="22">
        <v>29</v>
      </c>
      <c r="H117" s="13" t="s">
        <v>56</v>
      </c>
      <c r="I117" s="21" t="str">
        <f>VLOOKUP($C117, Factor!$AM$4:$AY$30, 11, 0)</f>
        <v>B</v>
      </c>
      <c r="J117" s="21" t="str">
        <f>VLOOKUP($C117, Factor!$AM$4:$AY$30, 12, 0)</f>
        <v>ra</v>
      </c>
      <c r="K117" s="21" t="str">
        <f>VLOOKUP($C117, Factor!$AM$4:$AY$30, 13, 0)</f>
        <v>L</v>
      </c>
      <c r="L117" s="13">
        <v>1</v>
      </c>
      <c r="M117" s="13">
        <v>1</v>
      </c>
      <c r="N117" s="13">
        <v>1</v>
      </c>
      <c r="O117" s="13">
        <v>1</v>
      </c>
      <c r="P117" s="13">
        <v>1</v>
      </c>
      <c r="Q117" s="13">
        <v>1</v>
      </c>
      <c r="R117" s="21" t="str">
        <f>VLOOKUP($C117, Factor!$AM$4:$AY$30, 9, 0)</f>
        <v>Midium</v>
      </c>
      <c r="S117" s="13" t="s">
        <v>410</v>
      </c>
      <c r="T117" s="21" t="str">
        <f>VLOOKUP($C117, Factor!$AM$4:$AY$30, 10, 0)</f>
        <v>enpc</v>
      </c>
      <c r="U117" s="21" cm="1">
        <f t="array" ref="U117">L117*VLOOKUP($I117, Factor!$B$4:$G$8, 2, 0)*VLOOKUP($J117, Factor!$B$12:$G$13, 2, 0)*VLOOKUP($K117, Factor!$B$17:$G$18, 2, 0)*VLOOKUP($H117, Factor!$J$4:$O$7, 2, 0)*VLOOKUP($F117, Factor!$Q$4:$V$15, 2, 0)*IF(MOD($G117,10)=0, 10, MOD($G117, 10))*((INDEX(Factor!$X$4:$AC$13, _xlfn.XMATCH($G117, Factor!$X$4:$X$13, 1),2)*IF(MOD(G117, 10) = 0, 10, MOD(G117, 10)))+INDEX(Factor!$AE$4:$AJ$13, _xlfn.XMATCH(MonsterData!$G117, Factor!$AE$4:$AE$13, 1),2))</f>
        <v>36935.999999999993</v>
      </c>
      <c r="V117" s="21" cm="1">
        <f t="array" ref="V117">M117*VLOOKUP($I117, Factor!$B$4:$G$8, 3, 0)*VLOOKUP($J117, Factor!$B$12:$G$13, 3, 0)*VLOOKUP($K117, Factor!$B$17:$G$18, 3, 0)*VLOOKUP($H117, Factor!$J$4:$O$7, 3, 0)*VLOOKUP($F117, Factor!$Q$4:$V$15, 3, 0)*IF(MOD($G117,10)=0, 10, MOD($G117, 10))*((INDEX(Factor!$X$4:$AC$13, _xlfn.XMATCH($G117, Factor!$X$4:$X$13, 1),3)*IF(MOD(G117, 10) = 0, 10, MOD(G117, 10)))+INDEX(Factor!$AE$4:$AJ$13, _xlfn.XMATCH(MonsterData!$G117, Factor!$AE$4:$AE$13, 1),3))</f>
        <v>1846.7999999999997</v>
      </c>
      <c r="W117" s="21" cm="1">
        <f t="array" ref="W117">N117*VLOOKUP($I117, Factor!$B$4:$G$8, 4, 0)*VLOOKUP($J117, Factor!$B$12:$G$13, 4, 0)*VLOOKUP($K117, Factor!$B$17:$G$18, 4, 0)*VLOOKUP($H117, Factor!$J$4:$O$7, 4, 0)*VLOOKUP($F117, Factor!$Q$4:$V$15, 4, 0)*IF(MOD($G117,10)=0, 10, MOD($G117, 10))*((INDEX(Factor!$X$4:$AC$13, _xlfn.XMATCH($G117, Factor!$X$4:$X$13, 1),4)*IF(MOD(G117, 10) = 0, 10, MOD(G117, 10)))+INDEX(Factor!$AE$4:$AJ$13, _xlfn.XMATCH(MonsterData!$G117, Factor!$AE$4:$AE$13, 1),4))</f>
        <v>5540.4</v>
      </c>
      <c r="X117" s="21" cm="1">
        <f t="array" ref="X117">O117*VLOOKUP($I117, Factor!$B$4:$G$8, 5, 0)*VLOOKUP($J117, Factor!$B$12:$G$13, 5, 0)*VLOOKUP($K117, Factor!$B$17:$G$18, 5, 0)*VLOOKUP($H117, Factor!$J$4:$O$7, 5, 0)*VLOOKUP($F117, Factor!$Q$4:$V$15, 5, 0)*IF(MOD($G117,10)=0, 10, MOD($G117, 10))*((INDEX(Factor!$X$4:$AC$13, _xlfn.XMATCH($G117, Factor!$X$4:$X$13, 1),5)*IF(MOD(G117, 10) = 0, 10, MOD(G117, 10)))+INDEX(Factor!$AE$4:$AJ$13, _xlfn.XMATCH(MonsterData!$G117, Factor!$AE$4:$AE$13, 1),5))</f>
        <v>166.21199999999999</v>
      </c>
      <c r="Y117" s="21" cm="1">
        <f t="array" ref="Y117">P117*VLOOKUP($I117, Factor!$B$4:$G$8, 6, 0)*VLOOKUP($J117, Factor!$B$12:$G$13, 6, 0)*VLOOKUP($K117, Factor!$B$17:$G$18, 6, 0)*VLOOKUP($H117, Factor!$J$4:$O$7, 2, 0)*VLOOKUP($F117, Factor!$Q$4:$V$15, 6, 0)*IF(MOD($G117,10)=0, 10, MOD($G117, 10))*((INDEX(Factor!$X$4:$AC$13, _xlfn.XMATCH($G117, Factor!$X$4:$X$13, 1),6)*IF(MOD(G117, 10) = 0, 10, MOD(G117, 10)))+INDEX(Factor!$AE$4:$AJ$13, _xlfn.XMATCH(MonsterData!$G117, Factor!$AE$4:$AE$13, 1),6))</f>
        <v>246.23999999999995</v>
      </c>
      <c r="Z117" s="21">
        <f>$Q117*VLOOKUP($J117, Factor!$B$12:$H$13, 7, 0)</f>
        <v>4</v>
      </c>
      <c r="AA117" s="13">
        <v>1</v>
      </c>
      <c r="AB117" s="21">
        <f t="shared" si="9"/>
        <v>4</v>
      </c>
      <c r="AC117" s="13" t="s">
        <v>141</v>
      </c>
      <c r="AD117" s="15" t="s">
        <v>144</v>
      </c>
    </row>
    <row r="118" spans="1:30" ht="15.75" customHeight="1">
      <c r="A118" s="16" t="str">
        <f>T118&amp;"_"&amp;F118&amp;VLOOKUP($C118, Factor!$AM$4:$AY$30, 7, 0)&amp;IF(COUNTIFS($C$4:C117, C118, $F$4:F117, F118)+1&gt;=100, COUNTIFS($C$4:C117, C118, $F$4:F117, F118)+1,IF(COUNTIFS($C$4:C117, C118, $F$4:F117, F118)+1&gt;=10, "0"&amp;COUNTIFS($C$4:C117, C118, $F$4:F117, F118)+1, "00"&amp;COUNTIFS($C$4:C117, C118, $F$4:F117, F118)+1))</f>
        <v>enpc_F02_A_Scarab_004</v>
      </c>
      <c r="B118" s="16"/>
      <c r="C118" s="16" t="s">
        <v>353</v>
      </c>
      <c r="D118" s="17" t="str">
        <f t="shared" si="8"/>
        <v>스캐럽</v>
      </c>
      <c r="E118" s="17" t="str">
        <f>VLOOKUP($C118, Factor!$AM$4:$AY$30, 8, 0)</f>
        <v>S</v>
      </c>
      <c r="F118" s="17" t="s">
        <v>374</v>
      </c>
      <c r="G118" s="20">
        <v>17</v>
      </c>
      <c r="H118" s="16" t="s">
        <v>55</v>
      </c>
      <c r="I118" s="17" t="str">
        <f>VLOOKUP($C118, Factor!$AM$4:$AY$30, 11, 0)</f>
        <v>A</v>
      </c>
      <c r="J118" s="17" t="str">
        <f>VLOOKUP($C118, Factor!$AM$4:$AY$30, 12, 0)</f>
        <v>ml</v>
      </c>
      <c r="K118" s="17" t="str">
        <f>VLOOKUP($C118, Factor!$AM$4:$AY$30, 13, 0)</f>
        <v>L</v>
      </c>
      <c r="L118" s="17">
        <v>1</v>
      </c>
      <c r="M118" s="17">
        <v>1</v>
      </c>
      <c r="N118" s="17">
        <v>1</v>
      </c>
      <c r="O118" s="17">
        <v>1</v>
      </c>
      <c r="P118" s="17">
        <v>1</v>
      </c>
      <c r="Q118" s="17">
        <v>1</v>
      </c>
      <c r="R118" s="17" t="str">
        <f>VLOOKUP($C118, Factor!$AM$4:$AY$30, 9, 0)</f>
        <v>Midium</v>
      </c>
      <c r="S118" s="17" t="s">
        <v>399</v>
      </c>
      <c r="T118" s="17" t="str">
        <f>VLOOKUP($C118, Factor!$AM$4:$AY$30, 10, 0)</f>
        <v>enpc</v>
      </c>
      <c r="U118" s="17" cm="1">
        <f t="array" ref="U118">L118*VLOOKUP($I118, Factor!$B$4:$G$8, 2, 0)*VLOOKUP($J118, Factor!$B$12:$G$13, 2, 0)*VLOOKUP($K118, Factor!$B$17:$G$18, 2, 0)*VLOOKUP($H118, Factor!$J$4:$O$7, 2, 0)*VLOOKUP($F118, Factor!$Q$4:$V$15, 2, 0)*IF(MOD($G118,10)=0, 10, MOD($G118, 10))*((INDEX(Factor!$X$4:$AC$13, _xlfn.XMATCH($G118, Factor!$X$4:$X$13, 1),2)*IF(MOD(G118, 10) = 0, 10, MOD(G118, 10)))+INDEX(Factor!$AE$4:$AJ$13, _xlfn.XMATCH(MonsterData!$G118, Factor!$AE$4:$AE$13, 1),2))</f>
        <v>3024.0000000000005</v>
      </c>
      <c r="V118" s="17" cm="1">
        <f t="array" ref="V118">M118*VLOOKUP($I118, Factor!$B$4:$G$8, 3, 0)*VLOOKUP($J118, Factor!$B$12:$G$13, 3, 0)*VLOOKUP($K118, Factor!$B$17:$G$18, 3, 0)*VLOOKUP($H118, Factor!$J$4:$O$7, 3, 0)*VLOOKUP($F118, Factor!$Q$4:$V$15, 3, 0)*IF(MOD($G118,10)=0, 10, MOD($G118, 10))*((INDEX(Factor!$X$4:$AC$13, _xlfn.XMATCH($G118, Factor!$X$4:$X$13, 1),3)*IF(MOD(G118, 10) = 0, 10, MOD(G118, 10)))+INDEX(Factor!$AE$4:$AJ$13, _xlfn.XMATCH(MonsterData!$G118, Factor!$AE$4:$AE$13, 1),3))</f>
        <v>151.20000000000002</v>
      </c>
      <c r="W118" s="17" cm="1">
        <f t="array" ref="W118">N118*VLOOKUP($I118, Factor!$B$4:$G$8, 4, 0)*VLOOKUP($J118, Factor!$B$12:$G$13, 4, 0)*VLOOKUP($K118, Factor!$B$17:$G$18, 4, 0)*VLOOKUP($H118, Factor!$J$4:$O$7, 4, 0)*VLOOKUP($F118, Factor!$Q$4:$V$15, 4, 0)*IF(MOD($G118,10)=0, 10, MOD($G118, 10))*((INDEX(Factor!$X$4:$AC$13, _xlfn.XMATCH($G118, Factor!$X$4:$X$13, 1),4)*IF(MOD(G118, 10) = 0, 10, MOD(G118, 10)))+INDEX(Factor!$AE$4:$AJ$13, _xlfn.XMATCH(MonsterData!$G118, Factor!$AE$4:$AE$13, 1),4))</f>
        <v>90.720000000000013</v>
      </c>
      <c r="X118" s="17" cm="1">
        <f t="array" ref="X118">O118*VLOOKUP($I118, Factor!$B$4:$G$8, 5, 0)*VLOOKUP($J118, Factor!$B$12:$G$13, 5, 0)*VLOOKUP($K118, Factor!$B$17:$G$18, 5, 0)*VLOOKUP($H118, Factor!$J$4:$O$7, 5, 0)*VLOOKUP($F118, Factor!$Q$4:$V$15, 5, 0)*IF(MOD($G118,10)=0, 10, MOD($G118, 10))*((INDEX(Factor!$X$4:$AC$13, _xlfn.XMATCH($G118, Factor!$X$4:$X$13, 1),5)*IF(MOD(G118, 10) = 0, 10, MOD(G118, 10)))+INDEX(Factor!$AE$4:$AJ$13, _xlfn.XMATCH(MonsterData!$G118, Factor!$AE$4:$AE$13, 1),5))</f>
        <v>20.160000000000004</v>
      </c>
      <c r="Y118" s="17" cm="1">
        <f t="array" ref="Y118">P118*VLOOKUP($I118, Factor!$B$4:$G$8, 6, 0)*VLOOKUP($J118, Factor!$B$12:$G$13, 6, 0)*VLOOKUP($K118, Factor!$B$17:$G$18, 6, 0)*VLOOKUP($H118, Factor!$J$4:$O$7, 2, 0)*VLOOKUP($F118, Factor!$Q$4:$V$15, 6, 0)*IF(MOD($G118,10)=0, 10, MOD($G118, 10))*((INDEX(Factor!$X$4:$AC$13, _xlfn.XMATCH($G118, Factor!$X$4:$X$13, 1),6)*IF(MOD(G118, 10) = 0, 10, MOD(G118, 10)))+INDEX(Factor!$AE$4:$AJ$13, _xlfn.XMATCH(MonsterData!$G118, Factor!$AE$4:$AE$13, 1),6))</f>
        <v>100.80000000000001</v>
      </c>
      <c r="Z118" s="17">
        <f>$Q118*VLOOKUP($J118, Factor!$B$12:$H$13, 7, 0)</f>
        <v>1</v>
      </c>
      <c r="AA118" s="17">
        <v>1</v>
      </c>
      <c r="AB118" s="17">
        <f t="shared" si="9"/>
        <v>0</v>
      </c>
      <c r="AC118" s="17" t="s">
        <v>139</v>
      </c>
      <c r="AD118" s="19" t="s">
        <v>387</v>
      </c>
    </row>
    <row r="119" spans="1:30" ht="15.75" customHeight="1">
      <c r="A119" s="13" t="str">
        <f>T119&amp;"_"&amp;F119&amp;VLOOKUP($C119, Factor!$AM$4:$AY$30, 7, 0)&amp;IF(COUNTIFS($C$4:C118, C119, $F$4:F118, F119)+1&gt;=100, COUNTIFS($C$4:C118, C119, $F$4:F118, F119)+1,IF(COUNTIFS($C$4:C118, C119, $F$4:F118, F119)+1&gt;=10, "0"&amp;COUNTIFS($C$4:C118, C119, $F$4:F118, F119)+1, "00"&amp;COUNTIFS($C$4:C118, C119, $F$4:F118, F119)+1))</f>
        <v>enpc_F02_A_Swarmlet_004</v>
      </c>
      <c r="B119" s="13"/>
      <c r="C119" s="13" t="s">
        <v>355</v>
      </c>
      <c r="D119" s="21" t="str">
        <f t="shared" si="8"/>
        <v>스웜렛</v>
      </c>
      <c r="E119" s="21" t="str">
        <f>VLOOKUP($C119, Factor!$AM$4:$AY$30, 8, 0)</f>
        <v>B</v>
      </c>
      <c r="F119" s="21" t="s">
        <v>374</v>
      </c>
      <c r="G119" s="22">
        <v>17</v>
      </c>
      <c r="H119" s="13" t="s">
        <v>56</v>
      </c>
      <c r="I119" s="21" t="str">
        <f>VLOOKUP($C119, Factor!$AM$4:$AY$30, 11, 0)</f>
        <v>A</v>
      </c>
      <c r="J119" s="21" t="str">
        <f>VLOOKUP($C119, Factor!$AM$4:$AY$30, 12, 0)</f>
        <v>ml</v>
      </c>
      <c r="K119" s="21" t="str">
        <f>VLOOKUP($C119, Factor!$AM$4:$AY$30, 13, 0)</f>
        <v>L</v>
      </c>
      <c r="L119" s="13">
        <v>1</v>
      </c>
      <c r="M119" s="13">
        <v>1</v>
      </c>
      <c r="N119" s="13">
        <v>1</v>
      </c>
      <c r="O119" s="13">
        <v>1</v>
      </c>
      <c r="P119" s="13">
        <v>1</v>
      </c>
      <c r="Q119" s="13">
        <v>1</v>
      </c>
      <c r="R119" s="21" t="str">
        <f>VLOOKUP($C119, Factor!$AM$4:$AY$30, 9, 0)</f>
        <v>Small</v>
      </c>
      <c r="S119" s="13" t="s">
        <v>405</v>
      </c>
      <c r="T119" s="21" t="str">
        <f>VLOOKUP($C119, Factor!$AM$4:$AY$30, 10, 0)</f>
        <v>enpc</v>
      </c>
      <c r="U119" s="21" cm="1">
        <f t="array" ref="U119">L119*VLOOKUP($I119, Factor!$B$4:$G$8, 2, 0)*VLOOKUP($J119, Factor!$B$12:$G$13, 2, 0)*VLOOKUP($K119, Factor!$B$17:$G$18, 2, 0)*VLOOKUP($H119, Factor!$J$4:$O$7, 2, 0)*VLOOKUP($F119, Factor!$Q$4:$V$15, 2, 0)*IF(MOD($G119,10)=0, 10, MOD($G119, 10))*((INDEX(Factor!$X$4:$AC$13, _xlfn.XMATCH($G119, Factor!$X$4:$X$13, 1),2)*IF(MOD(G119, 10) = 0, 10, MOD(G119, 10)))+INDEX(Factor!$AE$4:$AJ$13, _xlfn.XMATCH(MonsterData!$G119, Factor!$AE$4:$AE$13, 1),2))</f>
        <v>3024.0000000000005</v>
      </c>
      <c r="V119" s="21" cm="1">
        <f t="array" ref="V119">M119*VLOOKUP($I119, Factor!$B$4:$G$8, 3, 0)*VLOOKUP($J119, Factor!$B$12:$G$13, 3, 0)*VLOOKUP($K119, Factor!$B$17:$G$18, 3, 0)*VLOOKUP($H119, Factor!$J$4:$O$7, 3, 0)*VLOOKUP($F119, Factor!$Q$4:$V$15, 3, 0)*IF(MOD($G119,10)=0, 10, MOD($G119, 10))*((INDEX(Factor!$X$4:$AC$13, _xlfn.XMATCH($G119, Factor!$X$4:$X$13, 1),3)*IF(MOD(G119, 10) = 0, 10, MOD(G119, 10)))+INDEX(Factor!$AE$4:$AJ$13, _xlfn.XMATCH(MonsterData!$G119, Factor!$AE$4:$AE$13, 1),3))</f>
        <v>151.20000000000002</v>
      </c>
      <c r="W119" s="21" cm="1">
        <f t="array" ref="W119">N119*VLOOKUP($I119, Factor!$B$4:$G$8, 4, 0)*VLOOKUP($J119, Factor!$B$12:$G$13, 4, 0)*VLOOKUP($K119, Factor!$B$17:$G$18, 4, 0)*VLOOKUP($H119, Factor!$J$4:$O$7, 4, 0)*VLOOKUP($F119, Factor!$Q$4:$V$15, 4, 0)*IF(MOD($G119,10)=0, 10, MOD($G119, 10))*((INDEX(Factor!$X$4:$AC$13, _xlfn.XMATCH($G119, Factor!$X$4:$X$13, 1),4)*IF(MOD(G119, 10) = 0, 10, MOD(G119, 10)))+INDEX(Factor!$AE$4:$AJ$13, _xlfn.XMATCH(MonsterData!$G119, Factor!$AE$4:$AE$13, 1),4))</f>
        <v>181.44000000000003</v>
      </c>
      <c r="X119" s="21" cm="1">
        <f t="array" ref="X119">O119*VLOOKUP($I119, Factor!$B$4:$G$8, 5, 0)*VLOOKUP($J119, Factor!$B$12:$G$13, 5, 0)*VLOOKUP($K119, Factor!$B$17:$G$18, 5, 0)*VLOOKUP($H119, Factor!$J$4:$O$7, 5, 0)*VLOOKUP($F119, Factor!$Q$4:$V$15, 5, 0)*IF(MOD($G119,10)=0, 10, MOD($G119, 10))*((INDEX(Factor!$X$4:$AC$13, _xlfn.XMATCH($G119, Factor!$X$4:$X$13, 1),5)*IF(MOD(G119, 10) = 0, 10, MOD(G119, 10)))+INDEX(Factor!$AE$4:$AJ$13, _xlfn.XMATCH(MonsterData!$G119, Factor!$AE$4:$AE$13, 1),5))</f>
        <v>18.144000000000005</v>
      </c>
      <c r="Y119" s="21" cm="1">
        <f t="array" ref="Y119">P119*VLOOKUP($I119, Factor!$B$4:$G$8, 6, 0)*VLOOKUP($J119, Factor!$B$12:$G$13, 6, 0)*VLOOKUP($K119, Factor!$B$17:$G$18, 6, 0)*VLOOKUP($H119, Factor!$J$4:$O$7, 2, 0)*VLOOKUP($F119, Factor!$Q$4:$V$15, 6, 0)*IF(MOD($G119,10)=0, 10, MOD($G119, 10))*((INDEX(Factor!$X$4:$AC$13, _xlfn.XMATCH($G119, Factor!$X$4:$X$13, 1),6)*IF(MOD(G119, 10) = 0, 10, MOD(G119, 10)))+INDEX(Factor!$AE$4:$AJ$13, _xlfn.XMATCH(MonsterData!$G119, Factor!$AE$4:$AE$13, 1),6))</f>
        <v>100.80000000000001</v>
      </c>
      <c r="Z119" s="21">
        <f>$Q119*VLOOKUP($J119, Factor!$B$12:$H$13, 7, 0)</f>
        <v>1</v>
      </c>
      <c r="AA119" s="13">
        <v>1</v>
      </c>
      <c r="AB119" s="21">
        <f t="shared" si="9"/>
        <v>0</v>
      </c>
      <c r="AC119" s="13" t="s">
        <v>139</v>
      </c>
      <c r="AD119" s="15" t="s">
        <v>387</v>
      </c>
    </row>
    <row r="120" spans="1:30" ht="15.75" customHeight="1">
      <c r="A120" s="16" t="str">
        <f>T120&amp;"_"&amp;F120&amp;VLOOKUP($C120, Factor!$AM$4:$AY$30, 7, 0)&amp;IF(COUNTIFS($C$4:C119, C120, $F$4:F119, F120)+1&gt;=100, COUNTIFS($C$4:C119, C120, $F$4:F119, F120)+1,IF(COUNTIFS($C$4:C119, C120, $F$4:F119, F120)+1&gt;=10, "0"&amp;COUNTIFS($C$4:C119, C120, $F$4:F119, F120)+1, "00"&amp;COUNTIFS($C$4:C119, C120, $F$4:F119, F120)+1))</f>
        <v>enpc_F02_A_Mantis_004</v>
      </c>
      <c r="B120" s="16"/>
      <c r="C120" s="16" t="s">
        <v>357</v>
      </c>
      <c r="D120" s="17" t="str">
        <f t="shared" si="8"/>
        <v>맨티스</v>
      </c>
      <c r="E120" s="17" t="str">
        <f>VLOOKUP($C120, Factor!$AM$4:$AY$30, 8, 0)</f>
        <v>S</v>
      </c>
      <c r="F120" s="17" t="s">
        <v>374</v>
      </c>
      <c r="G120" s="20">
        <v>17</v>
      </c>
      <c r="H120" s="16" t="s">
        <v>55</v>
      </c>
      <c r="I120" s="17" t="str">
        <f>VLOOKUP($C120, Factor!$AM$4:$AY$30, 11, 0)</f>
        <v>A</v>
      </c>
      <c r="J120" s="17" t="str">
        <f>VLOOKUP($C120, Factor!$AM$4:$AY$30, 12, 0)</f>
        <v>ml</v>
      </c>
      <c r="K120" s="17" t="str">
        <f>VLOOKUP($C120, Factor!$AM$4:$AY$30, 13, 0)</f>
        <v>L</v>
      </c>
      <c r="L120" s="17">
        <v>1</v>
      </c>
      <c r="M120" s="17">
        <v>1</v>
      </c>
      <c r="N120" s="17">
        <v>1</v>
      </c>
      <c r="O120" s="17">
        <v>1</v>
      </c>
      <c r="P120" s="17">
        <v>1</v>
      </c>
      <c r="Q120" s="17">
        <v>1</v>
      </c>
      <c r="R120" s="17" t="str">
        <f>VLOOKUP($C120, Factor!$AM$4:$AY$30, 9, 0)</f>
        <v>Small</v>
      </c>
      <c r="S120" s="17" t="s">
        <v>400</v>
      </c>
      <c r="T120" s="17" t="str">
        <f>VLOOKUP($C120, Factor!$AM$4:$AY$30, 10, 0)</f>
        <v>enpc</v>
      </c>
      <c r="U120" s="17" cm="1">
        <f t="array" ref="U120">L120*VLOOKUP($I120, Factor!$B$4:$G$8, 2, 0)*VLOOKUP($J120, Factor!$B$12:$G$13, 2, 0)*VLOOKUP($K120, Factor!$B$17:$G$18, 2, 0)*VLOOKUP($H120, Factor!$J$4:$O$7, 2, 0)*VLOOKUP($F120, Factor!$Q$4:$V$15, 2, 0)*IF(MOD($G120,10)=0, 10, MOD($G120, 10))*((INDEX(Factor!$X$4:$AC$13, _xlfn.XMATCH($G120, Factor!$X$4:$X$13, 1),2)*IF(MOD(G120, 10) = 0, 10, MOD(G120, 10)))+INDEX(Factor!$AE$4:$AJ$13, _xlfn.XMATCH(MonsterData!$G120, Factor!$AE$4:$AE$13, 1),2))</f>
        <v>3024.0000000000005</v>
      </c>
      <c r="V120" s="17" cm="1">
        <f t="array" ref="V120">M120*VLOOKUP($I120, Factor!$B$4:$G$8, 3, 0)*VLOOKUP($J120, Factor!$B$12:$G$13, 3, 0)*VLOOKUP($K120, Factor!$B$17:$G$18, 3, 0)*VLOOKUP($H120, Factor!$J$4:$O$7, 3, 0)*VLOOKUP($F120, Factor!$Q$4:$V$15, 3, 0)*IF(MOD($G120,10)=0, 10, MOD($G120, 10))*((INDEX(Factor!$X$4:$AC$13, _xlfn.XMATCH($G120, Factor!$X$4:$X$13, 1),3)*IF(MOD(G120, 10) = 0, 10, MOD(G120, 10)))+INDEX(Factor!$AE$4:$AJ$13, _xlfn.XMATCH(MonsterData!$G120, Factor!$AE$4:$AE$13, 1),3))</f>
        <v>151.20000000000002</v>
      </c>
      <c r="W120" s="17" cm="1">
        <f t="array" ref="W120">N120*VLOOKUP($I120, Factor!$B$4:$G$8, 4, 0)*VLOOKUP($J120, Factor!$B$12:$G$13, 4, 0)*VLOOKUP($K120, Factor!$B$17:$G$18, 4, 0)*VLOOKUP($H120, Factor!$J$4:$O$7, 4, 0)*VLOOKUP($F120, Factor!$Q$4:$V$15, 4, 0)*IF(MOD($G120,10)=0, 10, MOD($G120, 10))*((INDEX(Factor!$X$4:$AC$13, _xlfn.XMATCH($G120, Factor!$X$4:$X$13, 1),4)*IF(MOD(G120, 10) = 0, 10, MOD(G120, 10)))+INDEX(Factor!$AE$4:$AJ$13, _xlfn.XMATCH(MonsterData!$G120, Factor!$AE$4:$AE$13, 1),4))</f>
        <v>90.720000000000013</v>
      </c>
      <c r="X120" s="17" cm="1">
        <f t="array" ref="X120">O120*VLOOKUP($I120, Factor!$B$4:$G$8, 5, 0)*VLOOKUP($J120, Factor!$B$12:$G$13, 5, 0)*VLOOKUP($K120, Factor!$B$17:$G$18, 5, 0)*VLOOKUP($H120, Factor!$J$4:$O$7, 5, 0)*VLOOKUP($F120, Factor!$Q$4:$V$15, 5, 0)*IF(MOD($G120,10)=0, 10, MOD($G120, 10))*((INDEX(Factor!$X$4:$AC$13, _xlfn.XMATCH($G120, Factor!$X$4:$X$13, 1),5)*IF(MOD(G120, 10) = 0, 10, MOD(G120, 10)))+INDEX(Factor!$AE$4:$AJ$13, _xlfn.XMATCH(MonsterData!$G120, Factor!$AE$4:$AE$13, 1),5))</f>
        <v>20.160000000000004</v>
      </c>
      <c r="Y120" s="17" cm="1">
        <f t="array" ref="Y120">P120*VLOOKUP($I120, Factor!$B$4:$G$8, 6, 0)*VLOOKUP($J120, Factor!$B$12:$G$13, 6, 0)*VLOOKUP($K120, Factor!$B$17:$G$18, 6, 0)*VLOOKUP($H120, Factor!$J$4:$O$7, 2, 0)*VLOOKUP($F120, Factor!$Q$4:$V$15, 6, 0)*IF(MOD($G120,10)=0, 10, MOD($G120, 10))*((INDEX(Factor!$X$4:$AC$13, _xlfn.XMATCH($G120, Factor!$X$4:$X$13, 1),6)*IF(MOD(G120, 10) = 0, 10, MOD(G120, 10)))+INDEX(Factor!$AE$4:$AJ$13, _xlfn.XMATCH(MonsterData!$G120, Factor!$AE$4:$AE$13, 1),6))</f>
        <v>100.80000000000001</v>
      </c>
      <c r="Z120" s="17">
        <f>$Q120*VLOOKUP($J120, Factor!$B$12:$H$13, 7, 0)</f>
        <v>1</v>
      </c>
      <c r="AA120" s="17">
        <v>1</v>
      </c>
      <c r="AB120" s="17">
        <f t="shared" si="9"/>
        <v>0</v>
      </c>
      <c r="AC120" s="17" t="s">
        <v>139</v>
      </c>
      <c r="AD120" s="19" t="s">
        <v>387</v>
      </c>
    </row>
    <row r="121" spans="1:30" ht="15.75" customHeight="1">
      <c r="A121" s="13" t="str">
        <f>T121&amp;"_"&amp;F121&amp;VLOOKUP($C121, Factor!$AM$4:$AY$30, 7, 0)&amp;IF(COUNTIFS($C$4:C120, C121, $F$4:F120, F121)+1&gt;=100, COUNTIFS($C$4:C120, C121, $F$4:F120, F121)+1,IF(COUNTIFS($C$4:C120, C121, $F$4:F120, F121)+1&gt;=10, "0"&amp;COUNTIFS($C$4:C120, C121, $F$4:F120, F121)+1, "00"&amp;COUNTIFS($C$4:C120, C121, $F$4:F120, F121)+1))</f>
        <v>enpc_F02_B_Kobold_004</v>
      </c>
      <c r="B121" s="13"/>
      <c r="C121" s="13" t="s">
        <v>359</v>
      </c>
      <c r="D121" s="21" t="str">
        <f t="shared" si="8"/>
        <v>코볼트</v>
      </c>
      <c r="E121" s="21" t="str">
        <f>VLOOKUP($C121, Factor!$AM$4:$AY$30, 8, 0)</f>
        <v>M</v>
      </c>
      <c r="F121" s="21" t="s">
        <v>374</v>
      </c>
      <c r="G121" s="22">
        <v>29</v>
      </c>
      <c r="H121" s="13" t="s">
        <v>56</v>
      </c>
      <c r="I121" s="21" t="str">
        <f>VLOOKUP($C121, Factor!$AM$4:$AY$30, 11, 0)</f>
        <v>B</v>
      </c>
      <c r="J121" s="21" t="str">
        <f>VLOOKUP($C121, Factor!$AM$4:$AY$30, 12, 0)</f>
        <v>ml</v>
      </c>
      <c r="K121" s="21" t="str">
        <f>VLOOKUP($C121, Factor!$AM$4:$AY$30, 13, 0)</f>
        <v>L</v>
      </c>
      <c r="L121" s="13">
        <v>1</v>
      </c>
      <c r="M121" s="13">
        <v>1</v>
      </c>
      <c r="N121" s="13">
        <v>1</v>
      </c>
      <c r="O121" s="13">
        <v>1</v>
      </c>
      <c r="P121" s="13">
        <v>1</v>
      </c>
      <c r="Q121" s="13">
        <v>1</v>
      </c>
      <c r="R121" s="21" t="str">
        <f>VLOOKUP($C121, Factor!$AM$4:$AY$30, 9, 0)</f>
        <v>Small</v>
      </c>
      <c r="S121" s="13" t="s">
        <v>406</v>
      </c>
      <c r="T121" s="21" t="str">
        <f>VLOOKUP($C121, Factor!$AM$4:$AY$30, 10, 0)</f>
        <v>enpc</v>
      </c>
      <c r="U121" s="21" cm="1">
        <f t="array" ref="U121">L121*VLOOKUP($I121, Factor!$B$4:$G$8, 2, 0)*VLOOKUP($J121, Factor!$B$12:$G$13, 2, 0)*VLOOKUP($K121, Factor!$B$17:$G$18, 2, 0)*VLOOKUP($H121, Factor!$J$4:$O$7, 2, 0)*VLOOKUP($F121, Factor!$Q$4:$V$15, 2, 0)*IF(MOD($G121,10)=0, 10, MOD($G121, 10))*((INDEX(Factor!$X$4:$AC$13, _xlfn.XMATCH($G121, Factor!$X$4:$X$13, 1),2)*IF(MOD(G121, 10) = 0, 10, MOD(G121, 10)))+INDEX(Factor!$AE$4:$AJ$13, _xlfn.XMATCH(MonsterData!$G121, Factor!$AE$4:$AE$13, 1),2))</f>
        <v>46169.999999999993</v>
      </c>
      <c r="V121" s="21" cm="1">
        <f t="array" ref="V121">M121*VLOOKUP($I121, Factor!$B$4:$G$8, 3, 0)*VLOOKUP($J121, Factor!$B$12:$G$13, 3, 0)*VLOOKUP($K121, Factor!$B$17:$G$18, 3, 0)*VLOOKUP($H121, Factor!$J$4:$O$7, 3, 0)*VLOOKUP($F121, Factor!$Q$4:$V$15, 3, 0)*IF(MOD($G121,10)=0, 10, MOD($G121, 10))*((INDEX(Factor!$X$4:$AC$13, _xlfn.XMATCH($G121, Factor!$X$4:$X$13, 1),3)*IF(MOD(G121, 10) = 0, 10, MOD(G121, 10)))+INDEX(Factor!$AE$4:$AJ$13, _xlfn.XMATCH(MonsterData!$G121, Factor!$AE$4:$AE$13, 1),3))</f>
        <v>2308.4999999999995</v>
      </c>
      <c r="W121" s="21" cm="1">
        <f t="array" ref="W121">N121*VLOOKUP($I121, Factor!$B$4:$G$8, 4, 0)*VLOOKUP($J121, Factor!$B$12:$G$13, 4, 0)*VLOOKUP($K121, Factor!$B$17:$G$18, 4, 0)*VLOOKUP($H121, Factor!$J$4:$O$7, 4, 0)*VLOOKUP($F121, Factor!$Q$4:$V$15, 4, 0)*IF(MOD($G121,10)=0, 10, MOD($G121, 10))*((INDEX(Factor!$X$4:$AC$13, _xlfn.XMATCH($G121, Factor!$X$4:$X$13, 1),4)*IF(MOD(G121, 10) = 0, 10, MOD(G121, 10)))+INDEX(Factor!$AE$4:$AJ$13, _xlfn.XMATCH(MonsterData!$G121, Factor!$AE$4:$AE$13, 1),4))</f>
        <v>4616.9999999999991</v>
      </c>
      <c r="X121" s="21" cm="1">
        <f t="array" ref="X121">O121*VLOOKUP($I121, Factor!$B$4:$G$8, 5, 0)*VLOOKUP($J121, Factor!$B$12:$G$13, 5, 0)*VLOOKUP($K121, Factor!$B$17:$G$18, 5, 0)*VLOOKUP($H121, Factor!$J$4:$O$7, 5, 0)*VLOOKUP($F121, Factor!$Q$4:$V$15, 5, 0)*IF(MOD($G121,10)=0, 10, MOD($G121, 10))*((INDEX(Factor!$X$4:$AC$13, _xlfn.XMATCH($G121, Factor!$X$4:$X$13, 1),5)*IF(MOD(G121, 10) = 0, 10, MOD(G121, 10)))+INDEX(Factor!$AE$4:$AJ$13, _xlfn.XMATCH(MonsterData!$G121, Factor!$AE$4:$AE$13, 1),5))</f>
        <v>110.80799999999999</v>
      </c>
      <c r="Y121" s="21" cm="1">
        <f t="array" ref="Y121">P121*VLOOKUP($I121, Factor!$B$4:$G$8, 6, 0)*VLOOKUP($J121, Factor!$B$12:$G$13, 6, 0)*VLOOKUP($K121, Factor!$B$17:$G$18, 6, 0)*VLOOKUP($H121, Factor!$J$4:$O$7, 2, 0)*VLOOKUP($F121, Factor!$Q$4:$V$15, 6, 0)*IF(MOD($G121,10)=0, 10, MOD($G121, 10))*((INDEX(Factor!$X$4:$AC$13, _xlfn.XMATCH($G121, Factor!$X$4:$X$13, 1),6)*IF(MOD(G121, 10) = 0, 10, MOD(G121, 10)))+INDEX(Factor!$AE$4:$AJ$13, _xlfn.XMATCH(MonsterData!$G121, Factor!$AE$4:$AE$13, 1),6))</f>
        <v>246.23999999999995</v>
      </c>
      <c r="Z121" s="21">
        <f>$Q121*VLOOKUP($J121, Factor!$B$12:$H$13, 7, 0)</f>
        <v>1</v>
      </c>
      <c r="AA121" s="13">
        <v>1</v>
      </c>
      <c r="AB121" s="21">
        <f t="shared" si="9"/>
        <v>0</v>
      </c>
      <c r="AC121" s="13" t="s">
        <v>393</v>
      </c>
      <c r="AD121" s="15" t="s">
        <v>388</v>
      </c>
    </row>
    <row r="122" spans="1:30" ht="15.75" customHeight="1">
      <c r="A122" s="16" t="str">
        <f>T122&amp;"_"&amp;F122&amp;VLOOKUP($C122, Factor!$AM$4:$AY$30, 7, 0)&amp;IF(COUNTIFS($C$4:C121, C122, $F$4:F121, F122)+1&gt;=100, COUNTIFS($C$4:C121, C122, $F$4:F121, F122)+1,IF(COUNTIFS($C$4:C121, C122, $F$4:F121, F122)+1&gt;=10, "0"&amp;COUNTIFS($C$4:C121, C122, $F$4:F121, F122)+1, "00"&amp;COUNTIFS($C$4:C121, C122, $F$4:F121, F122)+1))</f>
        <v>enpc_F02_B_Ghoul_004</v>
      </c>
      <c r="B122" s="16"/>
      <c r="C122" s="16" t="s">
        <v>361</v>
      </c>
      <c r="D122" s="17" t="str">
        <f t="shared" si="8"/>
        <v>구울</v>
      </c>
      <c r="E122" s="17" t="str">
        <f>VLOOKUP($C122, Factor!$AM$4:$AY$30, 8, 0)</f>
        <v>M</v>
      </c>
      <c r="F122" s="17" t="s">
        <v>374</v>
      </c>
      <c r="G122" s="20">
        <v>29</v>
      </c>
      <c r="H122" s="16" t="s">
        <v>55</v>
      </c>
      <c r="I122" s="17" t="str">
        <f>VLOOKUP($C122, Factor!$AM$4:$AY$30, 11, 0)</f>
        <v>B</v>
      </c>
      <c r="J122" s="17" t="str">
        <f>VLOOKUP($C122, Factor!$AM$4:$AY$30, 12, 0)</f>
        <v>ml</v>
      </c>
      <c r="K122" s="17" t="str">
        <f>VLOOKUP($C122, Factor!$AM$4:$AY$30, 13, 0)</f>
        <v>L</v>
      </c>
      <c r="L122" s="17">
        <v>1</v>
      </c>
      <c r="M122" s="17">
        <v>1</v>
      </c>
      <c r="N122" s="17">
        <v>1</v>
      </c>
      <c r="O122" s="17">
        <v>1</v>
      </c>
      <c r="P122" s="17">
        <v>1</v>
      </c>
      <c r="Q122" s="17">
        <v>1</v>
      </c>
      <c r="R122" s="17" t="str">
        <f>VLOOKUP($C122, Factor!$AM$4:$AY$30, 9, 0)</f>
        <v>Midium</v>
      </c>
      <c r="S122" s="17" t="s">
        <v>401</v>
      </c>
      <c r="T122" s="17" t="str">
        <f>VLOOKUP($C122, Factor!$AM$4:$AY$30, 10, 0)</f>
        <v>enpc</v>
      </c>
      <c r="U122" s="17" cm="1">
        <f t="array" ref="U122">L122*VLOOKUP($I122, Factor!$B$4:$G$8, 2, 0)*VLOOKUP($J122, Factor!$B$12:$G$13, 2, 0)*VLOOKUP($K122, Factor!$B$17:$G$18, 2, 0)*VLOOKUP($H122, Factor!$J$4:$O$7, 2, 0)*VLOOKUP($F122, Factor!$Q$4:$V$15, 2, 0)*IF(MOD($G122,10)=0, 10, MOD($G122, 10))*((INDEX(Factor!$X$4:$AC$13, _xlfn.XMATCH($G122, Factor!$X$4:$X$13, 1),2)*IF(MOD(G122, 10) = 0, 10, MOD(G122, 10)))+INDEX(Factor!$AE$4:$AJ$13, _xlfn.XMATCH(MonsterData!$G122, Factor!$AE$4:$AE$13, 1),2))</f>
        <v>46169.999999999993</v>
      </c>
      <c r="V122" s="17" cm="1">
        <f t="array" ref="V122">M122*VLOOKUP($I122, Factor!$B$4:$G$8, 3, 0)*VLOOKUP($J122, Factor!$B$12:$G$13, 3, 0)*VLOOKUP($K122, Factor!$B$17:$G$18, 3, 0)*VLOOKUP($H122, Factor!$J$4:$O$7, 3, 0)*VLOOKUP($F122, Factor!$Q$4:$V$15, 3, 0)*IF(MOD($G122,10)=0, 10, MOD($G122, 10))*((INDEX(Factor!$X$4:$AC$13, _xlfn.XMATCH($G122, Factor!$X$4:$X$13, 1),3)*IF(MOD(G122, 10) = 0, 10, MOD(G122, 10)))+INDEX(Factor!$AE$4:$AJ$13, _xlfn.XMATCH(MonsterData!$G122, Factor!$AE$4:$AE$13, 1),3))</f>
        <v>2308.4999999999995</v>
      </c>
      <c r="W122" s="17" cm="1">
        <f t="array" ref="W122">N122*VLOOKUP($I122, Factor!$B$4:$G$8, 4, 0)*VLOOKUP($J122, Factor!$B$12:$G$13, 4, 0)*VLOOKUP($K122, Factor!$B$17:$G$18, 4, 0)*VLOOKUP($H122, Factor!$J$4:$O$7, 4, 0)*VLOOKUP($F122, Factor!$Q$4:$V$15, 4, 0)*IF(MOD($G122,10)=0, 10, MOD($G122, 10))*((INDEX(Factor!$X$4:$AC$13, _xlfn.XMATCH($G122, Factor!$X$4:$X$13, 1),4)*IF(MOD(G122, 10) = 0, 10, MOD(G122, 10)))+INDEX(Factor!$AE$4:$AJ$13, _xlfn.XMATCH(MonsterData!$G122, Factor!$AE$4:$AE$13, 1),4))</f>
        <v>2308.4999999999995</v>
      </c>
      <c r="X122" s="17" cm="1">
        <f t="array" ref="X122">O122*VLOOKUP($I122, Factor!$B$4:$G$8, 5, 0)*VLOOKUP($J122, Factor!$B$12:$G$13, 5, 0)*VLOOKUP($K122, Factor!$B$17:$G$18, 5, 0)*VLOOKUP($H122, Factor!$J$4:$O$7, 5, 0)*VLOOKUP($F122, Factor!$Q$4:$V$15, 5, 0)*IF(MOD($G122,10)=0, 10, MOD($G122, 10))*((INDEX(Factor!$X$4:$AC$13, _xlfn.XMATCH($G122, Factor!$X$4:$X$13, 1),5)*IF(MOD(G122, 10) = 0, 10, MOD(G122, 10)))+INDEX(Factor!$AE$4:$AJ$13, _xlfn.XMATCH(MonsterData!$G122, Factor!$AE$4:$AE$13, 1),5))</f>
        <v>123.11999999999998</v>
      </c>
      <c r="Y122" s="17" cm="1">
        <f t="array" ref="Y122">P122*VLOOKUP($I122, Factor!$B$4:$G$8, 6, 0)*VLOOKUP($J122, Factor!$B$12:$G$13, 6, 0)*VLOOKUP($K122, Factor!$B$17:$G$18, 6, 0)*VLOOKUP($H122, Factor!$J$4:$O$7, 2, 0)*VLOOKUP($F122, Factor!$Q$4:$V$15, 6, 0)*IF(MOD($G122,10)=0, 10, MOD($G122, 10))*((INDEX(Factor!$X$4:$AC$13, _xlfn.XMATCH($G122, Factor!$X$4:$X$13, 1),6)*IF(MOD(G122, 10) = 0, 10, MOD(G122, 10)))+INDEX(Factor!$AE$4:$AJ$13, _xlfn.XMATCH(MonsterData!$G122, Factor!$AE$4:$AE$13, 1),6))</f>
        <v>246.23999999999995</v>
      </c>
      <c r="Z122" s="17">
        <f>$Q122*VLOOKUP($J122, Factor!$B$12:$H$13, 7, 0)</f>
        <v>1</v>
      </c>
      <c r="AA122" s="17">
        <v>1</v>
      </c>
      <c r="AB122" s="17">
        <f t="shared" si="9"/>
        <v>0</v>
      </c>
      <c r="AC122" s="17" t="s">
        <v>394</v>
      </c>
      <c r="AD122" s="19" t="s">
        <v>389</v>
      </c>
    </row>
    <row r="123" spans="1:30" ht="15.75" customHeight="1">
      <c r="A123" s="13" t="str">
        <f>T123&amp;"_"&amp;F123&amp;VLOOKUP($C123, Factor!$AM$4:$AY$30, 7, 0)&amp;IF(COUNTIFS($C$4:C122, C123, $F$4:F122, F123)+1&gt;=100, COUNTIFS($C$4:C122, C123, $F$4:F122, F123)+1,IF(COUNTIFS($C$4:C122, C123, $F$4:F122, F123)+1&gt;=10, "0"&amp;COUNTIFS($C$4:C122, C123, $F$4:F122, F123)+1, "00"&amp;COUNTIFS($C$4:C122, C123, $F$4:F122, F123)+1))</f>
        <v>enpc_F02_B_Gorgon_004</v>
      </c>
      <c r="B123" s="13"/>
      <c r="C123" s="13" t="s">
        <v>363</v>
      </c>
      <c r="D123" s="21" t="str">
        <f t="shared" si="8"/>
        <v>고르곤</v>
      </c>
      <c r="E123" s="21" t="str">
        <f>VLOOKUP($C123, Factor!$AM$4:$AY$30, 8, 0)</f>
        <v>B</v>
      </c>
      <c r="F123" s="21" t="s">
        <v>374</v>
      </c>
      <c r="G123" s="22">
        <v>29</v>
      </c>
      <c r="H123" s="13" t="s">
        <v>56</v>
      </c>
      <c r="I123" s="21" t="str">
        <f>VLOOKUP($C123, Factor!$AM$4:$AY$30, 11, 0)</f>
        <v>B</v>
      </c>
      <c r="J123" s="21" t="str">
        <f>VLOOKUP($C123, Factor!$AM$4:$AY$30, 12, 0)</f>
        <v>ml</v>
      </c>
      <c r="K123" s="21" t="str">
        <f>VLOOKUP($C123, Factor!$AM$4:$AY$30, 13, 0)</f>
        <v>L</v>
      </c>
      <c r="L123" s="13">
        <v>1</v>
      </c>
      <c r="M123" s="13">
        <v>1</v>
      </c>
      <c r="N123" s="13">
        <v>1</v>
      </c>
      <c r="O123" s="13">
        <v>1</v>
      </c>
      <c r="P123" s="13">
        <v>1</v>
      </c>
      <c r="Q123" s="13">
        <v>1</v>
      </c>
      <c r="R123" s="21" t="str">
        <f>VLOOKUP($C123, Factor!$AM$4:$AY$30, 9, 0)</f>
        <v>Midium</v>
      </c>
      <c r="S123" s="13" t="s">
        <v>407</v>
      </c>
      <c r="T123" s="21" t="str">
        <f>VLOOKUP($C123, Factor!$AM$4:$AY$30, 10, 0)</f>
        <v>enpc</v>
      </c>
      <c r="U123" s="21" cm="1">
        <f t="array" ref="U123">L123*VLOOKUP($I123, Factor!$B$4:$G$8, 2, 0)*VLOOKUP($J123, Factor!$B$12:$G$13, 2, 0)*VLOOKUP($K123, Factor!$B$17:$G$18, 2, 0)*VLOOKUP($H123, Factor!$J$4:$O$7, 2, 0)*VLOOKUP($F123, Factor!$Q$4:$V$15, 2, 0)*IF(MOD($G123,10)=0, 10, MOD($G123, 10))*((INDEX(Factor!$X$4:$AC$13, _xlfn.XMATCH($G123, Factor!$X$4:$X$13, 1),2)*IF(MOD(G123, 10) = 0, 10, MOD(G123, 10)))+INDEX(Factor!$AE$4:$AJ$13, _xlfn.XMATCH(MonsterData!$G123, Factor!$AE$4:$AE$13, 1),2))</f>
        <v>46169.999999999993</v>
      </c>
      <c r="V123" s="21" cm="1">
        <f t="array" ref="V123">M123*VLOOKUP($I123, Factor!$B$4:$G$8, 3, 0)*VLOOKUP($J123, Factor!$B$12:$G$13, 3, 0)*VLOOKUP($K123, Factor!$B$17:$G$18, 3, 0)*VLOOKUP($H123, Factor!$J$4:$O$7, 3, 0)*VLOOKUP($F123, Factor!$Q$4:$V$15, 3, 0)*IF(MOD($G123,10)=0, 10, MOD($G123, 10))*((INDEX(Factor!$X$4:$AC$13, _xlfn.XMATCH($G123, Factor!$X$4:$X$13, 1),3)*IF(MOD(G123, 10) = 0, 10, MOD(G123, 10)))+INDEX(Factor!$AE$4:$AJ$13, _xlfn.XMATCH(MonsterData!$G123, Factor!$AE$4:$AE$13, 1),3))</f>
        <v>2308.4999999999995</v>
      </c>
      <c r="W123" s="21" cm="1">
        <f t="array" ref="W123">N123*VLOOKUP($I123, Factor!$B$4:$G$8, 4, 0)*VLOOKUP($J123, Factor!$B$12:$G$13, 4, 0)*VLOOKUP($K123, Factor!$B$17:$G$18, 4, 0)*VLOOKUP($H123, Factor!$J$4:$O$7, 4, 0)*VLOOKUP($F123, Factor!$Q$4:$V$15, 4, 0)*IF(MOD($G123,10)=0, 10, MOD($G123, 10))*((INDEX(Factor!$X$4:$AC$13, _xlfn.XMATCH($G123, Factor!$X$4:$X$13, 1),4)*IF(MOD(G123, 10) = 0, 10, MOD(G123, 10)))+INDEX(Factor!$AE$4:$AJ$13, _xlfn.XMATCH(MonsterData!$G123, Factor!$AE$4:$AE$13, 1),4))</f>
        <v>4616.9999999999991</v>
      </c>
      <c r="X123" s="21" cm="1">
        <f t="array" ref="X123">O123*VLOOKUP($I123, Factor!$B$4:$G$8, 5, 0)*VLOOKUP($J123, Factor!$B$12:$G$13, 5, 0)*VLOOKUP($K123, Factor!$B$17:$G$18, 5, 0)*VLOOKUP($H123, Factor!$J$4:$O$7, 5, 0)*VLOOKUP($F123, Factor!$Q$4:$V$15, 5, 0)*IF(MOD($G123,10)=0, 10, MOD($G123, 10))*((INDEX(Factor!$X$4:$AC$13, _xlfn.XMATCH($G123, Factor!$X$4:$X$13, 1),5)*IF(MOD(G123, 10) = 0, 10, MOD(G123, 10)))+INDEX(Factor!$AE$4:$AJ$13, _xlfn.XMATCH(MonsterData!$G123, Factor!$AE$4:$AE$13, 1),5))</f>
        <v>110.80799999999999</v>
      </c>
      <c r="Y123" s="21" cm="1">
        <f t="array" ref="Y123">P123*VLOOKUP($I123, Factor!$B$4:$G$8, 6, 0)*VLOOKUP($J123, Factor!$B$12:$G$13, 6, 0)*VLOOKUP($K123, Factor!$B$17:$G$18, 6, 0)*VLOOKUP($H123, Factor!$J$4:$O$7, 2, 0)*VLOOKUP($F123, Factor!$Q$4:$V$15, 6, 0)*IF(MOD($G123,10)=0, 10, MOD($G123, 10))*((INDEX(Factor!$X$4:$AC$13, _xlfn.XMATCH($G123, Factor!$X$4:$X$13, 1),6)*IF(MOD(G123, 10) = 0, 10, MOD(G123, 10)))+INDEX(Factor!$AE$4:$AJ$13, _xlfn.XMATCH(MonsterData!$G123, Factor!$AE$4:$AE$13, 1),6))</f>
        <v>246.23999999999995</v>
      </c>
      <c r="Z123" s="21">
        <f>$Q123*VLOOKUP($J123, Factor!$B$12:$H$13, 7, 0)</f>
        <v>1</v>
      </c>
      <c r="AA123" s="13">
        <v>1</v>
      </c>
      <c r="AB123" s="21">
        <f t="shared" si="9"/>
        <v>0</v>
      </c>
      <c r="AC123" s="13" t="s">
        <v>395</v>
      </c>
      <c r="AD123" s="15" t="s">
        <v>390</v>
      </c>
    </row>
    <row r="124" spans="1:30" ht="15.75" customHeight="1">
      <c r="A124" s="16" t="str">
        <f>T124&amp;"_"&amp;F124&amp;VLOOKUP($C124, Factor!$AM$4:$AY$30, 7, 0)&amp;IF(COUNTIFS($C$4:C123, C124, $F$4:F123, F124)+1&gt;=100, COUNTIFS($C$4:C123, C124, $F$4:F123, F124)+1,IF(COUNTIFS($C$4:C123, C124, $F$4:F123, F124)+1&gt;=10, "0"&amp;COUNTIFS($C$4:C123, C124, $F$4:F123, F124)+1, "00"&amp;COUNTIFS($C$4:C123, C124, $F$4:F123, F124)+1))</f>
        <v>enpc_F02_B_Gargoyle_004</v>
      </c>
      <c r="B124" s="16"/>
      <c r="C124" s="16" t="s">
        <v>365</v>
      </c>
      <c r="D124" s="17" t="str">
        <f t="shared" si="8"/>
        <v>가고일</v>
      </c>
      <c r="E124" s="17" t="str">
        <f>VLOOKUP($C124, Factor!$AM$4:$AY$30, 8, 0)</f>
        <v>B</v>
      </c>
      <c r="F124" s="17" t="s">
        <v>374</v>
      </c>
      <c r="G124" s="20">
        <v>29</v>
      </c>
      <c r="H124" s="16" t="s">
        <v>55</v>
      </c>
      <c r="I124" s="17" t="str">
        <f>VLOOKUP($C124, Factor!$AM$4:$AY$30, 11, 0)</f>
        <v>B</v>
      </c>
      <c r="J124" s="17" t="str">
        <f>VLOOKUP($C124, Factor!$AM$4:$AY$30, 12, 0)</f>
        <v>ml</v>
      </c>
      <c r="K124" s="17" t="str">
        <f>VLOOKUP($C124, Factor!$AM$4:$AY$30, 13, 0)</f>
        <v>F</v>
      </c>
      <c r="L124" s="17">
        <v>1</v>
      </c>
      <c r="M124" s="17">
        <v>1</v>
      </c>
      <c r="N124" s="17">
        <v>1</v>
      </c>
      <c r="O124" s="17">
        <v>1</v>
      </c>
      <c r="P124" s="17">
        <v>1</v>
      </c>
      <c r="Q124" s="17">
        <v>1</v>
      </c>
      <c r="R124" s="17" t="str">
        <f>VLOOKUP($C124, Factor!$AM$4:$AY$30, 9, 0)</f>
        <v>Big</v>
      </c>
      <c r="S124" s="17" t="s">
        <v>402</v>
      </c>
      <c r="T124" s="17" t="str">
        <f>VLOOKUP($C124, Factor!$AM$4:$AY$30, 10, 0)</f>
        <v>enpc</v>
      </c>
      <c r="U124" s="17" cm="1">
        <f t="array" ref="U124">L124*VLOOKUP($I124, Factor!$B$4:$G$8, 2, 0)*VLOOKUP($J124, Factor!$B$12:$G$13, 2, 0)*VLOOKUP($K124, Factor!$B$17:$G$18, 2, 0)*VLOOKUP($H124, Factor!$J$4:$O$7, 2, 0)*VLOOKUP($F124, Factor!$Q$4:$V$15, 2, 0)*IF(MOD($G124,10)=0, 10, MOD($G124, 10))*((INDEX(Factor!$X$4:$AC$13, _xlfn.XMATCH($G124, Factor!$X$4:$X$13, 1),2)*IF(MOD(G124, 10) = 0, 10, MOD(G124, 10)))+INDEX(Factor!$AE$4:$AJ$13, _xlfn.XMATCH(MonsterData!$G124, Factor!$AE$4:$AE$13, 1),2))</f>
        <v>30779.999999999996</v>
      </c>
      <c r="V124" s="17" cm="1">
        <f t="array" ref="V124">M124*VLOOKUP($I124, Factor!$B$4:$G$8, 3, 0)*VLOOKUP($J124, Factor!$B$12:$G$13, 3, 0)*VLOOKUP($K124, Factor!$B$17:$G$18, 3, 0)*VLOOKUP($H124, Factor!$J$4:$O$7, 3, 0)*VLOOKUP($F124, Factor!$Q$4:$V$15, 3, 0)*IF(MOD($G124,10)=0, 10, MOD($G124, 10))*((INDEX(Factor!$X$4:$AC$13, _xlfn.XMATCH($G124, Factor!$X$4:$X$13, 1),3)*IF(MOD(G124, 10) = 0, 10, MOD(G124, 10)))+INDEX(Factor!$AE$4:$AJ$13, _xlfn.XMATCH(MonsterData!$G124, Factor!$AE$4:$AE$13, 1),3))</f>
        <v>1538.9999999999998</v>
      </c>
      <c r="W124" s="17" cm="1">
        <f t="array" ref="W124">N124*VLOOKUP($I124, Factor!$B$4:$G$8, 4, 0)*VLOOKUP($J124, Factor!$B$12:$G$13, 4, 0)*VLOOKUP($K124, Factor!$B$17:$G$18, 4, 0)*VLOOKUP($H124, Factor!$J$4:$O$7, 4, 0)*VLOOKUP($F124, Factor!$Q$4:$V$15, 4, 0)*IF(MOD($G124,10)=0, 10, MOD($G124, 10))*((INDEX(Factor!$X$4:$AC$13, _xlfn.XMATCH($G124, Factor!$X$4:$X$13, 1),4)*IF(MOD(G124, 10) = 0, 10, MOD(G124, 10)))+INDEX(Factor!$AE$4:$AJ$13, _xlfn.XMATCH(MonsterData!$G124, Factor!$AE$4:$AE$13, 1),4))</f>
        <v>1538.9999999999998</v>
      </c>
      <c r="X124" s="17" cm="1">
        <f t="array" ref="X124">O124*VLOOKUP($I124, Factor!$B$4:$G$8, 5, 0)*VLOOKUP($J124, Factor!$B$12:$G$13, 5, 0)*VLOOKUP($K124, Factor!$B$17:$G$18, 5, 0)*VLOOKUP($H124, Factor!$J$4:$O$7, 5, 0)*VLOOKUP($F124, Factor!$Q$4:$V$15, 5, 0)*IF(MOD($G124,10)=0, 10, MOD($G124, 10))*((INDEX(Factor!$X$4:$AC$13, _xlfn.XMATCH($G124, Factor!$X$4:$X$13, 1),5)*IF(MOD(G124, 10) = 0, 10, MOD(G124, 10)))+INDEX(Factor!$AE$4:$AJ$13, _xlfn.XMATCH(MonsterData!$G124, Factor!$AE$4:$AE$13, 1),5))</f>
        <v>123.11999999999998</v>
      </c>
      <c r="Y124" s="17" cm="1">
        <f t="array" ref="Y124">P124*VLOOKUP($I124, Factor!$B$4:$G$8, 6, 0)*VLOOKUP($J124, Factor!$B$12:$G$13, 6, 0)*VLOOKUP($K124, Factor!$B$17:$G$18, 6, 0)*VLOOKUP($H124, Factor!$J$4:$O$7, 2, 0)*VLOOKUP($F124, Factor!$Q$4:$V$15, 6, 0)*IF(MOD($G124,10)=0, 10, MOD($G124, 10))*((INDEX(Factor!$X$4:$AC$13, _xlfn.XMATCH($G124, Factor!$X$4:$X$13, 1),6)*IF(MOD(G124, 10) = 0, 10, MOD(G124, 10)))+INDEX(Factor!$AE$4:$AJ$13, _xlfn.XMATCH(MonsterData!$G124, Factor!$AE$4:$AE$13, 1),6))</f>
        <v>738.71999999999991</v>
      </c>
      <c r="Z124" s="17">
        <f>$Q124*VLOOKUP($J124, Factor!$B$12:$H$13, 7, 0)</f>
        <v>1</v>
      </c>
      <c r="AA124" s="17">
        <v>1</v>
      </c>
      <c r="AB124" s="17">
        <f t="shared" si="9"/>
        <v>0</v>
      </c>
      <c r="AC124" s="17" t="s">
        <v>396</v>
      </c>
      <c r="AD124" s="19" t="s">
        <v>391</v>
      </c>
    </row>
    <row r="125" spans="1:30" ht="15.75" customHeight="1">
      <c r="A125" s="13" t="str">
        <f>T125&amp;"_"&amp;F125&amp;VLOOKUP($C125, Factor!$AM$4:$AY$30, 7, 0)&amp;IF(COUNTIFS($C$4:C124, C125, $F$4:F124, F125)+1&gt;=100, COUNTIFS($C$4:C124, C125, $F$4:F124, F125)+1,IF(COUNTIFS($C$4:C124, C125, $F$4:F124, F125)+1&gt;=10, "0"&amp;COUNTIFS($C$4:C124, C125, $F$4:F124, F125)+1, "00"&amp;COUNTIFS($C$4:C124, C125, $F$4:F124, F125)+1))</f>
        <v>enpc_F02_A_Lava_005</v>
      </c>
      <c r="B125" s="13"/>
      <c r="C125" s="13" t="s">
        <v>35</v>
      </c>
      <c r="D125" s="21" t="str">
        <f t="shared" si="8"/>
        <v>라바</v>
      </c>
      <c r="E125" s="21" t="str">
        <f>VLOOKUP($C125, Factor!$AM$4:$AY$30, 8, 0)</f>
        <v>S</v>
      </c>
      <c r="F125" s="21" t="s">
        <v>374</v>
      </c>
      <c r="G125" s="22">
        <v>19</v>
      </c>
      <c r="H125" s="13" t="s">
        <v>54</v>
      </c>
      <c r="I125" s="21" t="str">
        <f>VLOOKUP($C125, Factor!$AM$4:$AY$30, 11, 0)</f>
        <v>A</v>
      </c>
      <c r="J125" s="21" t="str">
        <f>VLOOKUP($C125, Factor!$AM$4:$AY$30, 12, 0)</f>
        <v>ml</v>
      </c>
      <c r="K125" s="21" t="str">
        <f>VLOOKUP($C125, Factor!$AM$4:$AY$30, 13, 0)</f>
        <v>L</v>
      </c>
      <c r="L125" s="13">
        <v>1</v>
      </c>
      <c r="M125" s="13">
        <v>1</v>
      </c>
      <c r="N125" s="13">
        <v>1</v>
      </c>
      <c r="O125" s="13">
        <v>1</v>
      </c>
      <c r="P125" s="13">
        <v>1</v>
      </c>
      <c r="Q125" s="13">
        <v>1</v>
      </c>
      <c r="R125" s="21" t="str">
        <f>VLOOKUP($C125, Factor!$AM$4:$AY$30, 9, 0)</f>
        <v>Small</v>
      </c>
      <c r="S125" s="13" t="s">
        <v>88</v>
      </c>
      <c r="T125" s="21" t="str">
        <f>VLOOKUP($C125, Factor!$AM$4:$AY$30, 10, 0)</f>
        <v>enpc</v>
      </c>
      <c r="U125" s="21" cm="1">
        <f t="array" ref="U125">L125*VLOOKUP($I125, Factor!$B$4:$G$8, 2, 0)*VLOOKUP($J125, Factor!$B$12:$G$13, 2, 0)*VLOOKUP($K125, Factor!$B$17:$G$18, 2, 0)*VLOOKUP($H125, Factor!$J$4:$O$7, 2, 0)*VLOOKUP($F125, Factor!$Q$4:$V$15, 2, 0)*IF(MOD($G125,10)=0, 10, MOD($G125, 10))*((INDEX(Factor!$X$4:$AC$13, _xlfn.XMATCH($G125, Factor!$X$4:$X$13, 1),2)*IF(MOD(G125, 10) = 0, 10, MOD(G125, 10)))+INDEX(Factor!$AE$4:$AJ$13, _xlfn.XMATCH(MonsterData!$G125, Factor!$AE$4:$AE$13, 1),2))</f>
        <v>3628.7999999999997</v>
      </c>
      <c r="V125" s="21" cm="1">
        <f t="array" ref="V125">M125*VLOOKUP($I125, Factor!$B$4:$G$8, 3, 0)*VLOOKUP($J125, Factor!$B$12:$G$13, 3, 0)*VLOOKUP($K125, Factor!$B$17:$G$18, 3, 0)*VLOOKUP($H125, Factor!$J$4:$O$7, 3, 0)*VLOOKUP($F125, Factor!$Q$4:$V$15, 3, 0)*IF(MOD($G125,10)=0, 10, MOD($G125, 10))*((INDEX(Factor!$X$4:$AC$13, _xlfn.XMATCH($G125, Factor!$X$4:$X$13, 1),3)*IF(MOD(G125, 10) = 0, 10, MOD(G125, 10)))+INDEX(Factor!$AE$4:$AJ$13, _xlfn.XMATCH(MonsterData!$G125, Factor!$AE$4:$AE$13, 1),3))</f>
        <v>181.43999999999997</v>
      </c>
      <c r="W125" s="21" cm="1">
        <f t="array" ref="W125">N125*VLOOKUP($I125, Factor!$B$4:$G$8, 4, 0)*VLOOKUP($J125, Factor!$B$12:$G$13, 4, 0)*VLOOKUP($K125, Factor!$B$17:$G$18, 4, 0)*VLOOKUP($H125, Factor!$J$4:$O$7, 4, 0)*VLOOKUP($F125, Factor!$Q$4:$V$15, 4, 0)*IF(MOD($G125,10)=0, 10, MOD($G125, 10))*((INDEX(Factor!$X$4:$AC$13, _xlfn.XMATCH($G125, Factor!$X$4:$X$13, 1),4)*IF(MOD(G125, 10) = 0, 10, MOD(G125, 10)))+INDEX(Factor!$AE$4:$AJ$13, _xlfn.XMATCH(MonsterData!$G125, Factor!$AE$4:$AE$13, 1),4))</f>
        <v>108.864</v>
      </c>
      <c r="X125" s="21" cm="1">
        <f t="array" ref="X125">O125*VLOOKUP($I125, Factor!$B$4:$G$8, 5, 0)*VLOOKUP($J125, Factor!$B$12:$G$13, 5, 0)*VLOOKUP($K125, Factor!$B$17:$G$18, 5, 0)*VLOOKUP($H125, Factor!$J$4:$O$7, 5, 0)*VLOOKUP($F125, Factor!$Q$4:$V$15, 5, 0)*IF(MOD($G125,10)=0, 10, MOD($G125, 10))*((INDEX(Factor!$X$4:$AC$13, _xlfn.XMATCH($G125, Factor!$X$4:$X$13, 1),5)*IF(MOD(G125, 10) = 0, 10, MOD(G125, 10)))+INDEX(Factor!$AE$4:$AJ$13, _xlfn.XMATCH(MonsterData!$G125, Factor!$AE$4:$AE$13, 1),5))</f>
        <v>30.239999999999995</v>
      </c>
      <c r="Y125" s="21" cm="1">
        <f t="array" ref="Y125">P125*VLOOKUP($I125, Factor!$B$4:$G$8, 6, 0)*VLOOKUP($J125, Factor!$B$12:$G$13, 6, 0)*VLOOKUP($K125, Factor!$B$17:$G$18, 6, 0)*VLOOKUP($H125, Factor!$J$4:$O$7, 2, 0)*VLOOKUP($F125, Factor!$Q$4:$V$15, 6, 0)*IF(MOD($G125,10)=0, 10, MOD($G125, 10))*((INDEX(Factor!$X$4:$AC$13, _xlfn.XMATCH($G125, Factor!$X$4:$X$13, 1),6)*IF(MOD(G125, 10) = 0, 10, MOD(G125, 10)))+INDEX(Factor!$AE$4:$AJ$13, _xlfn.XMATCH(MonsterData!$G125, Factor!$AE$4:$AE$13, 1),6))</f>
        <v>120.95999999999998</v>
      </c>
      <c r="Z125" s="21">
        <f>$Q125*VLOOKUP($J125, Factor!$B$12:$H$13, 7, 0)</f>
        <v>1</v>
      </c>
      <c r="AA125" s="13">
        <v>1</v>
      </c>
      <c r="AB125" s="21">
        <f t="shared" si="9"/>
        <v>0</v>
      </c>
      <c r="AC125" s="13" t="s">
        <v>139</v>
      </c>
      <c r="AD125" s="15" t="s">
        <v>142</v>
      </c>
    </row>
    <row r="126" spans="1:30" ht="15.75" customHeight="1">
      <c r="A126" s="16" t="str">
        <f>T126&amp;"_"&amp;F126&amp;VLOOKUP($C126, Factor!$AM$4:$AY$30, 7, 0)&amp;IF(COUNTIFS($C$4:C125, C126, $F$4:F125, F126)+1&gt;=100, COUNTIFS($C$4:C125, C126, $F$4:F125, F126)+1,IF(COUNTIFS($C$4:C125, C126, $F$4:F125, F126)+1&gt;=10, "0"&amp;COUNTIFS($C$4:C125, C126, $F$4:F125, F126)+1, "00"&amp;COUNTIFS($C$4:C125, C126, $F$4:F125, F126)+1))</f>
        <v>enpc_F02_A_Cocoon_005</v>
      </c>
      <c r="B126" s="16"/>
      <c r="C126" s="16" t="s">
        <v>270</v>
      </c>
      <c r="D126" s="17" t="str">
        <f t="shared" si="8"/>
        <v>코쿤</v>
      </c>
      <c r="E126" s="17" t="str">
        <f>VLOOKUP($C126, Factor!$AM$4:$AY$30, 8, 0)</f>
        <v>M</v>
      </c>
      <c r="F126" s="17" t="s">
        <v>374</v>
      </c>
      <c r="G126" s="20">
        <v>19</v>
      </c>
      <c r="H126" s="16" t="s">
        <v>55</v>
      </c>
      <c r="I126" s="17" t="str">
        <f>VLOOKUP($C126, Factor!$AM$4:$AY$30, 11, 0)</f>
        <v>A</v>
      </c>
      <c r="J126" s="17" t="str">
        <f>VLOOKUP($C126, Factor!$AM$4:$AY$30, 12, 0)</f>
        <v>ml</v>
      </c>
      <c r="K126" s="17" t="str">
        <f>VLOOKUP($C126, Factor!$AM$4:$AY$30, 13, 0)</f>
        <v>L</v>
      </c>
      <c r="L126" s="17">
        <v>1</v>
      </c>
      <c r="M126" s="17">
        <v>1</v>
      </c>
      <c r="N126" s="17">
        <v>1</v>
      </c>
      <c r="O126" s="17">
        <v>1</v>
      </c>
      <c r="P126" s="17">
        <v>1</v>
      </c>
      <c r="Q126" s="17">
        <v>1</v>
      </c>
      <c r="R126" s="17" t="str">
        <f>VLOOKUP($C126, Factor!$AM$4:$AY$30, 9, 0)</f>
        <v>Midium</v>
      </c>
      <c r="S126" s="17" t="s">
        <v>196</v>
      </c>
      <c r="T126" s="17" t="str">
        <f>VLOOKUP($C126, Factor!$AM$4:$AY$30, 10, 0)</f>
        <v>enpc</v>
      </c>
      <c r="U126" s="17" cm="1">
        <f t="array" ref="U126">L126*VLOOKUP($I126, Factor!$B$4:$G$8, 2, 0)*VLOOKUP($J126, Factor!$B$12:$G$13, 2, 0)*VLOOKUP($K126, Factor!$B$17:$G$18, 2, 0)*VLOOKUP($H126, Factor!$J$4:$O$7, 2, 0)*VLOOKUP($F126, Factor!$Q$4:$V$15, 2, 0)*IF(MOD($G126,10)=0, 10, MOD($G126, 10))*((INDEX(Factor!$X$4:$AC$13, _xlfn.XMATCH($G126, Factor!$X$4:$X$13, 1),2)*IF(MOD(G126, 10) = 0, 10, MOD(G126, 10)))+INDEX(Factor!$AE$4:$AJ$13, _xlfn.XMATCH(MonsterData!$G126, Factor!$AE$4:$AE$13, 1),2))</f>
        <v>4536</v>
      </c>
      <c r="V126" s="17" cm="1">
        <f t="array" ref="V126">M126*VLOOKUP($I126, Factor!$B$4:$G$8, 3, 0)*VLOOKUP($J126, Factor!$B$12:$G$13, 3, 0)*VLOOKUP($K126, Factor!$B$17:$G$18, 3, 0)*VLOOKUP($H126, Factor!$J$4:$O$7, 3, 0)*VLOOKUP($F126, Factor!$Q$4:$V$15, 3, 0)*IF(MOD($G126,10)=0, 10, MOD($G126, 10))*((INDEX(Factor!$X$4:$AC$13, _xlfn.XMATCH($G126, Factor!$X$4:$X$13, 1),3)*IF(MOD(G126, 10) = 0, 10, MOD(G126, 10)))+INDEX(Factor!$AE$4:$AJ$13, _xlfn.XMATCH(MonsterData!$G126, Factor!$AE$4:$AE$13, 1),3))</f>
        <v>226.79999999999998</v>
      </c>
      <c r="W126" s="17" cm="1">
        <f t="array" ref="W126">N126*VLOOKUP($I126, Factor!$B$4:$G$8, 4, 0)*VLOOKUP($J126, Factor!$B$12:$G$13, 4, 0)*VLOOKUP($K126, Factor!$B$17:$G$18, 4, 0)*VLOOKUP($H126, Factor!$J$4:$O$7, 4, 0)*VLOOKUP($F126, Factor!$Q$4:$V$15, 4, 0)*IF(MOD($G126,10)=0, 10, MOD($G126, 10))*((INDEX(Factor!$X$4:$AC$13, _xlfn.XMATCH($G126, Factor!$X$4:$X$13, 1),4)*IF(MOD(G126, 10) = 0, 10, MOD(G126, 10)))+INDEX(Factor!$AE$4:$AJ$13, _xlfn.XMATCH(MonsterData!$G126, Factor!$AE$4:$AE$13, 1),4))</f>
        <v>136.07999999999998</v>
      </c>
      <c r="X126" s="17" cm="1">
        <f t="array" ref="X126">O126*VLOOKUP($I126, Factor!$B$4:$G$8, 5, 0)*VLOOKUP($J126, Factor!$B$12:$G$13, 5, 0)*VLOOKUP($K126, Factor!$B$17:$G$18, 5, 0)*VLOOKUP($H126, Factor!$J$4:$O$7, 5, 0)*VLOOKUP($F126, Factor!$Q$4:$V$15, 5, 0)*IF(MOD($G126,10)=0, 10, MOD($G126, 10))*((INDEX(Factor!$X$4:$AC$13, _xlfn.XMATCH($G126, Factor!$X$4:$X$13, 1),5)*IF(MOD(G126, 10) = 0, 10, MOD(G126, 10)))+INDEX(Factor!$AE$4:$AJ$13, _xlfn.XMATCH(MonsterData!$G126, Factor!$AE$4:$AE$13, 1),5))</f>
        <v>30.239999999999995</v>
      </c>
      <c r="Y126" s="17" cm="1">
        <f t="array" ref="Y126">P126*VLOOKUP($I126, Factor!$B$4:$G$8, 6, 0)*VLOOKUP($J126, Factor!$B$12:$G$13, 6, 0)*VLOOKUP($K126, Factor!$B$17:$G$18, 6, 0)*VLOOKUP($H126, Factor!$J$4:$O$7, 2, 0)*VLOOKUP($F126, Factor!$Q$4:$V$15, 6, 0)*IF(MOD($G126,10)=0, 10, MOD($G126, 10))*((INDEX(Factor!$X$4:$AC$13, _xlfn.XMATCH($G126, Factor!$X$4:$X$13, 1),6)*IF(MOD(G126, 10) = 0, 10, MOD(G126, 10)))+INDEX(Factor!$AE$4:$AJ$13, _xlfn.XMATCH(MonsterData!$G126, Factor!$AE$4:$AE$13, 1),6))</f>
        <v>151.19999999999999</v>
      </c>
      <c r="Z126" s="17">
        <f>$Q126*VLOOKUP($J126, Factor!$B$12:$H$13, 7, 0)</f>
        <v>1</v>
      </c>
      <c r="AA126" s="17">
        <v>1</v>
      </c>
      <c r="AB126" s="17">
        <f t="shared" si="9"/>
        <v>0</v>
      </c>
      <c r="AC126" s="17" t="s">
        <v>139</v>
      </c>
      <c r="AD126" s="19" t="s">
        <v>142</v>
      </c>
    </row>
    <row r="127" spans="1:30" ht="15.75" customHeight="1">
      <c r="A127" s="13" t="str">
        <f>T127&amp;"_"&amp;F127&amp;VLOOKUP($C127, Factor!$AM$4:$AY$30, 7, 0)&amp;IF(COUNTIFS($C$4:C126, C127, $F$4:F126, F127)+1&gt;=100, COUNTIFS($C$4:C126, C127, $F$4:F126, F127)+1,IF(COUNTIFS($C$4:C126, C127, $F$4:F126, F127)+1&gt;=10, "0"&amp;COUNTIFS($C$4:C126, C127, $F$4:F126, F127)+1, "00"&amp;COUNTIFS($C$4:C126, C127, $F$4:F126, F127)+1))</f>
        <v>enpc_F02_A_Antlion_005</v>
      </c>
      <c r="B127" s="13"/>
      <c r="C127" s="13" t="s">
        <v>38</v>
      </c>
      <c r="D127" s="21" t="str">
        <f t="shared" si="8"/>
        <v>앤틸리온</v>
      </c>
      <c r="E127" s="21" t="str">
        <f>VLOOKUP($C127, Factor!$AM$4:$AY$30, 8, 0)</f>
        <v>M</v>
      </c>
      <c r="F127" s="21" t="s">
        <v>374</v>
      </c>
      <c r="G127" s="22">
        <v>19</v>
      </c>
      <c r="H127" s="13" t="s">
        <v>55</v>
      </c>
      <c r="I127" s="21" t="str">
        <f>VLOOKUP($C127, Factor!$AM$4:$AY$30, 11, 0)</f>
        <v>A</v>
      </c>
      <c r="J127" s="21" t="str">
        <f>VLOOKUP($C127, Factor!$AM$4:$AY$30, 12, 0)</f>
        <v>ra</v>
      </c>
      <c r="K127" s="21" t="str">
        <f>VLOOKUP($C127, Factor!$AM$4:$AY$30, 13, 0)</f>
        <v>L</v>
      </c>
      <c r="L127" s="13">
        <v>1</v>
      </c>
      <c r="M127" s="13">
        <v>1</v>
      </c>
      <c r="N127" s="13">
        <v>1</v>
      </c>
      <c r="O127" s="13">
        <v>1</v>
      </c>
      <c r="P127" s="13">
        <v>1</v>
      </c>
      <c r="Q127" s="13">
        <v>1</v>
      </c>
      <c r="R127" s="21" t="str">
        <f>VLOOKUP($C127, Factor!$AM$4:$AY$30, 9, 0)</f>
        <v>Midium</v>
      </c>
      <c r="S127" s="13" t="s">
        <v>397</v>
      </c>
      <c r="T127" s="21" t="str">
        <f>VLOOKUP($C127, Factor!$AM$4:$AY$30, 10, 0)</f>
        <v>enpc</v>
      </c>
      <c r="U127" s="21" cm="1">
        <f t="array" ref="U127">L127*VLOOKUP($I127, Factor!$B$4:$G$8, 2, 0)*VLOOKUP($J127, Factor!$B$12:$G$13, 2, 0)*VLOOKUP($K127, Factor!$B$17:$G$18, 2, 0)*VLOOKUP($H127, Factor!$J$4:$O$7, 2, 0)*VLOOKUP($F127, Factor!$Q$4:$V$15, 2, 0)*IF(MOD($G127,10)=0, 10, MOD($G127, 10))*((INDEX(Factor!$X$4:$AC$13, _xlfn.XMATCH($G127, Factor!$X$4:$X$13, 1),2)*IF(MOD(G127, 10) = 0, 10, MOD(G127, 10)))+INDEX(Factor!$AE$4:$AJ$13, _xlfn.XMATCH(MonsterData!$G127, Factor!$AE$4:$AE$13, 1),2))</f>
        <v>3628.7999999999997</v>
      </c>
      <c r="V127" s="21" cm="1">
        <f t="array" ref="V127">M127*VLOOKUP($I127, Factor!$B$4:$G$8, 3, 0)*VLOOKUP($J127, Factor!$B$12:$G$13, 3, 0)*VLOOKUP($K127, Factor!$B$17:$G$18, 3, 0)*VLOOKUP($H127, Factor!$J$4:$O$7, 3, 0)*VLOOKUP($F127, Factor!$Q$4:$V$15, 3, 0)*IF(MOD($G127,10)=0, 10, MOD($G127, 10))*((INDEX(Factor!$X$4:$AC$13, _xlfn.XMATCH($G127, Factor!$X$4:$X$13, 1),3)*IF(MOD(G127, 10) = 0, 10, MOD(G127, 10)))+INDEX(Factor!$AE$4:$AJ$13, _xlfn.XMATCH(MonsterData!$G127, Factor!$AE$4:$AE$13, 1),3))</f>
        <v>181.43999999999997</v>
      </c>
      <c r="W127" s="21" cm="1">
        <f t="array" ref="W127">N127*VLOOKUP($I127, Factor!$B$4:$G$8, 4, 0)*VLOOKUP($J127, Factor!$B$12:$G$13, 4, 0)*VLOOKUP($K127, Factor!$B$17:$G$18, 4, 0)*VLOOKUP($H127, Factor!$J$4:$O$7, 4, 0)*VLOOKUP($F127, Factor!$Q$4:$V$15, 4, 0)*IF(MOD($G127,10)=0, 10, MOD($G127, 10))*((INDEX(Factor!$X$4:$AC$13, _xlfn.XMATCH($G127, Factor!$X$4:$X$13, 1),4)*IF(MOD(G127, 10) = 0, 10, MOD(G127, 10)))+INDEX(Factor!$AE$4:$AJ$13, _xlfn.XMATCH(MonsterData!$G127, Factor!$AE$4:$AE$13, 1),4))</f>
        <v>163.29599999999996</v>
      </c>
      <c r="X127" s="21" cm="1">
        <f t="array" ref="X127">O127*VLOOKUP($I127, Factor!$B$4:$G$8, 5, 0)*VLOOKUP($J127, Factor!$B$12:$G$13, 5, 0)*VLOOKUP($K127, Factor!$B$17:$G$18, 5, 0)*VLOOKUP($H127, Factor!$J$4:$O$7, 5, 0)*VLOOKUP($F127, Factor!$Q$4:$V$15, 5, 0)*IF(MOD($G127,10)=0, 10, MOD($G127, 10))*((INDEX(Factor!$X$4:$AC$13, _xlfn.XMATCH($G127, Factor!$X$4:$X$13, 1),5)*IF(MOD(G127, 10) = 0, 10, MOD(G127, 10)))+INDEX(Factor!$AE$4:$AJ$13, _xlfn.XMATCH(MonsterData!$G127, Factor!$AE$4:$AE$13, 1),5))</f>
        <v>45.359999999999992</v>
      </c>
      <c r="Y127" s="21" cm="1">
        <f t="array" ref="Y127">P127*VLOOKUP($I127, Factor!$B$4:$G$8, 6, 0)*VLOOKUP($J127, Factor!$B$12:$G$13, 6, 0)*VLOOKUP($K127, Factor!$B$17:$G$18, 6, 0)*VLOOKUP($H127, Factor!$J$4:$O$7, 2, 0)*VLOOKUP($F127, Factor!$Q$4:$V$15, 6, 0)*IF(MOD($G127,10)=0, 10, MOD($G127, 10))*((INDEX(Factor!$X$4:$AC$13, _xlfn.XMATCH($G127, Factor!$X$4:$X$13, 1),6)*IF(MOD(G127, 10) = 0, 10, MOD(G127, 10)))+INDEX(Factor!$AE$4:$AJ$13, _xlfn.XMATCH(MonsterData!$G127, Factor!$AE$4:$AE$13, 1),6))</f>
        <v>151.19999999999999</v>
      </c>
      <c r="Z127" s="21">
        <f>$Q127*VLOOKUP($J127, Factor!$B$12:$H$13, 7, 0)</f>
        <v>4</v>
      </c>
      <c r="AA127" s="13">
        <v>1</v>
      </c>
      <c r="AB127" s="21">
        <f t="shared" si="9"/>
        <v>4</v>
      </c>
      <c r="AC127" s="13" t="s">
        <v>139</v>
      </c>
      <c r="AD127" s="15" t="s">
        <v>142</v>
      </c>
    </row>
    <row r="128" spans="1:30" ht="15.75" customHeight="1">
      <c r="A128" s="16" t="str">
        <f>T128&amp;"_"&amp;F128&amp;VLOOKUP($C128, Factor!$AM$4:$AY$30, 7, 0)&amp;IF(COUNTIFS($C$4:C127, C128, $F$4:F127, F128)+1&gt;=100, COUNTIFS($C$4:C127, C128, $F$4:F127, F128)+1,IF(COUNTIFS($C$4:C127, C128, $F$4:F127, F128)+1&gt;=10, "0"&amp;COUNTIFS($C$4:C127, C128, $F$4:F127, F128)+1, "00"&amp;COUNTIFS($C$4:C127, C128, $F$4:F127, F128)+1))</f>
        <v>enpc_F02_A_Nymphe_005</v>
      </c>
      <c r="B128" s="16"/>
      <c r="C128" s="16" t="s">
        <v>39</v>
      </c>
      <c r="D128" s="17" t="str">
        <f t="shared" si="8"/>
        <v>님프</v>
      </c>
      <c r="E128" s="17" t="str">
        <f>VLOOKUP($C128, Factor!$AM$4:$AY$30, 8, 0)</f>
        <v>S</v>
      </c>
      <c r="F128" s="17" t="s">
        <v>374</v>
      </c>
      <c r="G128" s="20">
        <v>19</v>
      </c>
      <c r="H128" s="16" t="s">
        <v>55</v>
      </c>
      <c r="I128" s="17" t="str">
        <f>VLOOKUP($C128, Factor!$AM$4:$AY$30, 11, 0)</f>
        <v>A</v>
      </c>
      <c r="J128" s="17" t="str">
        <f>VLOOKUP($C128, Factor!$AM$4:$AY$30, 12, 0)</f>
        <v>ml</v>
      </c>
      <c r="K128" s="17" t="str">
        <f>VLOOKUP($C128, Factor!$AM$4:$AY$30, 13, 0)</f>
        <v>F</v>
      </c>
      <c r="L128" s="17">
        <v>1</v>
      </c>
      <c r="M128" s="17">
        <v>1</v>
      </c>
      <c r="N128" s="17">
        <v>1</v>
      </c>
      <c r="O128" s="17">
        <v>1</v>
      </c>
      <c r="P128" s="17">
        <v>1</v>
      </c>
      <c r="Q128" s="17">
        <v>1</v>
      </c>
      <c r="R128" s="17" t="str">
        <f>VLOOKUP($C128, Factor!$AM$4:$AY$30, 9, 0)</f>
        <v>Small</v>
      </c>
      <c r="S128" s="17" t="s">
        <v>197</v>
      </c>
      <c r="T128" s="17" t="str">
        <f>VLOOKUP($C128, Factor!$AM$4:$AY$30, 10, 0)</f>
        <v>enpc</v>
      </c>
      <c r="U128" s="17" cm="1">
        <f t="array" ref="U128">L128*VLOOKUP($I128, Factor!$B$4:$G$8, 2, 0)*VLOOKUP($J128, Factor!$B$12:$G$13, 2, 0)*VLOOKUP($K128, Factor!$B$17:$G$18, 2, 0)*VLOOKUP($H128, Factor!$J$4:$O$7, 2, 0)*VLOOKUP($F128, Factor!$Q$4:$V$15, 2, 0)*IF(MOD($G128,10)=0, 10, MOD($G128, 10))*((INDEX(Factor!$X$4:$AC$13, _xlfn.XMATCH($G128, Factor!$X$4:$X$13, 1),2)*IF(MOD(G128, 10) = 0, 10, MOD(G128, 10)))+INDEX(Factor!$AE$4:$AJ$13, _xlfn.XMATCH(MonsterData!$G128, Factor!$AE$4:$AE$13, 1),2))</f>
        <v>3024</v>
      </c>
      <c r="V128" s="17" cm="1">
        <f t="array" ref="V128">M128*VLOOKUP($I128, Factor!$B$4:$G$8, 3, 0)*VLOOKUP($J128, Factor!$B$12:$G$13, 3, 0)*VLOOKUP($K128, Factor!$B$17:$G$18, 3, 0)*VLOOKUP($H128, Factor!$J$4:$O$7, 3, 0)*VLOOKUP($F128, Factor!$Q$4:$V$15, 3, 0)*IF(MOD($G128,10)=0, 10, MOD($G128, 10))*((INDEX(Factor!$X$4:$AC$13, _xlfn.XMATCH($G128, Factor!$X$4:$X$13, 1),3)*IF(MOD(G128, 10) = 0, 10, MOD(G128, 10)))+INDEX(Factor!$AE$4:$AJ$13, _xlfn.XMATCH(MonsterData!$G128, Factor!$AE$4:$AE$13, 1),3))</f>
        <v>151.19999999999999</v>
      </c>
      <c r="W128" s="17" cm="1">
        <f t="array" ref="W128">N128*VLOOKUP($I128, Factor!$B$4:$G$8, 4, 0)*VLOOKUP($J128, Factor!$B$12:$G$13, 4, 0)*VLOOKUP($K128, Factor!$B$17:$G$18, 4, 0)*VLOOKUP($H128, Factor!$J$4:$O$7, 4, 0)*VLOOKUP($F128, Factor!$Q$4:$V$15, 4, 0)*IF(MOD($G128,10)=0, 10, MOD($G128, 10))*((INDEX(Factor!$X$4:$AC$13, _xlfn.XMATCH($G128, Factor!$X$4:$X$13, 1),4)*IF(MOD(G128, 10) = 0, 10, MOD(G128, 10)))+INDEX(Factor!$AE$4:$AJ$13, _xlfn.XMATCH(MonsterData!$G128, Factor!$AE$4:$AE$13, 1),4))</f>
        <v>90.719999999999985</v>
      </c>
      <c r="X128" s="17" cm="1">
        <f t="array" ref="X128">O128*VLOOKUP($I128, Factor!$B$4:$G$8, 5, 0)*VLOOKUP($J128, Factor!$B$12:$G$13, 5, 0)*VLOOKUP($K128, Factor!$B$17:$G$18, 5, 0)*VLOOKUP($H128, Factor!$J$4:$O$7, 5, 0)*VLOOKUP($F128, Factor!$Q$4:$V$15, 5, 0)*IF(MOD($G128,10)=0, 10, MOD($G128, 10))*((INDEX(Factor!$X$4:$AC$13, _xlfn.XMATCH($G128, Factor!$X$4:$X$13, 1),5)*IF(MOD(G128, 10) = 0, 10, MOD(G128, 10)))+INDEX(Factor!$AE$4:$AJ$13, _xlfn.XMATCH(MonsterData!$G128, Factor!$AE$4:$AE$13, 1),5))</f>
        <v>30.239999999999995</v>
      </c>
      <c r="Y128" s="17" cm="1">
        <f t="array" ref="Y128">P128*VLOOKUP($I128, Factor!$B$4:$G$8, 6, 0)*VLOOKUP($J128, Factor!$B$12:$G$13, 6, 0)*VLOOKUP($K128, Factor!$B$17:$G$18, 6, 0)*VLOOKUP($H128, Factor!$J$4:$O$7, 2, 0)*VLOOKUP($F128, Factor!$Q$4:$V$15, 6, 0)*IF(MOD($G128,10)=0, 10, MOD($G128, 10))*((INDEX(Factor!$X$4:$AC$13, _xlfn.XMATCH($G128, Factor!$X$4:$X$13, 1),6)*IF(MOD(G128, 10) = 0, 10, MOD(G128, 10)))+INDEX(Factor!$AE$4:$AJ$13, _xlfn.XMATCH(MonsterData!$G128, Factor!$AE$4:$AE$13, 1),6))</f>
        <v>453.59999999999997</v>
      </c>
      <c r="Z128" s="17">
        <f>$Q128*VLOOKUP($J128, Factor!$B$12:$H$13, 7, 0)</f>
        <v>1</v>
      </c>
      <c r="AA128" s="17">
        <v>1</v>
      </c>
      <c r="AB128" s="17">
        <f t="shared" si="9"/>
        <v>0</v>
      </c>
      <c r="AC128" s="17" t="s">
        <v>139</v>
      </c>
      <c r="AD128" s="19" t="s">
        <v>142</v>
      </c>
    </row>
    <row r="129" spans="1:30" ht="15.75" customHeight="1">
      <c r="A129" s="13" t="str">
        <f>T129&amp;"_"&amp;F129&amp;VLOOKUP($C129, Factor!$AM$4:$AY$30, 7, 0)&amp;IF(COUNTIFS($C$4:C128, C129, $F$4:F128, F129)+1&gt;=100, COUNTIFS($C$4:C128, C129, $F$4:F128, F129)+1,IF(COUNTIFS($C$4:C128, C129, $F$4:F128, F129)+1&gt;=10, "0"&amp;COUNTIFS($C$4:C128, C129, $F$4:F128, F129)+1, "00"&amp;COUNTIFS($C$4:C128, C129, $F$4:F128, F129)+1))</f>
        <v>enpc_F02_B_Golem_005</v>
      </c>
      <c r="B129" s="13"/>
      <c r="C129" s="13" t="s">
        <v>40</v>
      </c>
      <c r="D129" s="21" t="str">
        <f t="shared" si="8"/>
        <v>골렘</v>
      </c>
      <c r="E129" s="21" t="str">
        <f>VLOOKUP($C129, Factor!$AM$4:$AY$30, 8, 0)</f>
        <v>B</v>
      </c>
      <c r="F129" s="21" t="s">
        <v>374</v>
      </c>
      <c r="G129" s="22">
        <v>32</v>
      </c>
      <c r="H129" s="13" t="s">
        <v>57</v>
      </c>
      <c r="I129" s="21" t="str">
        <f>VLOOKUP($C129, Factor!$AM$4:$AY$30, 11, 0)</f>
        <v>B</v>
      </c>
      <c r="J129" s="21" t="str">
        <f>VLOOKUP($C129, Factor!$AM$4:$AY$30, 12, 0)</f>
        <v>ml</v>
      </c>
      <c r="K129" s="21" t="str">
        <f>VLOOKUP($C129, Factor!$AM$4:$AY$30, 13, 0)</f>
        <v>L</v>
      </c>
      <c r="L129" s="13">
        <v>1</v>
      </c>
      <c r="M129" s="13">
        <v>1</v>
      </c>
      <c r="N129" s="13">
        <v>1</v>
      </c>
      <c r="O129" s="13">
        <v>1</v>
      </c>
      <c r="P129" s="13">
        <v>1</v>
      </c>
      <c r="Q129" s="13">
        <v>1</v>
      </c>
      <c r="R129" s="21" t="str">
        <f>VLOOKUP($C129, Factor!$AM$4:$AY$30, 9, 0)</f>
        <v>Big</v>
      </c>
      <c r="S129" s="13" t="s">
        <v>398</v>
      </c>
      <c r="T129" s="21" t="str">
        <f>VLOOKUP($C129, Factor!$AM$4:$AY$30, 10, 0)</f>
        <v>enpc</v>
      </c>
      <c r="U129" s="21" cm="1">
        <f t="array" ref="U129">L129*VLOOKUP($I129, Factor!$B$4:$G$8, 2, 0)*VLOOKUP($J129, Factor!$B$12:$G$13, 2, 0)*VLOOKUP($K129, Factor!$B$17:$G$18, 2, 0)*VLOOKUP($H129, Factor!$J$4:$O$7, 2, 0)*VLOOKUP($F129, Factor!$Q$4:$V$15, 2, 0)*IF(MOD($G129,10)=0, 10, MOD($G129, 10))*((INDEX(Factor!$X$4:$AC$13, _xlfn.XMATCH($G129, Factor!$X$4:$X$13, 1),2)*IF(MOD(G129, 10) = 0, 10, MOD(G129, 10)))+INDEX(Factor!$AE$4:$AJ$13, _xlfn.XMATCH(MonsterData!$G129, Factor!$AE$4:$AE$13, 1),2))</f>
        <v>24480</v>
      </c>
      <c r="V129" s="21" cm="1">
        <f t="array" ref="V129">M129*VLOOKUP($I129, Factor!$B$4:$G$8, 3, 0)*VLOOKUP($J129, Factor!$B$12:$G$13, 3, 0)*VLOOKUP($K129, Factor!$B$17:$G$18, 3, 0)*VLOOKUP($H129, Factor!$J$4:$O$7, 3, 0)*VLOOKUP($F129, Factor!$Q$4:$V$15, 3, 0)*IF(MOD($G129,10)=0, 10, MOD($G129, 10))*((INDEX(Factor!$X$4:$AC$13, _xlfn.XMATCH($G129, Factor!$X$4:$X$13, 1),3)*IF(MOD(G129, 10) = 0, 10, MOD(G129, 10)))+INDEX(Factor!$AE$4:$AJ$13, _xlfn.XMATCH(MonsterData!$G129, Factor!$AE$4:$AE$13, 1),3))</f>
        <v>1224</v>
      </c>
      <c r="W129" s="21" cm="1">
        <f t="array" ref="W129">N129*VLOOKUP($I129, Factor!$B$4:$G$8, 4, 0)*VLOOKUP($J129, Factor!$B$12:$G$13, 4, 0)*VLOOKUP($K129, Factor!$B$17:$G$18, 4, 0)*VLOOKUP($H129, Factor!$J$4:$O$7, 4, 0)*VLOOKUP($F129, Factor!$Q$4:$V$15, 4, 0)*IF(MOD($G129,10)=0, 10, MOD($G129, 10))*((INDEX(Factor!$X$4:$AC$13, _xlfn.XMATCH($G129, Factor!$X$4:$X$13, 1),4)*IF(MOD(G129, 10) = 0, 10, MOD(G129, 10)))+INDEX(Factor!$AE$4:$AJ$13, _xlfn.XMATCH(MonsterData!$G129, Factor!$AE$4:$AE$13, 1),4))</f>
        <v>61.199999999999996</v>
      </c>
      <c r="X129" s="21" cm="1">
        <f t="array" ref="X129">O129*VLOOKUP($I129, Factor!$B$4:$G$8, 5, 0)*VLOOKUP($J129, Factor!$B$12:$G$13, 5, 0)*VLOOKUP($K129, Factor!$B$17:$G$18, 5, 0)*VLOOKUP($H129, Factor!$J$4:$O$7, 5, 0)*VLOOKUP($F129, Factor!$Q$4:$V$15, 5, 0)*IF(MOD($G129,10)=0, 10, MOD($G129, 10))*((INDEX(Factor!$X$4:$AC$13, _xlfn.XMATCH($G129, Factor!$X$4:$X$13, 1),5)*IF(MOD(G129, 10) = 0, 10, MOD(G129, 10)))+INDEX(Factor!$AE$4:$AJ$13, _xlfn.XMATCH(MonsterData!$G129, Factor!$AE$4:$AE$13, 1),5))</f>
        <v>65.28</v>
      </c>
      <c r="Y129" s="21" cm="1">
        <f t="array" ref="Y129">P129*VLOOKUP($I129, Factor!$B$4:$G$8, 6, 0)*VLOOKUP($J129, Factor!$B$12:$G$13, 6, 0)*VLOOKUP($K129, Factor!$B$17:$G$18, 6, 0)*VLOOKUP($H129, Factor!$J$4:$O$7, 2, 0)*VLOOKUP($F129, Factor!$Q$4:$V$15, 6, 0)*IF(MOD($G129,10)=0, 10, MOD($G129, 10))*((INDEX(Factor!$X$4:$AC$13, _xlfn.XMATCH($G129, Factor!$X$4:$X$13, 1),6)*IF(MOD(G129, 10) = 0, 10, MOD(G129, 10)))+INDEX(Factor!$AE$4:$AJ$13, _xlfn.XMATCH(MonsterData!$G129, Factor!$AE$4:$AE$13, 1),6))</f>
        <v>130.56</v>
      </c>
      <c r="Z129" s="21">
        <f>$Q129*VLOOKUP($J129, Factor!$B$12:$H$13, 7, 0)</f>
        <v>1</v>
      </c>
      <c r="AA129" s="13">
        <v>1</v>
      </c>
      <c r="AB129" s="21">
        <f t="shared" si="9"/>
        <v>0</v>
      </c>
      <c r="AC129" s="13" t="s">
        <v>140</v>
      </c>
      <c r="AD129" s="15" t="s">
        <v>143</v>
      </c>
    </row>
    <row r="130" spans="1:30" ht="15.75" customHeight="1">
      <c r="A130" s="16" t="str">
        <f>T130&amp;"_"&amp;F130&amp;VLOOKUP($C130, Factor!$AM$4:$AY$30, 7, 0)&amp;IF(COUNTIFS($C$4:C129, C130, $F$4:F129, F130)+1&gt;=100, COUNTIFS($C$4:C129, C130, $F$4:F129, F130)+1,IF(COUNTIFS($C$4:C129, C130, $F$4:F129, F130)+1&gt;=10, "0"&amp;COUNTIFS($C$4:C129, C130, $F$4:F129, F130)+1, "00"&amp;COUNTIFS($C$4:C129, C130, $F$4:F129, F130)+1))</f>
        <v>enpc_F02_B_Banshee_005</v>
      </c>
      <c r="B130" s="16"/>
      <c r="C130" s="16" t="s">
        <v>42</v>
      </c>
      <c r="D130" s="17" t="str">
        <f t="shared" si="8"/>
        <v>밴시</v>
      </c>
      <c r="E130" s="17" t="str">
        <f>VLOOKUP($C130, Factor!$AM$4:$AY$30, 8, 0)</f>
        <v>S</v>
      </c>
      <c r="F130" s="17" t="s">
        <v>374</v>
      </c>
      <c r="G130" s="20">
        <v>32</v>
      </c>
      <c r="H130" s="16" t="s">
        <v>56</v>
      </c>
      <c r="I130" s="17" t="str">
        <f>VLOOKUP($C130, Factor!$AM$4:$AY$30, 11, 0)</f>
        <v>B</v>
      </c>
      <c r="J130" s="17" t="str">
        <f>VLOOKUP($C130, Factor!$AM$4:$AY$30, 12, 0)</f>
        <v>ra</v>
      </c>
      <c r="K130" s="17" t="str">
        <f>VLOOKUP($C130, Factor!$AM$4:$AY$30, 13, 0)</f>
        <v>L</v>
      </c>
      <c r="L130" s="17">
        <v>1</v>
      </c>
      <c r="M130" s="17">
        <v>1</v>
      </c>
      <c r="N130" s="17">
        <v>1</v>
      </c>
      <c r="O130" s="17">
        <v>1</v>
      </c>
      <c r="P130" s="17">
        <v>1</v>
      </c>
      <c r="Q130" s="17">
        <v>1</v>
      </c>
      <c r="R130" s="17" t="str">
        <f>VLOOKUP($C130, Factor!$AM$4:$AY$30, 9, 0)</f>
        <v>Midium</v>
      </c>
      <c r="S130" s="17" t="s">
        <v>198</v>
      </c>
      <c r="T130" s="17" t="str">
        <f>VLOOKUP($C130, Factor!$AM$4:$AY$30, 10, 0)</f>
        <v>enpc</v>
      </c>
      <c r="U130" s="17" cm="1">
        <f t="array" ref="U130">L130*VLOOKUP($I130, Factor!$B$4:$G$8, 2, 0)*VLOOKUP($J130, Factor!$B$12:$G$13, 2, 0)*VLOOKUP($K130, Factor!$B$17:$G$18, 2, 0)*VLOOKUP($H130, Factor!$J$4:$O$7, 2, 0)*VLOOKUP($F130, Factor!$Q$4:$V$15, 2, 0)*IF(MOD($G130,10)=0, 10, MOD($G130, 10))*((INDEX(Factor!$X$4:$AC$13, _xlfn.XMATCH($G130, Factor!$X$4:$X$13, 1),2)*IF(MOD(G130, 10) = 0, 10, MOD(G130, 10)))+INDEX(Factor!$AE$4:$AJ$13, _xlfn.XMATCH(MonsterData!$G130, Factor!$AE$4:$AE$13, 1),2))</f>
        <v>9792</v>
      </c>
      <c r="V130" s="17" cm="1">
        <f t="array" ref="V130">M130*VLOOKUP($I130, Factor!$B$4:$G$8, 3, 0)*VLOOKUP($J130, Factor!$B$12:$G$13, 3, 0)*VLOOKUP($K130, Factor!$B$17:$G$18, 3, 0)*VLOOKUP($H130, Factor!$J$4:$O$7, 3, 0)*VLOOKUP($F130, Factor!$Q$4:$V$15, 3, 0)*IF(MOD($G130,10)=0, 10, MOD($G130, 10))*((INDEX(Factor!$X$4:$AC$13, _xlfn.XMATCH($G130, Factor!$X$4:$X$13, 1),3)*IF(MOD(G130, 10) = 0, 10, MOD(G130, 10)))+INDEX(Factor!$AE$4:$AJ$13, _xlfn.XMATCH(MonsterData!$G130, Factor!$AE$4:$AE$13, 1),3))</f>
        <v>489.59999999999997</v>
      </c>
      <c r="W130" s="17" cm="1">
        <f t="array" ref="W130">N130*VLOOKUP($I130, Factor!$B$4:$G$8, 4, 0)*VLOOKUP($J130, Factor!$B$12:$G$13, 4, 0)*VLOOKUP($K130, Factor!$B$17:$G$18, 4, 0)*VLOOKUP($H130, Factor!$J$4:$O$7, 4, 0)*VLOOKUP($F130, Factor!$Q$4:$V$15, 4, 0)*IF(MOD($G130,10)=0, 10, MOD($G130, 10))*((INDEX(Factor!$X$4:$AC$13, _xlfn.XMATCH($G130, Factor!$X$4:$X$13, 1),4)*IF(MOD(G130, 10) = 0, 10, MOD(G130, 10)))+INDEX(Factor!$AE$4:$AJ$13, _xlfn.XMATCH(MonsterData!$G130, Factor!$AE$4:$AE$13, 1),4))</f>
        <v>1468.8</v>
      </c>
      <c r="X130" s="17" cm="1">
        <f t="array" ref="X130">O130*VLOOKUP($I130, Factor!$B$4:$G$8, 5, 0)*VLOOKUP($J130, Factor!$B$12:$G$13, 5, 0)*VLOOKUP($K130, Factor!$B$17:$G$18, 5, 0)*VLOOKUP($H130, Factor!$J$4:$O$7, 5, 0)*VLOOKUP($F130, Factor!$Q$4:$V$15, 5, 0)*IF(MOD($G130,10)=0, 10, MOD($G130, 10))*((INDEX(Factor!$X$4:$AC$13, _xlfn.XMATCH($G130, Factor!$X$4:$X$13, 1),5)*IF(MOD(G130, 10) = 0, 10, MOD(G130, 10)))+INDEX(Factor!$AE$4:$AJ$13, _xlfn.XMATCH(MonsterData!$G130, Factor!$AE$4:$AE$13, 1),5))</f>
        <v>44.064</v>
      </c>
      <c r="Y130" s="17" cm="1">
        <f t="array" ref="Y130">P130*VLOOKUP($I130, Factor!$B$4:$G$8, 6, 0)*VLOOKUP($J130, Factor!$B$12:$G$13, 6, 0)*VLOOKUP($K130, Factor!$B$17:$G$18, 6, 0)*VLOOKUP($H130, Factor!$J$4:$O$7, 2, 0)*VLOOKUP($F130, Factor!$Q$4:$V$15, 6, 0)*IF(MOD($G130,10)=0, 10, MOD($G130, 10))*((INDEX(Factor!$X$4:$AC$13, _xlfn.XMATCH($G130, Factor!$X$4:$X$13, 1),6)*IF(MOD(G130, 10) = 0, 10, MOD(G130, 10)))+INDEX(Factor!$AE$4:$AJ$13, _xlfn.XMATCH(MonsterData!$G130, Factor!$AE$4:$AE$13, 1),6))</f>
        <v>65.28</v>
      </c>
      <c r="Z130" s="17">
        <f>$Q130*VLOOKUP($J130, Factor!$B$12:$H$13, 7, 0)</f>
        <v>4</v>
      </c>
      <c r="AA130" s="17">
        <v>1</v>
      </c>
      <c r="AB130" s="17">
        <f t="shared" si="9"/>
        <v>4</v>
      </c>
      <c r="AC130" s="17" t="s">
        <v>141</v>
      </c>
      <c r="AD130" s="19" t="s">
        <v>144</v>
      </c>
    </row>
    <row r="131" spans="1:30" ht="15.75" customHeight="1">
      <c r="A131" s="13" t="str">
        <f>T131&amp;"_"&amp;F131&amp;VLOOKUP($C131, Factor!$AM$4:$AY$30, 7, 0)&amp;IF(COUNTIFS($C$4:C130, C131, $F$4:F130, F131)+1&gt;=100, COUNTIFS($C$4:C130, C131, $F$4:F130, F131)+1,IF(COUNTIFS($C$4:C130, C131, $F$4:F130, F131)+1&gt;=10, "0"&amp;COUNTIFS($C$4:C130, C131, $F$4:F130, F131)+1, "00"&amp;COUNTIFS($C$4:C130, C131, $F$4:F130, F131)+1))</f>
        <v>enpc_F02_A_Scarab_005</v>
      </c>
      <c r="B131" s="13"/>
      <c r="C131" s="13" t="s">
        <v>353</v>
      </c>
      <c r="D131" s="21" t="str">
        <f t="shared" si="8"/>
        <v>스캐럽</v>
      </c>
      <c r="E131" s="21" t="str">
        <f>VLOOKUP($C131, Factor!$AM$4:$AY$30, 8, 0)</f>
        <v>S</v>
      </c>
      <c r="F131" s="21" t="s">
        <v>374</v>
      </c>
      <c r="G131" s="22">
        <v>19</v>
      </c>
      <c r="H131" s="13" t="s">
        <v>55</v>
      </c>
      <c r="I131" s="21" t="str">
        <f>VLOOKUP($C131, Factor!$AM$4:$AY$30, 11, 0)</f>
        <v>A</v>
      </c>
      <c r="J131" s="21" t="str">
        <f>VLOOKUP($C131, Factor!$AM$4:$AY$30, 12, 0)</f>
        <v>ml</v>
      </c>
      <c r="K131" s="21" t="str">
        <f>VLOOKUP($C131, Factor!$AM$4:$AY$30, 13, 0)</f>
        <v>L</v>
      </c>
      <c r="L131" s="13">
        <v>1</v>
      </c>
      <c r="M131" s="13">
        <v>1</v>
      </c>
      <c r="N131" s="13">
        <v>1</v>
      </c>
      <c r="O131" s="13">
        <v>1</v>
      </c>
      <c r="P131" s="13">
        <v>1</v>
      </c>
      <c r="Q131" s="13">
        <v>1</v>
      </c>
      <c r="R131" s="21" t="str">
        <f>VLOOKUP($C131, Factor!$AM$4:$AY$30, 9, 0)</f>
        <v>Midium</v>
      </c>
      <c r="S131" s="13" t="s">
        <v>399</v>
      </c>
      <c r="T131" s="21" t="str">
        <f>VLOOKUP($C131, Factor!$AM$4:$AY$30, 10, 0)</f>
        <v>enpc</v>
      </c>
      <c r="U131" s="21" cm="1">
        <f t="array" ref="U131">L131*VLOOKUP($I131, Factor!$B$4:$G$8, 2, 0)*VLOOKUP($J131, Factor!$B$12:$G$13, 2, 0)*VLOOKUP($K131, Factor!$B$17:$G$18, 2, 0)*VLOOKUP($H131, Factor!$J$4:$O$7, 2, 0)*VLOOKUP($F131, Factor!$Q$4:$V$15, 2, 0)*IF(MOD($G131,10)=0, 10, MOD($G131, 10))*((INDEX(Factor!$X$4:$AC$13, _xlfn.XMATCH($G131, Factor!$X$4:$X$13, 1),2)*IF(MOD(G131, 10) = 0, 10, MOD(G131, 10)))+INDEX(Factor!$AE$4:$AJ$13, _xlfn.XMATCH(MonsterData!$G131, Factor!$AE$4:$AE$13, 1),2))</f>
        <v>4536</v>
      </c>
      <c r="V131" s="21" cm="1">
        <f t="array" ref="V131">M131*VLOOKUP($I131, Factor!$B$4:$G$8, 3, 0)*VLOOKUP($J131, Factor!$B$12:$G$13, 3, 0)*VLOOKUP($K131, Factor!$B$17:$G$18, 3, 0)*VLOOKUP($H131, Factor!$J$4:$O$7, 3, 0)*VLOOKUP($F131, Factor!$Q$4:$V$15, 3, 0)*IF(MOD($G131,10)=0, 10, MOD($G131, 10))*((INDEX(Factor!$X$4:$AC$13, _xlfn.XMATCH($G131, Factor!$X$4:$X$13, 1),3)*IF(MOD(G131, 10) = 0, 10, MOD(G131, 10)))+INDEX(Factor!$AE$4:$AJ$13, _xlfn.XMATCH(MonsterData!$G131, Factor!$AE$4:$AE$13, 1),3))</f>
        <v>226.79999999999998</v>
      </c>
      <c r="W131" s="21" cm="1">
        <f t="array" ref="W131">N131*VLOOKUP($I131, Factor!$B$4:$G$8, 4, 0)*VLOOKUP($J131, Factor!$B$12:$G$13, 4, 0)*VLOOKUP($K131, Factor!$B$17:$G$18, 4, 0)*VLOOKUP($H131, Factor!$J$4:$O$7, 4, 0)*VLOOKUP($F131, Factor!$Q$4:$V$15, 4, 0)*IF(MOD($G131,10)=0, 10, MOD($G131, 10))*((INDEX(Factor!$X$4:$AC$13, _xlfn.XMATCH($G131, Factor!$X$4:$X$13, 1),4)*IF(MOD(G131, 10) = 0, 10, MOD(G131, 10)))+INDEX(Factor!$AE$4:$AJ$13, _xlfn.XMATCH(MonsterData!$G131, Factor!$AE$4:$AE$13, 1),4))</f>
        <v>136.07999999999998</v>
      </c>
      <c r="X131" s="21" cm="1">
        <f t="array" ref="X131">O131*VLOOKUP($I131, Factor!$B$4:$G$8, 5, 0)*VLOOKUP($J131, Factor!$B$12:$G$13, 5, 0)*VLOOKUP($K131, Factor!$B$17:$G$18, 5, 0)*VLOOKUP($H131, Factor!$J$4:$O$7, 5, 0)*VLOOKUP($F131, Factor!$Q$4:$V$15, 5, 0)*IF(MOD($G131,10)=0, 10, MOD($G131, 10))*((INDEX(Factor!$X$4:$AC$13, _xlfn.XMATCH($G131, Factor!$X$4:$X$13, 1),5)*IF(MOD(G131, 10) = 0, 10, MOD(G131, 10)))+INDEX(Factor!$AE$4:$AJ$13, _xlfn.XMATCH(MonsterData!$G131, Factor!$AE$4:$AE$13, 1),5))</f>
        <v>30.239999999999995</v>
      </c>
      <c r="Y131" s="21" cm="1">
        <f t="array" ref="Y131">P131*VLOOKUP($I131, Factor!$B$4:$G$8, 6, 0)*VLOOKUP($J131, Factor!$B$12:$G$13, 6, 0)*VLOOKUP($K131, Factor!$B$17:$G$18, 6, 0)*VLOOKUP($H131, Factor!$J$4:$O$7, 2, 0)*VLOOKUP($F131, Factor!$Q$4:$V$15, 6, 0)*IF(MOD($G131,10)=0, 10, MOD($G131, 10))*((INDEX(Factor!$X$4:$AC$13, _xlfn.XMATCH($G131, Factor!$X$4:$X$13, 1),6)*IF(MOD(G131, 10) = 0, 10, MOD(G131, 10)))+INDEX(Factor!$AE$4:$AJ$13, _xlfn.XMATCH(MonsterData!$G131, Factor!$AE$4:$AE$13, 1),6))</f>
        <v>151.19999999999999</v>
      </c>
      <c r="Z131" s="21">
        <f>$Q131*VLOOKUP($J131, Factor!$B$12:$H$13, 7, 0)</f>
        <v>1</v>
      </c>
      <c r="AA131" s="13">
        <v>1</v>
      </c>
      <c r="AB131" s="21">
        <f t="shared" si="9"/>
        <v>0</v>
      </c>
      <c r="AC131" s="13" t="s">
        <v>139</v>
      </c>
      <c r="AD131" s="15" t="s">
        <v>387</v>
      </c>
    </row>
    <row r="132" spans="1:30" ht="15.75" customHeight="1">
      <c r="A132" s="16" t="str">
        <f>T132&amp;"_"&amp;F132&amp;VLOOKUP($C132, Factor!$AM$4:$AY$30, 7, 0)&amp;IF(COUNTIFS($C$4:C131, C132, $F$4:F131, F132)+1&gt;=100, COUNTIFS($C$4:C131, C132, $F$4:F131, F132)+1,IF(COUNTIFS($C$4:C131, C132, $F$4:F131, F132)+1&gt;=10, "0"&amp;COUNTIFS($C$4:C131, C132, $F$4:F131, F132)+1, "00"&amp;COUNTIFS($C$4:C131, C132, $F$4:F131, F132)+1))</f>
        <v>enpc_F02_A_Swarmlet_005</v>
      </c>
      <c r="B132" s="16"/>
      <c r="C132" s="16" t="s">
        <v>355</v>
      </c>
      <c r="D132" s="17" t="str">
        <f t="shared" si="8"/>
        <v>스웜렛</v>
      </c>
      <c r="E132" s="17" t="str">
        <f>VLOOKUP($C132, Factor!$AM$4:$AY$30, 8, 0)</f>
        <v>B</v>
      </c>
      <c r="F132" s="17" t="s">
        <v>374</v>
      </c>
      <c r="G132" s="20">
        <v>19</v>
      </c>
      <c r="H132" s="16" t="s">
        <v>56</v>
      </c>
      <c r="I132" s="17" t="str">
        <f>VLOOKUP($C132, Factor!$AM$4:$AY$30, 11, 0)</f>
        <v>A</v>
      </c>
      <c r="J132" s="17" t="str">
        <f>VLOOKUP($C132, Factor!$AM$4:$AY$30, 12, 0)</f>
        <v>ml</v>
      </c>
      <c r="K132" s="17" t="str">
        <f>VLOOKUP($C132, Factor!$AM$4:$AY$30, 13, 0)</f>
        <v>L</v>
      </c>
      <c r="L132" s="17">
        <v>1</v>
      </c>
      <c r="M132" s="17">
        <v>1</v>
      </c>
      <c r="N132" s="17">
        <v>1</v>
      </c>
      <c r="O132" s="17">
        <v>1</v>
      </c>
      <c r="P132" s="17">
        <v>1</v>
      </c>
      <c r="Q132" s="17">
        <v>1</v>
      </c>
      <c r="R132" s="17" t="str">
        <f>VLOOKUP($C132, Factor!$AM$4:$AY$30, 9, 0)</f>
        <v>Small</v>
      </c>
      <c r="S132" s="17" t="s">
        <v>376</v>
      </c>
      <c r="T132" s="17" t="str">
        <f>VLOOKUP($C132, Factor!$AM$4:$AY$30, 10, 0)</f>
        <v>enpc</v>
      </c>
      <c r="U132" s="17" cm="1">
        <f t="array" ref="U132">L132*VLOOKUP($I132, Factor!$B$4:$G$8, 2, 0)*VLOOKUP($J132, Factor!$B$12:$G$13, 2, 0)*VLOOKUP($K132, Factor!$B$17:$G$18, 2, 0)*VLOOKUP($H132, Factor!$J$4:$O$7, 2, 0)*VLOOKUP($F132, Factor!$Q$4:$V$15, 2, 0)*IF(MOD($G132,10)=0, 10, MOD($G132, 10))*((INDEX(Factor!$X$4:$AC$13, _xlfn.XMATCH($G132, Factor!$X$4:$X$13, 1),2)*IF(MOD(G132, 10) = 0, 10, MOD(G132, 10)))+INDEX(Factor!$AE$4:$AJ$13, _xlfn.XMATCH(MonsterData!$G132, Factor!$AE$4:$AE$13, 1),2))</f>
        <v>4536</v>
      </c>
      <c r="V132" s="17" cm="1">
        <f t="array" ref="V132">M132*VLOOKUP($I132, Factor!$B$4:$G$8, 3, 0)*VLOOKUP($J132, Factor!$B$12:$G$13, 3, 0)*VLOOKUP($K132, Factor!$B$17:$G$18, 3, 0)*VLOOKUP($H132, Factor!$J$4:$O$7, 3, 0)*VLOOKUP($F132, Factor!$Q$4:$V$15, 3, 0)*IF(MOD($G132,10)=0, 10, MOD($G132, 10))*((INDEX(Factor!$X$4:$AC$13, _xlfn.XMATCH($G132, Factor!$X$4:$X$13, 1),3)*IF(MOD(G132, 10) = 0, 10, MOD(G132, 10)))+INDEX(Factor!$AE$4:$AJ$13, _xlfn.XMATCH(MonsterData!$G132, Factor!$AE$4:$AE$13, 1),3))</f>
        <v>226.79999999999998</v>
      </c>
      <c r="W132" s="17" cm="1">
        <f t="array" ref="W132">N132*VLOOKUP($I132, Factor!$B$4:$G$8, 4, 0)*VLOOKUP($J132, Factor!$B$12:$G$13, 4, 0)*VLOOKUP($K132, Factor!$B$17:$G$18, 4, 0)*VLOOKUP($H132, Factor!$J$4:$O$7, 4, 0)*VLOOKUP($F132, Factor!$Q$4:$V$15, 4, 0)*IF(MOD($G132,10)=0, 10, MOD($G132, 10))*((INDEX(Factor!$X$4:$AC$13, _xlfn.XMATCH($G132, Factor!$X$4:$X$13, 1),4)*IF(MOD(G132, 10) = 0, 10, MOD(G132, 10)))+INDEX(Factor!$AE$4:$AJ$13, _xlfn.XMATCH(MonsterData!$G132, Factor!$AE$4:$AE$13, 1),4))</f>
        <v>272.15999999999997</v>
      </c>
      <c r="X132" s="17" cm="1">
        <f t="array" ref="X132">O132*VLOOKUP($I132, Factor!$B$4:$G$8, 5, 0)*VLOOKUP($J132, Factor!$B$12:$G$13, 5, 0)*VLOOKUP($K132, Factor!$B$17:$G$18, 5, 0)*VLOOKUP($H132, Factor!$J$4:$O$7, 5, 0)*VLOOKUP($F132, Factor!$Q$4:$V$15, 5, 0)*IF(MOD($G132,10)=0, 10, MOD($G132, 10))*((INDEX(Factor!$X$4:$AC$13, _xlfn.XMATCH($G132, Factor!$X$4:$X$13, 1),5)*IF(MOD(G132, 10) = 0, 10, MOD(G132, 10)))+INDEX(Factor!$AE$4:$AJ$13, _xlfn.XMATCH(MonsterData!$G132, Factor!$AE$4:$AE$13, 1),5))</f>
        <v>27.216000000000001</v>
      </c>
      <c r="Y132" s="17" cm="1">
        <f t="array" ref="Y132">P132*VLOOKUP($I132, Factor!$B$4:$G$8, 6, 0)*VLOOKUP($J132, Factor!$B$12:$G$13, 6, 0)*VLOOKUP($K132, Factor!$B$17:$G$18, 6, 0)*VLOOKUP($H132, Factor!$J$4:$O$7, 2, 0)*VLOOKUP($F132, Factor!$Q$4:$V$15, 6, 0)*IF(MOD($G132,10)=0, 10, MOD($G132, 10))*((INDEX(Factor!$X$4:$AC$13, _xlfn.XMATCH($G132, Factor!$X$4:$X$13, 1),6)*IF(MOD(G132, 10) = 0, 10, MOD(G132, 10)))+INDEX(Factor!$AE$4:$AJ$13, _xlfn.XMATCH(MonsterData!$G132, Factor!$AE$4:$AE$13, 1),6))</f>
        <v>151.19999999999999</v>
      </c>
      <c r="Z132" s="17">
        <f>$Q132*VLOOKUP($J132, Factor!$B$12:$H$13, 7, 0)</f>
        <v>1</v>
      </c>
      <c r="AA132" s="17">
        <v>1</v>
      </c>
      <c r="AB132" s="17">
        <f t="shared" si="9"/>
        <v>0</v>
      </c>
      <c r="AC132" s="17" t="s">
        <v>139</v>
      </c>
      <c r="AD132" s="19" t="s">
        <v>387</v>
      </c>
    </row>
    <row r="133" spans="1:30" ht="15.75" customHeight="1">
      <c r="A133" s="13" t="str">
        <f>T133&amp;"_"&amp;F133&amp;VLOOKUP($C133, Factor!$AM$4:$AY$30, 7, 0)&amp;IF(COUNTIFS($C$4:C132, C133, $F$4:F132, F133)+1&gt;=100, COUNTIFS($C$4:C132, C133, $F$4:F132, F133)+1,IF(COUNTIFS($C$4:C132, C133, $F$4:F132, F133)+1&gt;=10, "0"&amp;COUNTIFS($C$4:C132, C133, $F$4:F132, F133)+1, "00"&amp;COUNTIFS($C$4:C132, C133, $F$4:F132, F133)+1))</f>
        <v>enpc_F02_A_Mantis_005</v>
      </c>
      <c r="B133" s="13"/>
      <c r="C133" s="13" t="s">
        <v>357</v>
      </c>
      <c r="D133" s="21" t="str">
        <f t="shared" si="8"/>
        <v>맨티스</v>
      </c>
      <c r="E133" s="21" t="str">
        <f>VLOOKUP($C133, Factor!$AM$4:$AY$30, 8, 0)</f>
        <v>S</v>
      </c>
      <c r="F133" s="21" t="s">
        <v>374</v>
      </c>
      <c r="G133" s="22">
        <v>19</v>
      </c>
      <c r="H133" s="13" t="s">
        <v>55</v>
      </c>
      <c r="I133" s="21" t="str">
        <f>VLOOKUP($C133, Factor!$AM$4:$AY$30, 11, 0)</f>
        <v>A</v>
      </c>
      <c r="J133" s="21" t="str">
        <f>VLOOKUP($C133, Factor!$AM$4:$AY$30, 12, 0)</f>
        <v>ml</v>
      </c>
      <c r="K133" s="21" t="str">
        <f>VLOOKUP($C133, Factor!$AM$4:$AY$30, 13, 0)</f>
        <v>L</v>
      </c>
      <c r="L133" s="13">
        <v>1</v>
      </c>
      <c r="M133" s="13">
        <v>1</v>
      </c>
      <c r="N133" s="13">
        <v>1</v>
      </c>
      <c r="O133" s="13">
        <v>1</v>
      </c>
      <c r="P133" s="13">
        <v>1</v>
      </c>
      <c r="Q133" s="13">
        <v>1</v>
      </c>
      <c r="R133" s="21" t="str">
        <f>VLOOKUP($C133, Factor!$AM$4:$AY$30, 9, 0)</f>
        <v>Small</v>
      </c>
      <c r="S133" s="13" t="s">
        <v>400</v>
      </c>
      <c r="T133" s="21" t="str">
        <f>VLOOKUP($C133, Factor!$AM$4:$AY$30, 10, 0)</f>
        <v>enpc</v>
      </c>
      <c r="U133" s="21" cm="1">
        <f t="array" ref="U133">L133*VLOOKUP($I133, Factor!$B$4:$G$8, 2, 0)*VLOOKUP($J133, Factor!$B$12:$G$13, 2, 0)*VLOOKUP($K133, Factor!$B$17:$G$18, 2, 0)*VLOOKUP($H133, Factor!$J$4:$O$7, 2, 0)*VLOOKUP($F133, Factor!$Q$4:$V$15, 2, 0)*IF(MOD($G133,10)=0, 10, MOD($G133, 10))*((INDEX(Factor!$X$4:$AC$13, _xlfn.XMATCH($G133, Factor!$X$4:$X$13, 1),2)*IF(MOD(G133, 10) = 0, 10, MOD(G133, 10)))+INDEX(Factor!$AE$4:$AJ$13, _xlfn.XMATCH(MonsterData!$G133, Factor!$AE$4:$AE$13, 1),2))</f>
        <v>4536</v>
      </c>
      <c r="V133" s="21" cm="1">
        <f t="array" ref="V133">M133*VLOOKUP($I133, Factor!$B$4:$G$8, 3, 0)*VLOOKUP($J133, Factor!$B$12:$G$13, 3, 0)*VLOOKUP($K133, Factor!$B$17:$G$18, 3, 0)*VLOOKUP($H133, Factor!$J$4:$O$7, 3, 0)*VLOOKUP($F133, Factor!$Q$4:$V$15, 3, 0)*IF(MOD($G133,10)=0, 10, MOD($G133, 10))*((INDEX(Factor!$X$4:$AC$13, _xlfn.XMATCH($G133, Factor!$X$4:$X$13, 1),3)*IF(MOD(G133, 10) = 0, 10, MOD(G133, 10)))+INDEX(Factor!$AE$4:$AJ$13, _xlfn.XMATCH(MonsterData!$G133, Factor!$AE$4:$AE$13, 1),3))</f>
        <v>226.79999999999998</v>
      </c>
      <c r="W133" s="21" cm="1">
        <f t="array" ref="W133">N133*VLOOKUP($I133, Factor!$B$4:$G$8, 4, 0)*VLOOKUP($J133, Factor!$B$12:$G$13, 4, 0)*VLOOKUP($K133, Factor!$B$17:$G$18, 4, 0)*VLOOKUP($H133, Factor!$J$4:$O$7, 4, 0)*VLOOKUP($F133, Factor!$Q$4:$V$15, 4, 0)*IF(MOD($G133,10)=0, 10, MOD($G133, 10))*((INDEX(Factor!$X$4:$AC$13, _xlfn.XMATCH($G133, Factor!$X$4:$X$13, 1),4)*IF(MOD(G133, 10) = 0, 10, MOD(G133, 10)))+INDEX(Factor!$AE$4:$AJ$13, _xlfn.XMATCH(MonsterData!$G133, Factor!$AE$4:$AE$13, 1),4))</f>
        <v>136.07999999999998</v>
      </c>
      <c r="X133" s="21" cm="1">
        <f t="array" ref="X133">O133*VLOOKUP($I133, Factor!$B$4:$G$8, 5, 0)*VLOOKUP($J133, Factor!$B$12:$G$13, 5, 0)*VLOOKUP($K133, Factor!$B$17:$G$18, 5, 0)*VLOOKUP($H133, Factor!$J$4:$O$7, 5, 0)*VLOOKUP($F133, Factor!$Q$4:$V$15, 5, 0)*IF(MOD($G133,10)=0, 10, MOD($G133, 10))*((INDEX(Factor!$X$4:$AC$13, _xlfn.XMATCH($G133, Factor!$X$4:$X$13, 1),5)*IF(MOD(G133, 10) = 0, 10, MOD(G133, 10)))+INDEX(Factor!$AE$4:$AJ$13, _xlfn.XMATCH(MonsterData!$G133, Factor!$AE$4:$AE$13, 1),5))</f>
        <v>30.239999999999995</v>
      </c>
      <c r="Y133" s="21" cm="1">
        <f t="array" ref="Y133">P133*VLOOKUP($I133, Factor!$B$4:$G$8, 6, 0)*VLOOKUP($J133, Factor!$B$12:$G$13, 6, 0)*VLOOKUP($K133, Factor!$B$17:$G$18, 6, 0)*VLOOKUP($H133, Factor!$J$4:$O$7, 2, 0)*VLOOKUP($F133, Factor!$Q$4:$V$15, 6, 0)*IF(MOD($G133,10)=0, 10, MOD($G133, 10))*((INDEX(Factor!$X$4:$AC$13, _xlfn.XMATCH($G133, Factor!$X$4:$X$13, 1),6)*IF(MOD(G133, 10) = 0, 10, MOD(G133, 10)))+INDEX(Factor!$AE$4:$AJ$13, _xlfn.XMATCH(MonsterData!$G133, Factor!$AE$4:$AE$13, 1),6))</f>
        <v>151.19999999999999</v>
      </c>
      <c r="Z133" s="21">
        <f>$Q133*VLOOKUP($J133, Factor!$B$12:$H$13, 7, 0)</f>
        <v>1</v>
      </c>
      <c r="AA133" s="13">
        <v>1</v>
      </c>
      <c r="AB133" s="21">
        <f t="shared" si="9"/>
        <v>0</v>
      </c>
      <c r="AC133" s="13" t="s">
        <v>139</v>
      </c>
      <c r="AD133" s="15" t="s">
        <v>387</v>
      </c>
    </row>
    <row r="134" spans="1:30" ht="15.75" customHeight="1">
      <c r="A134" s="16" t="str">
        <f>T134&amp;"_"&amp;F134&amp;VLOOKUP($C134, Factor!$AM$4:$AY$30, 7, 0)&amp;IF(COUNTIFS($C$4:C133, C134, $F$4:F133, F134)+1&gt;=100, COUNTIFS($C$4:C133, C134, $F$4:F133, F134)+1,IF(COUNTIFS($C$4:C133, C134, $F$4:F133, F134)+1&gt;=10, "0"&amp;COUNTIFS($C$4:C133, C134, $F$4:F133, F134)+1, "00"&amp;COUNTIFS($C$4:C133, C134, $F$4:F133, F134)+1))</f>
        <v>enpc_F02_B_Kobold_005</v>
      </c>
      <c r="B134" s="16"/>
      <c r="C134" s="16" t="s">
        <v>359</v>
      </c>
      <c r="D134" s="17" t="str">
        <f t="shared" ref="D134:D197" si="10">B134&amp;C134</f>
        <v>코볼트</v>
      </c>
      <c r="E134" s="17" t="str">
        <f>VLOOKUP($C134, Factor!$AM$4:$AY$30, 8, 0)</f>
        <v>M</v>
      </c>
      <c r="F134" s="17" t="s">
        <v>374</v>
      </c>
      <c r="G134" s="20">
        <v>32</v>
      </c>
      <c r="H134" s="16" t="s">
        <v>56</v>
      </c>
      <c r="I134" s="17" t="str">
        <f>VLOOKUP($C134, Factor!$AM$4:$AY$30, 11, 0)</f>
        <v>B</v>
      </c>
      <c r="J134" s="17" t="str">
        <f>VLOOKUP($C134, Factor!$AM$4:$AY$30, 12, 0)</f>
        <v>ml</v>
      </c>
      <c r="K134" s="17" t="str">
        <f>VLOOKUP($C134, Factor!$AM$4:$AY$30, 13, 0)</f>
        <v>L</v>
      </c>
      <c r="L134" s="17">
        <v>1</v>
      </c>
      <c r="M134" s="17">
        <v>1</v>
      </c>
      <c r="N134" s="17">
        <v>1</v>
      </c>
      <c r="O134" s="17">
        <v>1</v>
      </c>
      <c r="P134" s="17">
        <v>1</v>
      </c>
      <c r="Q134" s="17">
        <v>1</v>
      </c>
      <c r="R134" s="17" t="str">
        <f>VLOOKUP($C134, Factor!$AM$4:$AY$30, 9, 0)</f>
        <v>Small</v>
      </c>
      <c r="S134" s="17" t="s">
        <v>378</v>
      </c>
      <c r="T134" s="17" t="str">
        <f>VLOOKUP($C134, Factor!$AM$4:$AY$30, 10, 0)</f>
        <v>enpc</v>
      </c>
      <c r="U134" s="17" cm="1">
        <f t="array" ref="U134">L134*VLOOKUP($I134, Factor!$B$4:$G$8, 2, 0)*VLOOKUP($J134, Factor!$B$12:$G$13, 2, 0)*VLOOKUP($K134, Factor!$B$17:$G$18, 2, 0)*VLOOKUP($H134, Factor!$J$4:$O$7, 2, 0)*VLOOKUP($F134, Factor!$Q$4:$V$15, 2, 0)*IF(MOD($G134,10)=0, 10, MOD($G134, 10))*((INDEX(Factor!$X$4:$AC$13, _xlfn.XMATCH($G134, Factor!$X$4:$X$13, 1),2)*IF(MOD(G134, 10) = 0, 10, MOD(G134, 10)))+INDEX(Factor!$AE$4:$AJ$13, _xlfn.XMATCH(MonsterData!$G134, Factor!$AE$4:$AE$13, 1),2))</f>
        <v>12240</v>
      </c>
      <c r="V134" s="17" cm="1">
        <f t="array" ref="V134">M134*VLOOKUP($I134, Factor!$B$4:$G$8, 3, 0)*VLOOKUP($J134, Factor!$B$12:$G$13, 3, 0)*VLOOKUP($K134, Factor!$B$17:$G$18, 3, 0)*VLOOKUP($H134, Factor!$J$4:$O$7, 3, 0)*VLOOKUP($F134, Factor!$Q$4:$V$15, 3, 0)*IF(MOD($G134,10)=0, 10, MOD($G134, 10))*((INDEX(Factor!$X$4:$AC$13, _xlfn.XMATCH($G134, Factor!$X$4:$X$13, 1),3)*IF(MOD(G134, 10) = 0, 10, MOD(G134, 10)))+INDEX(Factor!$AE$4:$AJ$13, _xlfn.XMATCH(MonsterData!$G134, Factor!$AE$4:$AE$13, 1),3))</f>
        <v>612</v>
      </c>
      <c r="W134" s="17" cm="1">
        <f t="array" ref="W134">N134*VLOOKUP($I134, Factor!$B$4:$G$8, 4, 0)*VLOOKUP($J134, Factor!$B$12:$G$13, 4, 0)*VLOOKUP($K134, Factor!$B$17:$G$18, 4, 0)*VLOOKUP($H134, Factor!$J$4:$O$7, 4, 0)*VLOOKUP($F134, Factor!$Q$4:$V$15, 4, 0)*IF(MOD($G134,10)=0, 10, MOD($G134, 10))*((INDEX(Factor!$X$4:$AC$13, _xlfn.XMATCH($G134, Factor!$X$4:$X$13, 1),4)*IF(MOD(G134, 10) = 0, 10, MOD(G134, 10)))+INDEX(Factor!$AE$4:$AJ$13, _xlfn.XMATCH(MonsterData!$G134, Factor!$AE$4:$AE$13, 1),4))</f>
        <v>1224</v>
      </c>
      <c r="X134" s="17" cm="1">
        <f t="array" ref="X134">O134*VLOOKUP($I134, Factor!$B$4:$G$8, 5, 0)*VLOOKUP($J134, Factor!$B$12:$G$13, 5, 0)*VLOOKUP($K134, Factor!$B$17:$G$18, 5, 0)*VLOOKUP($H134, Factor!$J$4:$O$7, 5, 0)*VLOOKUP($F134, Factor!$Q$4:$V$15, 5, 0)*IF(MOD($G134,10)=0, 10, MOD($G134, 10))*((INDEX(Factor!$X$4:$AC$13, _xlfn.XMATCH($G134, Factor!$X$4:$X$13, 1),5)*IF(MOD(G134, 10) = 0, 10, MOD(G134, 10)))+INDEX(Factor!$AE$4:$AJ$13, _xlfn.XMATCH(MonsterData!$G134, Factor!$AE$4:$AE$13, 1),5))</f>
        <v>29.376000000000001</v>
      </c>
      <c r="Y134" s="17" cm="1">
        <f t="array" ref="Y134">P134*VLOOKUP($I134, Factor!$B$4:$G$8, 6, 0)*VLOOKUP($J134, Factor!$B$12:$G$13, 6, 0)*VLOOKUP($K134, Factor!$B$17:$G$18, 6, 0)*VLOOKUP($H134, Factor!$J$4:$O$7, 2, 0)*VLOOKUP($F134, Factor!$Q$4:$V$15, 6, 0)*IF(MOD($G134,10)=0, 10, MOD($G134, 10))*((INDEX(Factor!$X$4:$AC$13, _xlfn.XMATCH($G134, Factor!$X$4:$X$13, 1),6)*IF(MOD(G134, 10) = 0, 10, MOD(G134, 10)))+INDEX(Factor!$AE$4:$AJ$13, _xlfn.XMATCH(MonsterData!$G134, Factor!$AE$4:$AE$13, 1),6))</f>
        <v>65.28</v>
      </c>
      <c r="Z134" s="17">
        <f>$Q134*VLOOKUP($J134, Factor!$B$12:$H$13, 7, 0)</f>
        <v>1</v>
      </c>
      <c r="AA134" s="17">
        <v>1</v>
      </c>
      <c r="AB134" s="17">
        <f t="shared" si="9"/>
        <v>0</v>
      </c>
      <c r="AC134" s="17" t="s">
        <v>393</v>
      </c>
      <c r="AD134" s="19" t="s">
        <v>388</v>
      </c>
    </row>
    <row r="135" spans="1:30" ht="15.75" customHeight="1">
      <c r="A135" s="13" t="str">
        <f>T135&amp;"_"&amp;F135&amp;VLOOKUP($C135, Factor!$AM$4:$AY$30, 7, 0)&amp;IF(COUNTIFS($C$4:C134, C135, $F$4:F134, F135)+1&gt;=100, COUNTIFS($C$4:C134, C135, $F$4:F134, F135)+1,IF(COUNTIFS($C$4:C134, C135, $F$4:F134, F135)+1&gt;=10, "0"&amp;COUNTIFS($C$4:C134, C135, $F$4:F134, F135)+1, "00"&amp;COUNTIFS($C$4:C134, C135, $F$4:F134, F135)+1))</f>
        <v>enpc_F02_B_Ghoul_005</v>
      </c>
      <c r="B135" s="13"/>
      <c r="C135" s="13" t="s">
        <v>361</v>
      </c>
      <c r="D135" s="21" t="str">
        <f t="shared" si="10"/>
        <v>구울</v>
      </c>
      <c r="E135" s="21" t="str">
        <f>VLOOKUP($C135, Factor!$AM$4:$AY$30, 8, 0)</f>
        <v>M</v>
      </c>
      <c r="F135" s="21" t="s">
        <v>374</v>
      </c>
      <c r="G135" s="22">
        <v>32</v>
      </c>
      <c r="H135" s="13" t="s">
        <v>55</v>
      </c>
      <c r="I135" s="21" t="str">
        <f>VLOOKUP($C135, Factor!$AM$4:$AY$30, 11, 0)</f>
        <v>B</v>
      </c>
      <c r="J135" s="21" t="str">
        <f>VLOOKUP($C135, Factor!$AM$4:$AY$30, 12, 0)</f>
        <v>ml</v>
      </c>
      <c r="K135" s="21" t="str">
        <f>VLOOKUP($C135, Factor!$AM$4:$AY$30, 13, 0)</f>
        <v>L</v>
      </c>
      <c r="L135" s="13">
        <v>1</v>
      </c>
      <c r="M135" s="13">
        <v>1</v>
      </c>
      <c r="N135" s="13">
        <v>1</v>
      </c>
      <c r="O135" s="13">
        <v>1</v>
      </c>
      <c r="P135" s="13">
        <v>1</v>
      </c>
      <c r="Q135" s="13">
        <v>1</v>
      </c>
      <c r="R135" s="21" t="str">
        <f>VLOOKUP($C135, Factor!$AM$4:$AY$30, 9, 0)</f>
        <v>Midium</v>
      </c>
      <c r="S135" s="13" t="s">
        <v>401</v>
      </c>
      <c r="T135" s="21" t="str">
        <f>VLOOKUP($C135, Factor!$AM$4:$AY$30, 10, 0)</f>
        <v>enpc</v>
      </c>
      <c r="U135" s="21" cm="1">
        <f t="array" ref="U135">L135*VLOOKUP($I135, Factor!$B$4:$G$8, 2, 0)*VLOOKUP($J135, Factor!$B$12:$G$13, 2, 0)*VLOOKUP($K135, Factor!$B$17:$G$18, 2, 0)*VLOOKUP($H135, Factor!$J$4:$O$7, 2, 0)*VLOOKUP($F135, Factor!$Q$4:$V$15, 2, 0)*IF(MOD($G135,10)=0, 10, MOD($G135, 10))*((INDEX(Factor!$X$4:$AC$13, _xlfn.XMATCH($G135, Factor!$X$4:$X$13, 1),2)*IF(MOD(G135, 10) = 0, 10, MOD(G135, 10)))+INDEX(Factor!$AE$4:$AJ$13, _xlfn.XMATCH(MonsterData!$G135, Factor!$AE$4:$AE$13, 1),2))</f>
        <v>12240</v>
      </c>
      <c r="V135" s="21" cm="1">
        <f t="array" ref="V135">M135*VLOOKUP($I135, Factor!$B$4:$G$8, 3, 0)*VLOOKUP($J135, Factor!$B$12:$G$13, 3, 0)*VLOOKUP($K135, Factor!$B$17:$G$18, 3, 0)*VLOOKUP($H135, Factor!$J$4:$O$7, 3, 0)*VLOOKUP($F135, Factor!$Q$4:$V$15, 3, 0)*IF(MOD($G135,10)=0, 10, MOD($G135, 10))*((INDEX(Factor!$X$4:$AC$13, _xlfn.XMATCH($G135, Factor!$X$4:$X$13, 1),3)*IF(MOD(G135, 10) = 0, 10, MOD(G135, 10)))+INDEX(Factor!$AE$4:$AJ$13, _xlfn.XMATCH(MonsterData!$G135, Factor!$AE$4:$AE$13, 1),3))</f>
        <v>612</v>
      </c>
      <c r="W135" s="21" cm="1">
        <f t="array" ref="W135">N135*VLOOKUP($I135, Factor!$B$4:$G$8, 4, 0)*VLOOKUP($J135, Factor!$B$12:$G$13, 4, 0)*VLOOKUP($K135, Factor!$B$17:$G$18, 4, 0)*VLOOKUP($H135, Factor!$J$4:$O$7, 4, 0)*VLOOKUP($F135, Factor!$Q$4:$V$15, 4, 0)*IF(MOD($G135,10)=0, 10, MOD($G135, 10))*((INDEX(Factor!$X$4:$AC$13, _xlfn.XMATCH($G135, Factor!$X$4:$X$13, 1),4)*IF(MOD(G135, 10) = 0, 10, MOD(G135, 10)))+INDEX(Factor!$AE$4:$AJ$13, _xlfn.XMATCH(MonsterData!$G135, Factor!$AE$4:$AE$13, 1),4))</f>
        <v>612</v>
      </c>
      <c r="X135" s="21" cm="1">
        <f t="array" ref="X135">O135*VLOOKUP($I135, Factor!$B$4:$G$8, 5, 0)*VLOOKUP($J135, Factor!$B$12:$G$13, 5, 0)*VLOOKUP($K135, Factor!$B$17:$G$18, 5, 0)*VLOOKUP($H135, Factor!$J$4:$O$7, 5, 0)*VLOOKUP($F135, Factor!$Q$4:$V$15, 5, 0)*IF(MOD($G135,10)=0, 10, MOD($G135, 10))*((INDEX(Factor!$X$4:$AC$13, _xlfn.XMATCH($G135, Factor!$X$4:$X$13, 1),5)*IF(MOD(G135, 10) = 0, 10, MOD(G135, 10)))+INDEX(Factor!$AE$4:$AJ$13, _xlfn.XMATCH(MonsterData!$G135, Factor!$AE$4:$AE$13, 1),5))</f>
        <v>32.64</v>
      </c>
      <c r="Y135" s="21" cm="1">
        <f t="array" ref="Y135">P135*VLOOKUP($I135, Factor!$B$4:$G$8, 6, 0)*VLOOKUP($J135, Factor!$B$12:$G$13, 6, 0)*VLOOKUP($K135, Factor!$B$17:$G$18, 6, 0)*VLOOKUP($H135, Factor!$J$4:$O$7, 2, 0)*VLOOKUP($F135, Factor!$Q$4:$V$15, 6, 0)*IF(MOD($G135,10)=0, 10, MOD($G135, 10))*((INDEX(Factor!$X$4:$AC$13, _xlfn.XMATCH($G135, Factor!$X$4:$X$13, 1),6)*IF(MOD(G135, 10) = 0, 10, MOD(G135, 10)))+INDEX(Factor!$AE$4:$AJ$13, _xlfn.XMATCH(MonsterData!$G135, Factor!$AE$4:$AE$13, 1),6))</f>
        <v>65.28</v>
      </c>
      <c r="Z135" s="21">
        <f>$Q135*VLOOKUP($J135, Factor!$B$12:$H$13, 7, 0)</f>
        <v>1</v>
      </c>
      <c r="AA135" s="13">
        <v>1</v>
      </c>
      <c r="AB135" s="21">
        <f t="shared" si="9"/>
        <v>0</v>
      </c>
      <c r="AC135" s="13" t="s">
        <v>394</v>
      </c>
      <c r="AD135" s="15" t="s">
        <v>389</v>
      </c>
    </row>
    <row r="136" spans="1:30" ht="15.75" customHeight="1">
      <c r="A136" s="16" t="str">
        <f>T136&amp;"_"&amp;F136&amp;VLOOKUP($C136, Factor!$AM$4:$AY$30, 7, 0)&amp;IF(COUNTIFS($C$4:C135, C136, $F$4:F135, F136)+1&gt;=100, COUNTIFS($C$4:C135, C136, $F$4:F135, F136)+1,IF(COUNTIFS($C$4:C135, C136, $F$4:F135, F136)+1&gt;=10, "0"&amp;COUNTIFS($C$4:C135, C136, $F$4:F135, F136)+1, "00"&amp;COUNTIFS($C$4:C135, C136, $F$4:F135, F136)+1))</f>
        <v>enpc_F02_B_Gorgon_005</v>
      </c>
      <c r="B136" s="16"/>
      <c r="C136" s="16" t="s">
        <v>363</v>
      </c>
      <c r="D136" s="17" t="str">
        <f t="shared" si="10"/>
        <v>고르곤</v>
      </c>
      <c r="E136" s="17" t="str">
        <f>VLOOKUP($C136, Factor!$AM$4:$AY$30, 8, 0)</f>
        <v>B</v>
      </c>
      <c r="F136" s="17" t="s">
        <v>374</v>
      </c>
      <c r="G136" s="20">
        <v>32</v>
      </c>
      <c r="H136" s="16" t="s">
        <v>56</v>
      </c>
      <c r="I136" s="17" t="str">
        <f>VLOOKUP($C136, Factor!$AM$4:$AY$30, 11, 0)</f>
        <v>B</v>
      </c>
      <c r="J136" s="17" t="str">
        <f>VLOOKUP($C136, Factor!$AM$4:$AY$30, 12, 0)</f>
        <v>ml</v>
      </c>
      <c r="K136" s="17" t="str">
        <f>VLOOKUP($C136, Factor!$AM$4:$AY$30, 13, 0)</f>
        <v>L</v>
      </c>
      <c r="L136" s="17">
        <v>1</v>
      </c>
      <c r="M136" s="17">
        <v>1</v>
      </c>
      <c r="N136" s="17">
        <v>1</v>
      </c>
      <c r="O136" s="17">
        <v>1</v>
      </c>
      <c r="P136" s="17">
        <v>1</v>
      </c>
      <c r="Q136" s="17">
        <v>1</v>
      </c>
      <c r="R136" s="17" t="str">
        <f>VLOOKUP($C136, Factor!$AM$4:$AY$30, 9, 0)</f>
        <v>Midium</v>
      </c>
      <c r="S136" s="17" t="s">
        <v>380</v>
      </c>
      <c r="T136" s="17" t="str">
        <f>VLOOKUP($C136, Factor!$AM$4:$AY$30, 10, 0)</f>
        <v>enpc</v>
      </c>
      <c r="U136" s="17" cm="1">
        <f t="array" ref="U136">L136*VLOOKUP($I136, Factor!$B$4:$G$8, 2, 0)*VLOOKUP($J136, Factor!$B$12:$G$13, 2, 0)*VLOOKUP($K136, Factor!$B$17:$G$18, 2, 0)*VLOOKUP($H136, Factor!$J$4:$O$7, 2, 0)*VLOOKUP($F136, Factor!$Q$4:$V$15, 2, 0)*IF(MOD($G136,10)=0, 10, MOD($G136, 10))*((INDEX(Factor!$X$4:$AC$13, _xlfn.XMATCH($G136, Factor!$X$4:$X$13, 1),2)*IF(MOD(G136, 10) = 0, 10, MOD(G136, 10)))+INDEX(Factor!$AE$4:$AJ$13, _xlfn.XMATCH(MonsterData!$G136, Factor!$AE$4:$AE$13, 1),2))</f>
        <v>12240</v>
      </c>
      <c r="V136" s="17" cm="1">
        <f t="array" ref="V136">M136*VLOOKUP($I136, Factor!$B$4:$G$8, 3, 0)*VLOOKUP($J136, Factor!$B$12:$G$13, 3, 0)*VLOOKUP($K136, Factor!$B$17:$G$18, 3, 0)*VLOOKUP($H136, Factor!$J$4:$O$7, 3, 0)*VLOOKUP($F136, Factor!$Q$4:$V$15, 3, 0)*IF(MOD($G136,10)=0, 10, MOD($G136, 10))*((INDEX(Factor!$X$4:$AC$13, _xlfn.XMATCH($G136, Factor!$X$4:$X$13, 1),3)*IF(MOD(G136, 10) = 0, 10, MOD(G136, 10)))+INDEX(Factor!$AE$4:$AJ$13, _xlfn.XMATCH(MonsterData!$G136, Factor!$AE$4:$AE$13, 1),3))</f>
        <v>612</v>
      </c>
      <c r="W136" s="17" cm="1">
        <f t="array" ref="W136">N136*VLOOKUP($I136, Factor!$B$4:$G$8, 4, 0)*VLOOKUP($J136, Factor!$B$12:$G$13, 4, 0)*VLOOKUP($K136, Factor!$B$17:$G$18, 4, 0)*VLOOKUP($H136, Factor!$J$4:$O$7, 4, 0)*VLOOKUP($F136, Factor!$Q$4:$V$15, 4, 0)*IF(MOD($G136,10)=0, 10, MOD($G136, 10))*((INDEX(Factor!$X$4:$AC$13, _xlfn.XMATCH($G136, Factor!$X$4:$X$13, 1),4)*IF(MOD(G136, 10) = 0, 10, MOD(G136, 10)))+INDEX(Factor!$AE$4:$AJ$13, _xlfn.XMATCH(MonsterData!$G136, Factor!$AE$4:$AE$13, 1),4))</f>
        <v>1224</v>
      </c>
      <c r="X136" s="17" cm="1">
        <f t="array" ref="X136">O136*VLOOKUP($I136, Factor!$B$4:$G$8, 5, 0)*VLOOKUP($J136, Factor!$B$12:$G$13, 5, 0)*VLOOKUP($K136, Factor!$B$17:$G$18, 5, 0)*VLOOKUP($H136, Factor!$J$4:$O$7, 5, 0)*VLOOKUP($F136, Factor!$Q$4:$V$15, 5, 0)*IF(MOD($G136,10)=0, 10, MOD($G136, 10))*((INDEX(Factor!$X$4:$AC$13, _xlfn.XMATCH($G136, Factor!$X$4:$X$13, 1),5)*IF(MOD(G136, 10) = 0, 10, MOD(G136, 10)))+INDEX(Factor!$AE$4:$AJ$13, _xlfn.XMATCH(MonsterData!$G136, Factor!$AE$4:$AE$13, 1),5))</f>
        <v>29.376000000000001</v>
      </c>
      <c r="Y136" s="17" cm="1">
        <f t="array" ref="Y136">P136*VLOOKUP($I136, Factor!$B$4:$G$8, 6, 0)*VLOOKUP($J136, Factor!$B$12:$G$13, 6, 0)*VLOOKUP($K136, Factor!$B$17:$G$18, 6, 0)*VLOOKUP($H136, Factor!$J$4:$O$7, 2, 0)*VLOOKUP($F136, Factor!$Q$4:$V$15, 6, 0)*IF(MOD($G136,10)=0, 10, MOD($G136, 10))*((INDEX(Factor!$X$4:$AC$13, _xlfn.XMATCH($G136, Factor!$X$4:$X$13, 1),6)*IF(MOD(G136, 10) = 0, 10, MOD(G136, 10)))+INDEX(Factor!$AE$4:$AJ$13, _xlfn.XMATCH(MonsterData!$G136, Factor!$AE$4:$AE$13, 1),6))</f>
        <v>65.28</v>
      </c>
      <c r="Z136" s="17">
        <f>$Q136*VLOOKUP($J136, Factor!$B$12:$H$13, 7, 0)</f>
        <v>1</v>
      </c>
      <c r="AA136" s="17">
        <v>1</v>
      </c>
      <c r="AB136" s="17">
        <f t="shared" si="9"/>
        <v>0</v>
      </c>
      <c r="AC136" s="17" t="s">
        <v>395</v>
      </c>
      <c r="AD136" s="19" t="s">
        <v>390</v>
      </c>
    </row>
    <row r="137" spans="1:30" ht="15.75" customHeight="1">
      <c r="A137" s="13" t="str">
        <f>T137&amp;"_"&amp;F137&amp;VLOOKUP($C137, Factor!$AM$4:$AY$30, 7, 0)&amp;IF(COUNTIFS($C$4:C136, C137, $F$4:F136, F137)+1&gt;=100, COUNTIFS($C$4:C136, C137, $F$4:F136, F137)+1,IF(COUNTIFS($C$4:C136, C137, $F$4:F136, F137)+1&gt;=10, "0"&amp;COUNTIFS($C$4:C136, C137, $F$4:F136, F137)+1, "00"&amp;COUNTIFS($C$4:C136, C137, $F$4:F136, F137)+1))</f>
        <v>enpc_F02_B_Gargoyle_005</v>
      </c>
      <c r="B137" s="13"/>
      <c r="C137" s="13" t="s">
        <v>365</v>
      </c>
      <c r="D137" s="21" t="str">
        <f t="shared" si="10"/>
        <v>가고일</v>
      </c>
      <c r="E137" s="21" t="str">
        <f>VLOOKUP($C137, Factor!$AM$4:$AY$30, 8, 0)</f>
        <v>B</v>
      </c>
      <c r="F137" s="21" t="s">
        <v>374</v>
      </c>
      <c r="G137" s="22">
        <v>32</v>
      </c>
      <c r="H137" s="13" t="s">
        <v>55</v>
      </c>
      <c r="I137" s="21" t="str">
        <f>VLOOKUP($C137, Factor!$AM$4:$AY$30, 11, 0)</f>
        <v>B</v>
      </c>
      <c r="J137" s="21" t="str">
        <f>VLOOKUP($C137, Factor!$AM$4:$AY$30, 12, 0)</f>
        <v>ml</v>
      </c>
      <c r="K137" s="21" t="str">
        <f>VLOOKUP($C137, Factor!$AM$4:$AY$30, 13, 0)</f>
        <v>F</v>
      </c>
      <c r="L137" s="13">
        <v>1</v>
      </c>
      <c r="M137" s="13">
        <v>1</v>
      </c>
      <c r="N137" s="13">
        <v>1</v>
      </c>
      <c r="O137" s="13">
        <v>1</v>
      </c>
      <c r="P137" s="13">
        <v>1</v>
      </c>
      <c r="Q137" s="13">
        <v>1</v>
      </c>
      <c r="R137" s="21" t="str">
        <f>VLOOKUP($C137, Factor!$AM$4:$AY$30, 9, 0)</f>
        <v>Big</v>
      </c>
      <c r="S137" s="13" t="s">
        <v>402</v>
      </c>
      <c r="T137" s="21" t="str">
        <f>VLOOKUP($C137, Factor!$AM$4:$AY$30, 10, 0)</f>
        <v>enpc</v>
      </c>
      <c r="U137" s="21" cm="1">
        <f t="array" ref="U137">L137*VLOOKUP($I137, Factor!$B$4:$G$8, 2, 0)*VLOOKUP($J137, Factor!$B$12:$G$13, 2, 0)*VLOOKUP($K137, Factor!$B$17:$G$18, 2, 0)*VLOOKUP($H137, Factor!$J$4:$O$7, 2, 0)*VLOOKUP($F137, Factor!$Q$4:$V$15, 2, 0)*IF(MOD($G137,10)=0, 10, MOD($G137, 10))*((INDEX(Factor!$X$4:$AC$13, _xlfn.XMATCH($G137, Factor!$X$4:$X$13, 1),2)*IF(MOD(G137, 10) = 0, 10, MOD(G137, 10)))+INDEX(Factor!$AE$4:$AJ$13, _xlfn.XMATCH(MonsterData!$G137, Factor!$AE$4:$AE$13, 1),2))</f>
        <v>8160</v>
      </c>
      <c r="V137" s="21" cm="1">
        <f t="array" ref="V137">M137*VLOOKUP($I137, Factor!$B$4:$G$8, 3, 0)*VLOOKUP($J137, Factor!$B$12:$G$13, 3, 0)*VLOOKUP($K137, Factor!$B$17:$G$18, 3, 0)*VLOOKUP($H137, Factor!$J$4:$O$7, 3, 0)*VLOOKUP($F137, Factor!$Q$4:$V$15, 3, 0)*IF(MOD($G137,10)=0, 10, MOD($G137, 10))*((INDEX(Factor!$X$4:$AC$13, _xlfn.XMATCH($G137, Factor!$X$4:$X$13, 1),3)*IF(MOD(G137, 10) = 0, 10, MOD(G137, 10)))+INDEX(Factor!$AE$4:$AJ$13, _xlfn.XMATCH(MonsterData!$G137, Factor!$AE$4:$AE$13, 1),3))</f>
        <v>408</v>
      </c>
      <c r="W137" s="21" cm="1">
        <f t="array" ref="W137">N137*VLOOKUP($I137, Factor!$B$4:$G$8, 4, 0)*VLOOKUP($J137, Factor!$B$12:$G$13, 4, 0)*VLOOKUP($K137, Factor!$B$17:$G$18, 4, 0)*VLOOKUP($H137, Factor!$J$4:$O$7, 4, 0)*VLOOKUP($F137, Factor!$Q$4:$V$15, 4, 0)*IF(MOD($G137,10)=0, 10, MOD($G137, 10))*((INDEX(Factor!$X$4:$AC$13, _xlfn.XMATCH($G137, Factor!$X$4:$X$13, 1),4)*IF(MOD(G137, 10) = 0, 10, MOD(G137, 10)))+INDEX(Factor!$AE$4:$AJ$13, _xlfn.XMATCH(MonsterData!$G137, Factor!$AE$4:$AE$13, 1),4))</f>
        <v>408</v>
      </c>
      <c r="X137" s="21" cm="1">
        <f t="array" ref="X137">O137*VLOOKUP($I137, Factor!$B$4:$G$8, 5, 0)*VLOOKUP($J137, Factor!$B$12:$G$13, 5, 0)*VLOOKUP($K137, Factor!$B$17:$G$18, 5, 0)*VLOOKUP($H137, Factor!$J$4:$O$7, 5, 0)*VLOOKUP($F137, Factor!$Q$4:$V$15, 5, 0)*IF(MOD($G137,10)=0, 10, MOD($G137, 10))*((INDEX(Factor!$X$4:$AC$13, _xlfn.XMATCH($G137, Factor!$X$4:$X$13, 1),5)*IF(MOD(G137, 10) = 0, 10, MOD(G137, 10)))+INDEX(Factor!$AE$4:$AJ$13, _xlfn.XMATCH(MonsterData!$G137, Factor!$AE$4:$AE$13, 1),5))</f>
        <v>32.64</v>
      </c>
      <c r="Y137" s="21" cm="1">
        <f t="array" ref="Y137">P137*VLOOKUP($I137, Factor!$B$4:$G$8, 6, 0)*VLOOKUP($J137, Factor!$B$12:$G$13, 6, 0)*VLOOKUP($K137, Factor!$B$17:$G$18, 6, 0)*VLOOKUP($H137, Factor!$J$4:$O$7, 2, 0)*VLOOKUP($F137, Factor!$Q$4:$V$15, 6, 0)*IF(MOD($G137,10)=0, 10, MOD($G137, 10))*((INDEX(Factor!$X$4:$AC$13, _xlfn.XMATCH($G137, Factor!$X$4:$X$13, 1),6)*IF(MOD(G137, 10) = 0, 10, MOD(G137, 10)))+INDEX(Factor!$AE$4:$AJ$13, _xlfn.XMATCH(MonsterData!$G137, Factor!$AE$4:$AE$13, 1),6))</f>
        <v>195.83999999999997</v>
      </c>
      <c r="Z137" s="21">
        <f>$Q137*VLOOKUP($J137, Factor!$B$12:$H$13, 7, 0)</f>
        <v>1</v>
      </c>
      <c r="AA137" s="13">
        <v>1</v>
      </c>
      <c r="AB137" s="21">
        <f t="shared" si="9"/>
        <v>0</v>
      </c>
      <c r="AC137" s="13" t="s">
        <v>396</v>
      </c>
      <c r="AD137" s="15" t="s">
        <v>391</v>
      </c>
    </row>
    <row r="138" spans="1:30" ht="15.75" customHeight="1">
      <c r="A138" s="16" t="str">
        <f>T138&amp;"_"&amp;F138&amp;VLOOKUP($C138, Factor!$AM$4:$AY$30, 7, 0)&amp;IF(COUNTIFS($C$4:C137, C138, $F$4:F137, F138)+1&gt;=100, COUNTIFS($C$4:C137, C138, $F$4:F137, F138)+1,IF(COUNTIFS($C$4:C137, C138, $F$4:F137, F138)+1&gt;=10, "0"&amp;COUNTIFS($C$4:C137, C138, $F$4:F137, F138)+1, "00"&amp;COUNTIFS($C$4:C137, C138, $F$4:F137, F138)+1))</f>
        <v>enpc_F02_A_Lava_006</v>
      </c>
      <c r="B138" s="16"/>
      <c r="C138" s="16" t="s">
        <v>35</v>
      </c>
      <c r="D138" s="17" t="str">
        <f t="shared" si="10"/>
        <v>라바</v>
      </c>
      <c r="E138" s="17" t="str">
        <f>VLOOKUP($C138, Factor!$AM$4:$AY$30, 8, 0)</f>
        <v>S</v>
      </c>
      <c r="F138" s="17" t="s">
        <v>374</v>
      </c>
      <c r="G138" s="20">
        <v>21</v>
      </c>
      <c r="H138" s="16" t="s">
        <v>54</v>
      </c>
      <c r="I138" s="17" t="str">
        <f>VLOOKUP($C138, Factor!$AM$4:$AY$30, 11, 0)</f>
        <v>A</v>
      </c>
      <c r="J138" s="17" t="str">
        <f>VLOOKUP($C138, Factor!$AM$4:$AY$30, 12, 0)</f>
        <v>ml</v>
      </c>
      <c r="K138" s="17" t="str">
        <f>VLOOKUP($C138, Factor!$AM$4:$AY$30, 13, 0)</f>
        <v>L</v>
      </c>
      <c r="L138" s="17">
        <v>1</v>
      </c>
      <c r="M138" s="17">
        <v>1</v>
      </c>
      <c r="N138" s="17">
        <v>1</v>
      </c>
      <c r="O138" s="17">
        <v>1</v>
      </c>
      <c r="P138" s="17">
        <v>1</v>
      </c>
      <c r="Q138" s="17">
        <v>1</v>
      </c>
      <c r="R138" s="17" t="str">
        <f>VLOOKUP($C138, Factor!$AM$4:$AY$30, 9, 0)</f>
        <v>Small</v>
      </c>
      <c r="S138" s="17" t="s">
        <v>88</v>
      </c>
      <c r="T138" s="17" t="str">
        <f>VLOOKUP($C138, Factor!$AM$4:$AY$30, 10, 0)</f>
        <v>enpc</v>
      </c>
      <c r="U138" s="17" cm="1">
        <f t="array" ref="U138">L138*VLOOKUP($I138, Factor!$B$4:$G$8, 2, 0)*VLOOKUP($J138, Factor!$B$12:$G$13, 2, 0)*VLOOKUP($K138, Factor!$B$17:$G$18, 2, 0)*VLOOKUP($H138, Factor!$J$4:$O$7, 2, 0)*VLOOKUP($F138, Factor!$Q$4:$V$15, 2, 0)*IF(MOD($G138,10)=0, 10, MOD($G138, 10))*((INDEX(Factor!$X$4:$AC$13, _xlfn.XMATCH($G138, Factor!$X$4:$X$13, 1),2)*IF(MOD(G138, 10) = 0, 10, MOD(G138, 10)))+INDEX(Factor!$AE$4:$AJ$13, _xlfn.XMATCH(MonsterData!$G138, Factor!$AE$4:$AE$13, 1),2))</f>
        <v>475.2</v>
      </c>
      <c r="V138" s="17" cm="1">
        <f t="array" ref="V138">M138*VLOOKUP($I138, Factor!$B$4:$G$8, 3, 0)*VLOOKUP($J138, Factor!$B$12:$G$13, 3, 0)*VLOOKUP($K138, Factor!$B$17:$G$18, 3, 0)*VLOOKUP($H138, Factor!$J$4:$O$7, 3, 0)*VLOOKUP($F138, Factor!$Q$4:$V$15, 3, 0)*IF(MOD($G138,10)=0, 10, MOD($G138, 10))*((INDEX(Factor!$X$4:$AC$13, _xlfn.XMATCH($G138, Factor!$X$4:$X$13, 1),3)*IF(MOD(G138, 10) = 0, 10, MOD(G138, 10)))+INDEX(Factor!$AE$4:$AJ$13, _xlfn.XMATCH(MonsterData!$G138, Factor!$AE$4:$AE$13, 1),3))</f>
        <v>23.759999999999998</v>
      </c>
      <c r="W138" s="17" cm="1">
        <f t="array" ref="W138">N138*VLOOKUP($I138, Factor!$B$4:$G$8, 4, 0)*VLOOKUP($J138, Factor!$B$12:$G$13, 4, 0)*VLOOKUP($K138, Factor!$B$17:$G$18, 4, 0)*VLOOKUP($H138, Factor!$J$4:$O$7, 4, 0)*VLOOKUP($F138, Factor!$Q$4:$V$15, 4, 0)*IF(MOD($G138,10)=0, 10, MOD($G138, 10))*((INDEX(Factor!$X$4:$AC$13, _xlfn.XMATCH($G138, Factor!$X$4:$X$13, 1),4)*IF(MOD(G138, 10) = 0, 10, MOD(G138, 10)))+INDEX(Factor!$AE$4:$AJ$13, _xlfn.XMATCH(MonsterData!$G138, Factor!$AE$4:$AE$13, 1),4))</f>
        <v>14.256</v>
      </c>
      <c r="X138" s="17" cm="1">
        <f t="array" ref="X138">O138*VLOOKUP($I138, Factor!$B$4:$G$8, 5, 0)*VLOOKUP($J138, Factor!$B$12:$G$13, 5, 0)*VLOOKUP($K138, Factor!$B$17:$G$18, 5, 0)*VLOOKUP($H138, Factor!$J$4:$O$7, 5, 0)*VLOOKUP($F138, Factor!$Q$4:$V$15, 5, 0)*IF(MOD($G138,10)=0, 10, MOD($G138, 10))*((INDEX(Factor!$X$4:$AC$13, _xlfn.XMATCH($G138, Factor!$X$4:$X$13, 1),5)*IF(MOD(G138, 10) = 0, 10, MOD(G138, 10)))+INDEX(Factor!$AE$4:$AJ$13, _xlfn.XMATCH(MonsterData!$G138, Factor!$AE$4:$AE$13, 1),5))</f>
        <v>3.9599999999999995</v>
      </c>
      <c r="Y138" s="17" cm="1">
        <f t="array" ref="Y138">P138*VLOOKUP($I138, Factor!$B$4:$G$8, 6, 0)*VLOOKUP($J138, Factor!$B$12:$G$13, 6, 0)*VLOOKUP($K138, Factor!$B$17:$G$18, 6, 0)*VLOOKUP($H138, Factor!$J$4:$O$7, 2, 0)*VLOOKUP($F138, Factor!$Q$4:$V$15, 6, 0)*IF(MOD($G138,10)=0, 10, MOD($G138, 10))*((INDEX(Factor!$X$4:$AC$13, _xlfn.XMATCH($G138, Factor!$X$4:$X$13, 1),6)*IF(MOD(G138, 10) = 0, 10, MOD(G138, 10)))+INDEX(Factor!$AE$4:$AJ$13, _xlfn.XMATCH(MonsterData!$G138, Factor!$AE$4:$AE$13, 1),6))</f>
        <v>15.839999999999998</v>
      </c>
      <c r="Z138" s="17">
        <f>$Q138*VLOOKUP($J138, Factor!$B$12:$H$13, 7, 0)</f>
        <v>1</v>
      </c>
      <c r="AA138" s="17">
        <v>1</v>
      </c>
      <c r="AB138" s="17">
        <f t="shared" si="9"/>
        <v>0</v>
      </c>
      <c r="AC138" s="17" t="s">
        <v>139</v>
      </c>
      <c r="AD138" s="19" t="s">
        <v>142</v>
      </c>
    </row>
    <row r="139" spans="1:30" ht="15.75" customHeight="1">
      <c r="A139" s="13" t="str">
        <f>T139&amp;"_"&amp;F139&amp;VLOOKUP($C139, Factor!$AM$4:$AY$30, 7, 0)&amp;IF(COUNTIFS($C$4:C138, C139, $F$4:F138, F139)+1&gt;=100, COUNTIFS($C$4:C138, C139, $F$4:F138, F139)+1,IF(COUNTIFS($C$4:C138, C139, $F$4:F138, F139)+1&gt;=10, "0"&amp;COUNTIFS($C$4:C138, C139, $F$4:F138, F139)+1, "00"&amp;COUNTIFS($C$4:C138, C139, $F$4:F138, F139)+1))</f>
        <v>enpc_F02_A_Cocoon_006</v>
      </c>
      <c r="B139" s="13"/>
      <c r="C139" s="13" t="s">
        <v>270</v>
      </c>
      <c r="D139" s="21" t="str">
        <f t="shared" si="10"/>
        <v>코쿤</v>
      </c>
      <c r="E139" s="21" t="str">
        <f>VLOOKUP($C139, Factor!$AM$4:$AY$30, 8, 0)</f>
        <v>M</v>
      </c>
      <c r="F139" s="21" t="s">
        <v>374</v>
      </c>
      <c r="G139" s="22">
        <v>21</v>
      </c>
      <c r="H139" s="13" t="s">
        <v>55</v>
      </c>
      <c r="I139" s="21" t="str">
        <f>VLOOKUP($C139, Factor!$AM$4:$AY$30, 11, 0)</f>
        <v>A</v>
      </c>
      <c r="J139" s="21" t="str">
        <f>VLOOKUP($C139, Factor!$AM$4:$AY$30, 12, 0)</f>
        <v>ml</v>
      </c>
      <c r="K139" s="21" t="str">
        <f>VLOOKUP($C139, Factor!$AM$4:$AY$30, 13, 0)</f>
        <v>L</v>
      </c>
      <c r="L139" s="13">
        <v>1</v>
      </c>
      <c r="M139" s="13">
        <v>1</v>
      </c>
      <c r="N139" s="13">
        <v>1</v>
      </c>
      <c r="O139" s="13">
        <v>1</v>
      </c>
      <c r="P139" s="13">
        <v>1</v>
      </c>
      <c r="Q139" s="13">
        <v>1</v>
      </c>
      <c r="R139" s="21" t="str">
        <f>VLOOKUP($C139, Factor!$AM$4:$AY$30, 9, 0)</f>
        <v>Midium</v>
      </c>
      <c r="S139" s="13" t="s">
        <v>408</v>
      </c>
      <c r="T139" s="21" t="str">
        <f>VLOOKUP($C139, Factor!$AM$4:$AY$30, 10, 0)</f>
        <v>enpc</v>
      </c>
      <c r="U139" s="21" cm="1">
        <f t="array" ref="U139">L139*VLOOKUP($I139, Factor!$B$4:$G$8, 2, 0)*VLOOKUP($J139, Factor!$B$12:$G$13, 2, 0)*VLOOKUP($K139, Factor!$B$17:$G$18, 2, 0)*VLOOKUP($H139, Factor!$J$4:$O$7, 2, 0)*VLOOKUP($F139, Factor!$Q$4:$V$15, 2, 0)*IF(MOD($G139,10)=0, 10, MOD($G139, 10))*((INDEX(Factor!$X$4:$AC$13, _xlfn.XMATCH($G139, Factor!$X$4:$X$13, 1),2)*IF(MOD(G139, 10) = 0, 10, MOD(G139, 10)))+INDEX(Factor!$AE$4:$AJ$13, _xlfn.XMATCH(MonsterData!$G139, Factor!$AE$4:$AE$13, 1),2))</f>
        <v>594</v>
      </c>
      <c r="V139" s="21" cm="1">
        <f t="array" ref="V139">M139*VLOOKUP($I139, Factor!$B$4:$G$8, 3, 0)*VLOOKUP($J139, Factor!$B$12:$G$13, 3, 0)*VLOOKUP($K139, Factor!$B$17:$G$18, 3, 0)*VLOOKUP($H139, Factor!$J$4:$O$7, 3, 0)*VLOOKUP($F139, Factor!$Q$4:$V$15, 3, 0)*IF(MOD($G139,10)=0, 10, MOD($G139, 10))*((INDEX(Factor!$X$4:$AC$13, _xlfn.XMATCH($G139, Factor!$X$4:$X$13, 1),3)*IF(MOD(G139, 10) = 0, 10, MOD(G139, 10)))+INDEX(Factor!$AE$4:$AJ$13, _xlfn.XMATCH(MonsterData!$G139, Factor!$AE$4:$AE$13, 1),3))</f>
        <v>29.7</v>
      </c>
      <c r="W139" s="21" cm="1">
        <f t="array" ref="W139">N139*VLOOKUP($I139, Factor!$B$4:$G$8, 4, 0)*VLOOKUP($J139, Factor!$B$12:$G$13, 4, 0)*VLOOKUP($K139, Factor!$B$17:$G$18, 4, 0)*VLOOKUP($H139, Factor!$J$4:$O$7, 4, 0)*VLOOKUP($F139, Factor!$Q$4:$V$15, 4, 0)*IF(MOD($G139,10)=0, 10, MOD($G139, 10))*((INDEX(Factor!$X$4:$AC$13, _xlfn.XMATCH($G139, Factor!$X$4:$X$13, 1),4)*IF(MOD(G139, 10) = 0, 10, MOD(G139, 10)))+INDEX(Factor!$AE$4:$AJ$13, _xlfn.XMATCH(MonsterData!$G139, Factor!$AE$4:$AE$13, 1),4))</f>
        <v>17.819999999999997</v>
      </c>
      <c r="X139" s="21" cm="1">
        <f t="array" ref="X139">O139*VLOOKUP($I139, Factor!$B$4:$G$8, 5, 0)*VLOOKUP($J139, Factor!$B$12:$G$13, 5, 0)*VLOOKUP($K139, Factor!$B$17:$G$18, 5, 0)*VLOOKUP($H139, Factor!$J$4:$O$7, 5, 0)*VLOOKUP($F139, Factor!$Q$4:$V$15, 5, 0)*IF(MOD($G139,10)=0, 10, MOD($G139, 10))*((INDEX(Factor!$X$4:$AC$13, _xlfn.XMATCH($G139, Factor!$X$4:$X$13, 1),5)*IF(MOD(G139, 10) = 0, 10, MOD(G139, 10)))+INDEX(Factor!$AE$4:$AJ$13, _xlfn.XMATCH(MonsterData!$G139, Factor!$AE$4:$AE$13, 1),5))</f>
        <v>3.9599999999999995</v>
      </c>
      <c r="Y139" s="21" cm="1">
        <f t="array" ref="Y139">P139*VLOOKUP($I139, Factor!$B$4:$G$8, 6, 0)*VLOOKUP($J139, Factor!$B$12:$G$13, 6, 0)*VLOOKUP($K139, Factor!$B$17:$G$18, 6, 0)*VLOOKUP($H139, Factor!$J$4:$O$7, 2, 0)*VLOOKUP($F139, Factor!$Q$4:$V$15, 6, 0)*IF(MOD($G139,10)=0, 10, MOD($G139, 10))*((INDEX(Factor!$X$4:$AC$13, _xlfn.XMATCH($G139, Factor!$X$4:$X$13, 1),6)*IF(MOD(G139, 10) = 0, 10, MOD(G139, 10)))+INDEX(Factor!$AE$4:$AJ$13, _xlfn.XMATCH(MonsterData!$G139, Factor!$AE$4:$AE$13, 1),6))</f>
        <v>19.799999999999997</v>
      </c>
      <c r="Z139" s="21">
        <f>$Q139*VLOOKUP($J139, Factor!$B$12:$H$13, 7, 0)</f>
        <v>1</v>
      </c>
      <c r="AA139" s="13">
        <v>1</v>
      </c>
      <c r="AB139" s="21">
        <f t="shared" si="9"/>
        <v>0</v>
      </c>
      <c r="AC139" s="13" t="s">
        <v>139</v>
      </c>
      <c r="AD139" s="15" t="s">
        <v>142</v>
      </c>
    </row>
    <row r="140" spans="1:30" ht="15.75" customHeight="1">
      <c r="A140" s="16" t="str">
        <f>T140&amp;"_"&amp;F140&amp;VLOOKUP($C140, Factor!$AM$4:$AY$30, 7, 0)&amp;IF(COUNTIFS($C$4:C139, C140, $F$4:F139, F140)+1&gt;=100, COUNTIFS($C$4:C139, C140, $F$4:F139, F140)+1,IF(COUNTIFS($C$4:C139, C140, $F$4:F139, F140)+1&gt;=10, "0"&amp;COUNTIFS($C$4:C139, C140, $F$4:F139, F140)+1, "00"&amp;COUNTIFS($C$4:C139, C140, $F$4:F139, F140)+1))</f>
        <v>enpc_F02_A_Antlion_006</v>
      </c>
      <c r="B140" s="16"/>
      <c r="C140" s="16" t="s">
        <v>38</v>
      </c>
      <c r="D140" s="17" t="str">
        <f t="shared" si="10"/>
        <v>앤틸리온</v>
      </c>
      <c r="E140" s="17" t="str">
        <f>VLOOKUP($C140, Factor!$AM$4:$AY$30, 8, 0)</f>
        <v>M</v>
      </c>
      <c r="F140" s="17" t="s">
        <v>374</v>
      </c>
      <c r="G140" s="20">
        <v>21</v>
      </c>
      <c r="H140" s="16" t="s">
        <v>55</v>
      </c>
      <c r="I140" s="17" t="str">
        <f>VLOOKUP($C140, Factor!$AM$4:$AY$30, 11, 0)</f>
        <v>A</v>
      </c>
      <c r="J140" s="17" t="str">
        <f>VLOOKUP($C140, Factor!$AM$4:$AY$30, 12, 0)</f>
        <v>ra</v>
      </c>
      <c r="K140" s="17" t="str">
        <f>VLOOKUP($C140, Factor!$AM$4:$AY$30, 13, 0)</f>
        <v>L</v>
      </c>
      <c r="L140" s="17">
        <v>1</v>
      </c>
      <c r="M140" s="17">
        <v>1</v>
      </c>
      <c r="N140" s="17">
        <v>1</v>
      </c>
      <c r="O140" s="17">
        <v>1</v>
      </c>
      <c r="P140" s="17">
        <v>1</v>
      </c>
      <c r="Q140" s="17">
        <v>1</v>
      </c>
      <c r="R140" s="17" t="str">
        <f>VLOOKUP($C140, Factor!$AM$4:$AY$30, 9, 0)</f>
        <v>Midium</v>
      </c>
      <c r="S140" s="17" t="s">
        <v>397</v>
      </c>
      <c r="T140" s="17" t="str">
        <f>VLOOKUP($C140, Factor!$AM$4:$AY$30, 10, 0)</f>
        <v>enpc</v>
      </c>
      <c r="U140" s="17" cm="1">
        <f t="array" ref="U140">L140*VLOOKUP($I140, Factor!$B$4:$G$8, 2, 0)*VLOOKUP($J140, Factor!$B$12:$G$13, 2, 0)*VLOOKUP($K140, Factor!$B$17:$G$18, 2, 0)*VLOOKUP($H140, Factor!$J$4:$O$7, 2, 0)*VLOOKUP($F140, Factor!$Q$4:$V$15, 2, 0)*IF(MOD($G140,10)=0, 10, MOD($G140, 10))*((INDEX(Factor!$X$4:$AC$13, _xlfn.XMATCH($G140, Factor!$X$4:$X$13, 1),2)*IF(MOD(G140, 10) = 0, 10, MOD(G140, 10)))+INDEX(Factor!$AE$4:$AJ$13, _xlfn.XMATCH(MonsterData!$G140, Factor!$AE$4:$AE$13, 1),2))</f>
        <v>475.2</v>
      </c>
      <c r="V140" s="17" cm="1">
        <f t="array" ref="V140">M140*VLOOKUP($I140, Factor!$B$4:$G$8, 3, 0)*VLOOKUP($J140, Factor!$B$12:$G$13, 3, 0)*VLOOKUP($K140, Factor!$B$17:$G$18, 3, 0)*VLOOKUP($H140, Factor!$J$4:$O$7, 3, 0)*VLOOKUP($F140, Factor!$Q$4:$V$15, 3, 0)*IF(MOD($G140,10)=0, 10, MOD($G140, 10))*((INDEX(Factor!$X$4:$AC$13, _xlfn.XMATCH($G140, Factor!$X$4:$X$13, 1),3)*IF(MOD(G140, 10) = 0, 10, MOD(G140, 10)))+INDEX(Factor!$AE$4:$AJ$13, _xlfn.XMATCH(MonsterData!$G140, Factor!$AE$4:$AE$13, 1),3))</f>
        <v>23.759999999999998</v>
      </c>
      <c r="W140" s="17" cm="1">
        <f t="array" ref="W140">N140*VLOOKUP($I140, Factor!$B$4:$G$8, 4, 0)*VLOOKUP($J140, Factor!$B$12:$G$13, 4, 0)*VLOOKUP($K140, Factor!$B$17:$G$18, 4, 0)*VLOOKUP($H140, Factor!$J$4:$O$7, 4, 0)*VLOOKUP($F140, Factor!$Q$4:$V$15, 4, 0)*IF(MOD($G140,10)=0, 10, MOD($G140, 10))*((INDEX(Factor!$X$4:$AC$13, _xlfn.XMATCH($G140, Factor!$X$4:$X$13, 1),4)*IF(MOD(G140, 10) = 0, 10, MOD(G140, 10)))+INDEX(Factor!$AE$4:$AJ$13, _xlfn.XMATCH(MonsterData!$G140, Factor!$AE$4:$AE$13, 1),4))</f>
        <v>21.383999999999997</v>
      </c>
      <c r="X140" s="17" cm="1">
        <f t="array" ref="X140">O140*VLOOKUP($I140, Factor!$B$4:$G$8, 5, 0)*VLOOKUP($J140, Factor!$B$12:$G$13, 5, 0)*VLOOKUP($K140, Factor!$B$17:$G$18, 5, 0)*VLOOKUP($H140, Factor!$J$4:$O$7, 5, 0)*VLOOKUP($F140, Factor!$Q$4:$V$15, 5, 0)*IF(MOD($G140,10)=0, 10, MOD($G140, 10))*((INDEX(Factor!$X$4:$AC$13, _xlfn.XMATCH($G140, Factor!$X$4:$X$13, 1),5)*IF(MOD(G140, 10) = 0, 10, MOD(G140, 10)))+INDEX(Factor!$AE$4:$AJ$13, _xlfn.XMATCH(MonsterData!$G140, Factor!$AE$4:$AE$13, 1),5))</f>
        <v>5.9399999999999995</v>
      </c>
      <c r="Y140" s="17" cm="1">
        <f t="array" ref="Y140">P140*VLOOKUP($I140, Factor!$B$4:$G$8, 6, 0)*VLOOKUP($J140, Factor!$B$12:$G$13, 6, 0)*VLOOKUP($K140, Factor!$B$17:$G$18, 6, 0)*VLOOKUP($H140, Factor!$J$4:$O$7, 2, 0)*VLOOKUP($F140, Factor!$Q$4:$V$15, 6, 0)*IF(MOD($G140,10)=0, 10, MOD($G140, 10))*((INDEX(Factor!$X$4:$AC$13, _xlfn.XMATCH($G140, Factor!$X$4:$X$13, 1),6)*IF(MOD(G140, 10) = 0, 10, MOD(G140, 10)))+INDEX(Factor!$AE$4:$AJ$13, _xlfn.XMATCH(MonsterData!$G140, Factor!$AE$4:$AE$13, 1),6))</f>
        <v>19.799999999999997</v>
      </c>
      <c r="Z140" s="17">
        <f>$Q140*VLOOKUP($J140, Factor!$B$12:$H$13, 7, 0)</f>
        <v>4</v>
      </c>
      <c r="AA140" s="17">
        <v>1</v>
      </c>
      <c r="AB140" s="17">
        <f t="shared" si="9"/>
        <v>4</v>
      </c>
      <c r="AC140" s="17" t="s">
        <v>139</v>
      </c>
      <c r="AD140" s="19" t="s">
        <v>142</v>
      </c>
    </row>
    <row r="141" spans="1:30" ht="15.75" customHeight="1">
      <c r="A141" s="13" t="str">
        <f>T141&amp;"_"&amp;F141&amp;VLOOKUP($C141, Factor!$AM$4:$AY$30, 7, 0)&amp;IF(COUNTIFS($C$4:C140, C141, $F$4:F140, F141)+1&gt;=100, COUNTIFS($C$4:C140, C141, $F$4:F140, F141)+1,IF(COUNTIFS($C$4:C140, C141, $F$4:F140, F141)+1&gt;=10, "0"&amp;COUNTIFS($C$4:C140, C141, $F$4:F140, F141)+1, "00"&amp;COUNTIFS($C$4:C140, C141, $F$4:F140, F141)+1))</f>
        <v>enpc_F02_A_Nymphe_006</v>
      </c>
      <c r="B141" s="13"/>
      <c r="C141" s="13" t="s">
        <v>39</v>
      </c>
      <c r="D141" s="21" t="str">
        <f t="shared" si="10"/>
        <v>님프</v>
      </c>
      <c r="E141" s="21" t="str">
        <f>VLOOKUP($C141, Factor!$AM$4:$AY$30, 8, 0)</f>
        <v>S</v>
      </c>
      <c r="F141" s="21" t="s">
        <v>374</v>
      </c>
      <c r="G141" s="22">
        <v>21</v>
      </c>
      <c r="H141" s="13" t="s">
        <v>55</v>
      </c>
      <c r="I141" s="21" t="str">
        <f>VLOOKUP($C141, Factor!$AM$4:$AY$30, 11, 0)</f>
        <v>A</v>
      </c>
      <c r="J141" s="21" t="str">
        <f>VLOOKUP($C141, Factor!$AM$4:$AY$30, 12, 0)</f>
        <v>ml</v>
      </c>
      <c r="K141" s="21" t="str">
        <f>VLOOKUP($C141, Factor!$AM$4:$AY$30, 13, 0)</f>
        <v>F</v>
      </c>
      <c r="L141" s="13">
        <v>1</v>
      </c>
      <c r="M141" s="13">
        <v>1</v>
      </c>
      <c r="N141" s="13">
        <v>1</v>
      </c>
      <c r="O141" s="13">
        <v>1</v>
      </c>
      <c r="P141" s="13">
        <v>1</v>
      </c>
      <c r="Q141" s="13">
        <v>1</v>
      </c>
      <c r="R141" s="21" t="str">
        <f>VLOOKUP($C141, Factor!$AM$4:$AY$30, 9, 0)</f>
        <v>Small</v>
      </c>
      <c r="S141" s="13" t="s">
        <v>409</v>
      </c>
      <c r="T141" s="21" t="str">
        <f>VLOOKUP($C141, Factor!$AM$4:$AY$30, 10, 0)</f>
        <v>enpc</v>
      </c>
      <c r="U141" s="21" cm="1">
        <f t="array" ref="U141">L141*VLOOKUP($I141, Factor!$B$4:$G$8, 2, 0)*VLOOKUP($J141, Factor!$B$12:$G$13, 2, 0)*VLOOKUP($K141, Factor!$B$17:$G$18, 2, 0)*VLOOKUP($H141, Factor!$J$4:$O$7, 2, 0)*VLOOKUP($F141, Factor!$Q$4:$V$15, 2, 0)*IF(MOD($G141,10)=0, 10, MOD($G141, 10))*((INDEX(Factor!$X$4:$AC$13, _xlfn.XMATCH($G141, Factor!$X$4:$X$13, 1),2)*IF(MOD(G141, 10) = 0, 10, MOD(G141, 10)))+INDEX(Factor!$AE$4:$AJ$13, _xlfn.XMATCH(MonsterData!$G141, Factor!$AE$4:$AE$13, 1),2))</f>
        <v>396</v>
      </c>
      <c r="V141" s="21" cm="1">
        <f t="array" ref="V141">M141*VLOOKUP($I141, Factor!$B$4:$G$8, 3, 0)*VLOOKUP($J141, Factor!$B$12:$G$13, 3, 0)*VLOOKUP($K141, Factor!$B$17:$G$18, 3, 0)*VLOOKUP($H141, Factor!$J$4:$O$7, 3, 0)*VLOOKUP($F141, Factor!$Q$4:$V$15, 3, 0)*IF(MOD($G141,10)=0, 10, MOD($G141, 10))*((INDEX(Factor!$X$4:$AC$13, _xlfn.XMATCH($G141, Factor!$X$4:$X$13, 1),3)*IF(MOD(G141, 10) = 0, 10, MOD(G141, 10)))+INDEX(Factor!$AE$4:$AJ$13, _xlfn.XMATCH(MonsterData!$G141, Factor!$AE$4:$AE$13, 1),3))</f>
        <v>19.799999999999997</v>
      </c>
      <c r="W141" s="21" cm="1">
        <f t="array" ref="W141">N141*VLOOKUP($I141, Factor!$B$4:$G$8, 4, 0)*VLOOKUP($J141, Factor!$B$12:$G$13, 4, 0)*VLOOKUP($K141, Factor!$B$17:$G$18, 4, 0)*VLOOKUP($H141, Factor!$J$4:$O$7, 4, 0)*VLOOKUP($F141, Factor!$Q$4:$V$15, 4, 0)*IF(MOD($G141,10)=0, 10, MOD($G141, 10))*((INDEX(Factor!$X$4:$AC$13, _xlfn.XMATCH($G141, Factor!$X$4:$X$13, 1),4)*IF(MOD(G141, 10) = 0, 10, MOD(G141, 10)))+INDEX(Factor!$AE$4:$AJ$13, _xlfn.XMATCH(MonsterData!$G141, Factor!$AE$4:$AE$13, 1),4))</f>
        <v>11.879999999999999</v>
      </c>
      <c r="X141" s="21" cm="1">
        <f t="array" ref="X141">O141*VLOOKUP($I141, Factor!$B$4:$G$8, 5, 0)*VLOOKUP($J141, Factor!$B$12:$G$13, 5, 0)*VLOOKUP($K141, Factor!$B$17:$G$18, 5, 0)*VLOOKUP($H141, Factor!$J$4:$O$7, 5, 0)*VLOOKUP($F141, Factor!$Q$4:$V$15, 5, 0)*IF(MOD($G141,10)=0, 10, MOD($G141, 10))*((INDEX(Factor!$X$4:$AC$13, _xlfn.XMATCH($G141, Factor!$X$4:$X$13, 1),5)*IF(MOD(G141, 10) = 0, 10, MOD(G141, 10)))+INDEX(Factor!$AE$4:$AJ$13, _xlfn.XMATCH(MonsterData!$G141, Factor!$AE$4:$AE$13, 1),5))</f>
        <v>3.9599999999999995</v>
      </c>
      <c r="Y141" s="21" cm="1">
        <f t="array" ref="Y141">P141*VLOOKUP($I141, Factor!$B$4:$G$8, 6, 0)*VLOOKUP($J141, Factor!$B$12:$G$13, 6, 0)*VLOOKUP($K141, Factor!$B$17:$G$18, 6, 0)*VLOOKUP($H141, Factor!$J$4:$O$7, 2, 0)*VLOOKUP($F141, Factor!$Q$4:$V$15, 6, 0)*IF(MOD($G141,10)=0, 10, MOD($G141, 10))*((INDEX(Factor!$X$4:$AC$13, _xlfn.XMATCH($G141, Factor!$X$4:$X$13, 1),6)*IF(MOD(G141, 10) = 0, 10, MOD(G141, 10)))+INDEX(Factor!$AE$4:$AJ$13, _xlfn.XMATCH(MonsterData!$G141, Factor!$AE$4:$AE$13, 1),6))</f>
        <v>59.4</v>
      </c>
      <c r="Z141" s="21">
        <f>$Q141*VLOOKUP($J141, Factor!$B$12:$H$13, 7, 0)</f>
        <v>1</v>
      </c>
      <c r="AA141" s="13">
        <v>1</v>
      </c>
      <c r="AB141" s="21">
        <f t="shared" si="9"/>
        <v>0</v>
      </c>
      <c r="AC141" s="13" t="s">
        <v>139</v>
      </c>
      <c r="AD141" s="15" t="s">
        <v>142</v>
      </c>
    </row>
    <row r="142" spans="1:30" ht="15.75" customHeight="1">
      <c r="A142" s="16" t="str">
        <f>T142&amp;"_"&amp;F142&amp;VLOOKUP($C142, Factor!$AM$4:$AY$30, 7, 0)&amp;IF(COUNTIFS($C$4:C141, C142, $F$4:F141, F142)+1&gt;=100, COUNTIFS($C$4:C141, C142, $F$4:F141, F142)+1,IF(COUNTIFS($C$4:C141, C142, $F$4:F141, F142)+1&gt;=10, "0"&amp;COUNTIFS($C$4:C141, C142, $F$4:F141, F142)+1, "00"&amp;COUNTIFS($C$4:C141, C142, $F$4:F141, F142)+1))</f>
        <v>enpc_F02_B_Golem_006</v>
      </c>
      <c r="B142" s="16"/>
      <c r="C142" s="16" t="s">
        <v>40</v>
      </c>
      <c r="D142" s="17" t="str">
        <f t="shared" si="10"/>
        <v>골렘</v>
      </c>
      <c r="E142" s="17" t="str">
        <f>VLOOKUP($C142, Factor!$AM$4:$AY$30, 8, 0)</f>
        <v>B</v>
      </c>
      <c r="F142" s="17" t="s">
        <v>374</v>
      </c>
      <c r="G142" s="20">
        <v>35</v>
      </c>
      <c r="H142" s="16" t="s">
        <v>57</v>
      </c>
      <c r="I142" s="17" t="str">
        <f>VLOOKUP($C142, Factor!$AM$4:$AY$30, 11, 0)</f>
        <v>B</v>
      </c>
      <c r="J142" s="17" t="str">
        <f>VLOOKUP($C142, Factor!$AM$4:$AY$30, 12, 0)</f>
        <v>ml</v>
      </c>
      <c r="K142" s="17" t="str">
        <f>VLOOKUP($C142, Factor!$AM$4:$AY$30, 13, 0)</f>
        <v>L</v>
      </c>
      <c r="L142" s="17">
        <v>1</v>
      </c>
      <c r="M142" s="17">
        <v>1</v>
      </c>
      <c r="N142" s="17">
        <v>1</v>
      </c>
      <c r="O142" s="17">
        <v>1</v>
      </c>
      <c r="P142" s="17">
        <v>1</v>
      </c>
      <c r="Q142" s="17">
        <v>1</v>
      </c>
      <c r="R142" s="17" t="str">
        <f>VLOOKUP($C142, Factor!$AM$4:$AY$30, 9, 0)</f>
        <v>Big</v>
      </c>
      <c r="S142" s="17" t="s">
        <v>398</v>
      </c>
      <c r="T142" s="17" t="str">
        <f>VLOOKUP($C142, Factor!$AM$4:$AY$30, 10, 0)</f>
        <v>enpc</v>
      </c>
      <c r="U142" s="17" cm="1">
        <f t="array" ref="U142">L142*VLOOKUP($I142, Factor!$B$4:$G$8, 2, 0)*VLOOKUP($J142, Factor!$B$12:$G$13, 2, 0)*VLOOKUP($K142, Factor!$B$17:$G$18, 2, 0)*VLOOKUP($H142, Factor!$J$4:$O$7, 2, 0)*VLOOKUP($F142, Factor!$Q$4:$V$15, 2, 0)*IF(MOD($G142,10)=0, 10, MOD($G142, 10))*((INDEX(Factor!$X$4:$AC$13, _xlfn.XMATCH($G142, Factor!$X$4:$X$13, 1),2)*IF(MOD(G142, 10) = 0, 10, MOD(G142, 10)))+INDEX(Factor!$AE$4:$AJ$13, _xlfn.XMATCH(MonsterData!$G142, Factor!$AE$4:$AE$13, 1),2))</f>
        <v>72000</v>
      </c>
      <c r="V142" s="17" cm="1">
        <f t="array" ref="V142">M142*VLOOKUP($I142, Factor!$B$4:$G$8, 3, 0)*VLOOKUP($J142, Factor!$B$12:$G$13, 3, 0)*VLOOKUP($K142, Factor!$B$17:$G$18, 3, 0)*VLOOKUP($H142, Factor!$J$4:$O$7, 3, 0)*VLOOKUP($F142, Factor!$Q$4:$V$15, 3, 0)*IF(MOD($G142,10)=0, 10, MOD($G142, 10))*((INDEX(Factor!$X$4:$AC$13, _xlfn.XMATCH($G142, Factor!$X$4:$X$13, 1),3)*IF(MOD(G142, 10) = 0, 10, MOD(G142, 10)))+INDEX(Factor!$AE$4:$AJ$13, _xlfn.XMATCH(MonsterData!$G142, Factor!$AE$4:$AE$13, 1),3))</f>
        <v>3600</v>
      </c>
      <c r="W142" s="17" cm="1">
        <f t="array" ref="W142">N142*VLOOKUP($I142, Factor!$B$4:$G$8, 4, 0)*VLOOKUP($J142, Factor!$B$12:$G$13, 4, 0)*VLOOKUP($K142, Factor!$B$17:$G$18, 4, 0)*VLOOKUP($H142, Factor!$J$4:$O$7, 4, 0)*VLOOKUP($F142, Factor!$Q$4:$V$15, 4, 0)*IF(MOD($G142,10)=0, 10, MOD($G142, 10))*((INDEX(Factor!$X$4:$AC$13, _xlfn.XMATCH($G142, Factor!$X$4:$X$13, 1),4)*IF(MOD(G142, 10) = 0, 10, MOD(G142, 10)))+INDEX(Factor!$AE$4:$AJ$13, _xlfn.XMATCH(MonsterData!$G142, Factor!$AE$4:$AE$13, 1),4))</f>
        <v>180</v>
      </c>
      <c r="X142" s="17" cm="1">
        <f t="array" ref="X142">O142*VLOOKUP($I142, Factor!$B$4:$G$8, 5, 0)*VLOOKUP($J142, Factor!$B$12:$G$13, 5, 0)*VLOOKUP($K142, Factor!$B$17:$G$18, 5, 0)*VLOOKUP($H142, Factor!$J$4:$O$7, 5, 0)*VLOOKUP($F142, Factor!$Q$4:$V$15, 5, 0)*IF(MOD($G142,10)=0, 10, MOD($G142, 10))*((INDEX(Factor!$X$4:$AC$13, _xlfn.XMATCH($G142, Factor!$X$4:$X$13, 1),5)*IF(MOD(G142, 10) = 0, 10, MOD(G142, 10)))+INDEX(Factor!$AE$4:$AJ$13, _xlfn.XMATCH(MonsterData!$G142, Factor!$AE$4:$AE$13, 1),5))</f>
        <v>192</v>
      </c>
      <c r="Y142" s="17" cm="1">
        <f t="array" ref="Y142">P142*VLOOKUP($I142, Factor!$B$4:$G$8, 6, 0)*VLOOKUP($J142, Factor!$B$12:$G$13, 6, 0)*VLOOKUP($K142, Factor!$B$17:$G$18, 6, 0)*VLOOKUP($H142, Factor!$J$4:$O$7, 2, 0)*VLOOKUP($F142, Factor!$Q$4:$V$15, 6, 0)*IF(MOD($G142,10)=0, 10, MOD($G142, 10))*((INDEX(Factor!$X$4:$AC$13, _xlfn.XMATCH($G142, Factor!$X$4:$X$13, 1),6)*IF(MOD(G142, 10) = 0, 10, MOD(G142, 10)))+INDEX(Factor!$AE$4:$AJ$13, _xlfn.XMATCH(MonsterData!$G142, Factor!$AE$4:$AE$13, 1),6))</f>
        <v>384</v>
      </c>
      <c r="Z142" s="17">
        <f>$Q142*VLOOKUP($J142, Factor!$B$12:$H$13, 7, 0)</f>
        <v>1</v>
      </c>
      <c r="AA142" s="17">
        <v>1</v>
      </c>
      <c r="AB142" s="17">
        <f t="shared" si="9"/>
        <v>0</v>
      </c>
      <c r="AC142" s="17" t="s">
        <v>140</v>
      </c>
      <c r="AD142" s="19" t="s">
        <v>143</v>
      </c>
    </row>
    <row r="143" spans="1:30" ht="15.75" customHeight="1">
      <c r="A143" s="13" t="str">
        <f>T143&amp;"_"&amp;F143&amp;VLOOKUP($C143, Factor!$AM$4:$AY$30, 7, 0)&amp;IF(COUNTIFS($C$4:C142, C143, $F$4:F142, F143)+1&gt;=100, COUNTIFS($C$4:C142, C143, $F$4:F142, F143)+1,IF(COUNTIFS($C$4:C142, C143, $F$4:F142, F143)+1&gt;=10, "0"&amp;COUNTIFS($C$4:C142, C143, $F$4:F142, F143)+1, "00"&amp;COUNTIFS($C$4:C142, C143, $F$4:F142, F143)+1))</f>
        <v>enpc_F02_B_Banshee_006</v>
      </c>
      <c r="B143" s="13"/>
      <c r="C143" s="13" t="s">
        <v>42</v>
      </c>
      <c r="D143" s="21" t="str">
        <f t="shared" si="10"/>
        <v>밴시</v>
      </c>
      <c r="E143" s="21" t="str">
        <f>VLOOKUP($C143, Factor!$AM$4:$AY$30, 8, 0)</f>
        <v>S</v>
      </c>
      <c r="F143" s="21" t="s">
        <v>374</v>
      </c>
      <c r="G143" s="22">
        <v>35</v>
      </c>
      <c r="H143" s="13" t="s">
        <v>56</v>
      </c>
      <c r="I143" s="21" t="str">
        <f>VLOOKUP($C143, Factor!$AM$4:$AY$30, 11, 0)</f>
        <v>B</v>
      </c>
      <c r="J143" s="21" t="str">
        <f>VLOOKUP($C143, Factor!$AM$4:$AY$30, 12, 0)</f>
        <v>ra</v>
      </c>
      <c r="K143" s="21" t="str">
        <f>VLOOKUP($C143, Factor!$AM$4:$AY$30, 13, 0)</f>
        <v>L</v>
      </c>
      <c r="L143" s="13">
        <v>1</v>
      </c>
      <c r="M143" s="13">
        <v>1</v>
      </c>
      <c r="N143" s="13">
        <v>1</v>
      </c>
      <c r="O143" s="13">
        <v>1</v>
      </c>
      <c r="P143" s="13">
        <v>1</v>
      </c>
      <c r="Q143" s="13">
        <v>1</v>
      </c>
      <c r="R143" s="21" t="str">
        <f>VLOOKUP($C143, Factor!$AM$4:$AY$30, 9, 0)</f>
        <v>Midium</v>
      </c>
      <c r="S143" s="13" t="s">
        <v>410</v>
      </c>
      <c r="T143" s="21" t="str">
        <f>VLOOKUP($C143, Factor!$AM$4:$AY$30, 10, 0)</f>
        <v>enpc</v>
      </c>
      <c r="U143" s="21" cm="1">
        <f t="array" ref="U143">L143*VLOOKUP($I143, Factor!$B$4:$G$8, 2, 0)*VLOOKUP($J143, Factor!$B$12:$G$13, 2, 0)*VLOOKUP($K143, Factor!$B$17:$G$18, 2, 0)*VLOOKUP($H143, Factor!$J$4:$O$7, 2, 0)*VLOOKUP($F143, Factor!$Q$4:$V$15, 2, 0)*IF(MOD($G143,10)=0, 10, MOD($G143, 10))*((INDEX(Factor!$X$4:$AC$13, _xlfn.XMATCH($G143, Factor!$X$4:$X$13, 1),2)*IF(MOD(G143, 10) = 0, 10, MOD(G143, 10)))+INDEX(Factor!$AE$4:$AJ$13, _xlfn.XMATCH(MonsterData!$G143, Factor!$AE$4:$AE$13, 1),2))</f>
        <v>28800</v>
      </c>
      <c r="V143" s="21" cm="1">
        <f t="array" ref="V143">M143*VLOOKUP($I143, Factor!$B$4:$G$8, 3, 0)*VLOOKUP($J143, Factor!$B$12:$G$13, 3, 0)*VLOOKUP($K143, Factor!$B$17:$G$18, 3, 0)*VLOOKUP($H143, Factor!$J$4:$O$7, 3, 0)*VLOOKUP($F143, Factor!$Q$4:$V$15, 3, 0)*IF(MOD($G143,10)=0, 10, MOD($G143, 10))*((INDEX(Factor!$X$4:$AC$13, _xlfn.XMATCH($G143, Factor!$X$4:$X$13, 1),3)*IF(MOD(G143, 10) = 0, 10, MOD(G143, 10)))+INDEX(Factor!$AE$4:$AJ$13, _xlfn.XMATCH(MonsterData!$G143, Factor!$AE$4:$AE$13, 1),3))</f>
        <v>1440</v>
      </c>
      <c r="W143" s="21" cm="1">
        <f t="array" ref="W143">N143*VLOOKUP($I143, Factor!$B$4:$G$8, 4, 0)*VLOOKUP($J143, Factor!$B$12:$G$13, 4, 0)*VLOOKUP($K143, Factor!$B$17:$G$18, 4, 0)*VLOOKUP($H143, Factor!$J$4:$O$7, 4, 0)*VLOOKUP($F143, Factor!$Q$4:$V$15, 4, 0)*IF(MOD($G143,10)=0, 10, MOD($G143, 10))*((INDEX(Factor!$X$4:$AC$13, _xlfn.XMATCH($G143, Factor!$X$4:$X$13, 1),4)*IF(MOD(G143, 10) = 0, 10, MOD(G143, 10)))+INDEX(Factor!$AE$4:$AJ$13, _xlfn.XMATCH(MonsterData!$G143, Factor!$AE$4:$AE$13, 1),4))</f>
        <v>4320</v>
      </c>
      <c r="X143" s="21" cm="1">
        <f t="array" ref="X143">O143*VLOOKUP($I143, Factor!$B$4:$G$8, 5, 0)*VLOOKUP($J143, Factor!$B$12:$G$13, 5, 0)*VLOOKUP($K143, Factor!$B$17:$G$18, 5, 0)*VLOOKUP($H143, Factor!$J$4:$O$7, 5, 0)*VLOOKUP($F143, Factor!$Q$4:$V$15, 5, 0)*IF(MOD($G143,10)=0, 10, MOD($G143, 10))*((INDEX(Factor!$X$4:$AC$13, _xlfn.XMATCH($G143, Factor!$X$4:$X$13, 1),5)*IF(MOD(G143, 10) = 0, 10, MOD(G143, 10)))+INDEX(Factor!$AE$4:$AJ$13, _xlfn.XMATCH(MonsterData!$G143, Factor!$AE$4:$AE$13, 1),5))</f>
        <v>129.60000000000002</v>
      </c>
      <c r="Y143" s="21" cm="1">
        <f t="array" ref="Y143">P143*VLOOKUP($I143, Factor!$B$4:$G$8, 6, 0)*VLOOKUP($J143, Factor!$B$12:$G$13, 6, 0)*VLOOKUP($K143, Factor!$B$17:$G$18, 6, 0)*VLOOKUP($H143, Factor!$J$4:$O$7, 2, 0)*VLOOKUP($F143, Factor!$Q$4:$V$15, 6, 0)*IF(MOD($G143,10)=0, 10, MOD($G143, 10))*((INDEX(Factor!$X$4:$AC$13, _xlfn.XMATCH($G143, Factor!$X$4:$X$13, 1),6)*IF(MOD(G143, 10) = 0, 10, MOD(G143, 10)))+INDEX(Factor!$AE$4:$AJ$13, _xlfn.XMATCH(MonsterData!$G143, Factor!$AE$4:$AE$13, 1),6))</f>
        <v>192</v>
      </c>
      <c r="Z143" s="21">
        <f>$Q143*VLOOKUP($J143, Factor!$B$12:$H$13, 7, 0)</f>
        <v>4</v>
      </c>
      <c r="AA143" s="13">
        <v>1</v>
      </c>
      <c r="AB143" s="21">
        <f t="shared" si="9"/>
        <v>4</v>
      </c>
      <c r="AC143" s="13" t="s">
        <v>141</v>
      </c>
      <c r="AD143" s="15" t="s">
        <v>144</v>
      </c>
    </row>
    <row r="144" spans="1:30" ht="15.75" customHeight="1">
      <c r="A144" s="16" t="str">
        <f>T144&amp;"_"&amp;F144&amp;VLOOKUP($C144, Factor!$AM$4:$AY$30, 7, 0)&amp;IF(COUNTIFS($C$4:C143, C144, $F$4:F143, F144)+1&gt;=100, COUNTIFS($C$4:C143, C144, $F$4:F143, F144)+1,IF(COUNTIFS($C$4:C143, C144, $F$4:F143, F144)+1&gt;=10, "0"&amp;COUNTIFS($C$4:C143, C144, $F$4:F143, F144)+1, "00"&amp;COUNTIFS($C$4:C143, C144, $F$4:F143, F144)+1))</f>
        <v>enpc_F02_A_Scarab_006</v>
      </c>
      <c r="B144" s="16"/>
      <c r="C144" s="16" t="s">
        <v>353</v>
      </c>
      <c r="D144" s="17" t="str">
        <f t="shared" si="10"/>
        <v>스캐럽</v>
      </c>
      <c r="E144" s="17" t="str">
        <f>VLOOKUP($C144, Factor!$AM$4:$AY$30, 8, 0)</f>
        <v>S</v>
      </c>
      <c r="F144" s="17" t="s">
        <v>374</v>
      </c>
      <c r="G144" s="20">
        <v>21</v>
      </c>
      <c r="H144" s="16" t="s">
        <v>55</v>
      </c>
      <c r="I144" s="17" t="str">
        <f>VLOOKUP($C144, Factor!$AM$4:$AY$30, 11, 0)</f>
        <v>A</v>
      </c>
      <c r="J144" s="17" t="str">
        <f>VLOOKUP($C144, Factor!$AM$4:$AY$30, 12, 0)</f>
        <v>ml</v>
      </c>
      <c r="K144" s="17" t="str">
        <f>VLOOKUP($C144, Factor!$AM$4:$AY$30, 13, 0)</f>
        <v>L</v>
      </c>
      <c r="L144" s="17">
        <v>1</v>
      </c>
      <c r="M144" s="17">
        <v>1</v>
      </c>
      <c r="N144" s="17">
        <v>1</v>
      </c>
      <c r="O144" s="17">
        <v>1</v>
      </c>
      <c r="P144" s="17">
        <v>1</v>
      </c>
      <c r="Q144" s="17">
        <v>1</v>
      </c>
      <c r="R144" s="17" t="str">
        <f>VLOOKUP($C144, Factor!$AM$4:$AY$30, 9, 0)</f>
        <v>Midium</v>
      </c>
      <c r="S144" s="17" t="s">
        <v>399</v>
      </c>
      <c r="T144" s="17" t="str">
        <f>VLOOKUP($C144, Factor!$AM$4:$AY$30, 10, 0)</f>
        <v>enpc</v>
      </c>
      <c r="U144" s="17" cm="1">
        <f t="array" ref="U144">L144*VLOOKUP($I144, Factor!$B$4:$G$8, 2, 0)*VLOOKUP($J144, Factor!$B$12:$G$13, 2, 0)*VLOOKUP($K144, Factor!$B$17:$G$18, 2, 0)*VLOOKUP($H144, Factor!$J$4:$O$7, 2, 0)*VLOOKUP($F144, Factor!$Q$4:$V$15, 2, 0)*IF(MOD($G144,10)=0, 10, MOD($G144, 10))*((INDEX(Factor!$X$4:$AC$13, _xlfn.XMATCH($G144, Factor!$X$4:$X$13, 1),2)*IF(MOD(G144, 10) = 0, 10, MOD(G144, 10)))+INDEX(Factor!$AE$4:$AJ$13, _xlfn.XMATCH(MonsterData!$G144, Factor!$AE$4:$AE$13, 1),2))</f>
        <v>594</v>
      </c>
      <c r="V144" s="17" cm="1">
        <f t="array" ref="V144">M144*VLOOKUP($I144, Factor!$B$4:$G$8, 3, 0)*VLOOKUP($J144, Factor!$B$12:$G$13, 3, 0)*VLOOKUP($K144, Factor!$B$17:$G$18, 3, 0)*VLOOKUP($H144, Factor!$J$4:$O$7, 3, 0)*VLOOKUP($F144, Factor!$Q$4:$V$15, 3, 0)*IF(MOD($G144,10)=0, 10, MOD($G144, 10))*((INDEX(Factor!$X$4:$AC$13, _xlfn.XMATCH($G144, Factor!$X$4:$X$13, 1),3)*IF(MOD(G144, 10) = 0, 10, MOD(G144, 10)))+INDEX(Factor!$AE$4:$AJ$13, _xlfn.XMATCH(MonsterData!$G144, Factor!$AE$4:$AE$13, 1),3))</f>
        <v>29.7</v>
      </c>
      <c r="W144" s="17" cm="1">
        <f t="array" ref="W144">N144*VLOOKUP($I144, Factor!$B$4:$G$8, 4, 0)*VLOOKUP($J144, Factor!$B$12:$G$13, 4, 0)*VLOOKUP($K144, Factor!$B$17:$G$18, 4, 0)*VLOOKUP($H144, Factor!$J$4:$O$7, 4, 0)*VLOOKUP($F144, Factor!$Q$4:$V$15, 4, 0)*IF(MOD($G144,10)=0, 10, MOD($G144, 10))*((INDEX(Factor!$X$4:$AC$13, _xlfn.XMATCH($G144, Factor!$X$4:$X$13, 1),4)*IF(MOD(G144, 10) = 0, 10, MOD(G144, 10)))+INDEX(Factor!$AE$4:$AJ$13, _xlfn.XMATCH(MonsterData!$G144, Factor!$AE$4:$AE$13, 1),4))</f>
        <v>17.819999999999997</v>
      </c>
      <c r="X144" s="17" cm="1">
        <f t="array" ref="X144">O144*VLOOKUP($I144, Factor!$B$4:$G$8, 5, 0)*VLOOKUP($J144, Factor!$B$12:$G$13, 5, 0)*VLOOKUP($K144, Factor!$B$17:$G$18, 5, 0)*VLOOKUP($H144, Factor!$J$4:$O$7, 5, 0)*VLOOKUP($F144, Factor!$Q$4:$V$15, 5, 0)*IF(MOD($G144,10)=0, 10, MOD($G144, 10))*((INDEX(Factor!$X$4:$AC$13, _xlfn.XMATCH($G144, Factor!$X$4:$X$13, 1),5)*IF(MOD(G144, 10) = 0, 10, MOD(G144, 10)))+INDEX(Factor!$AE$4:$AJ$13, _xlfn.XMATCH(MonsterData!$G144, Factor!$AE$4:$AE$13, 1),5))</f>
        <v>3.9599999999999995</v>
      </c>
      <c r="Y144" s="17" cm="1">
        <f t="array" ref="Y144">P144*VLOOKUP($I144, Factor!$B$4:$G$8, 6, 0)*VLOOKUP($J144, Factor!$B$12:$G$13, 6, 0)*VLOOKUP($K144, Factor!$B$17:$G$18, 6, 0)*VLOOKUP($H144, Factor!$J$4:$O$7, 2, 0)*VLOOKUP($F144, Factor!$Q$4:$V$15, 6, 0)*IF(MOD($G144,10)=0, 10, MOD($G144, 10))*((INDEX(Factor!$X$4:$AC$13, _xlfn.XMATCH($G144, Factor!$X$4:$X$13, 1),6)*IF(MOD(G144, 10) = 0, 10, MOD(G144, 10)))+INDEX(Factor!$AE$4:$AJ$13, _xlfn.XMATCH(MonsterData!$G144, Factor!$AE$4:$AE$13, 1),6))</f>
        <v>19.799999999999997</v>
      </c>
      <c r="Z144" s="17">
        <f>$Q144*VLOOKUP($J144, Factor!$B$12:$H$13, 7, 0)</f>
        <v>1</v>
      </c>
      <c r="AA144" s="17">
        <v>1</v>
      </c>
      <c r="AB144" s="17">
        <f t="shared" si="9"/>
        <v>0</v>
      </c>
      <c r="AC144" s="17" t="s">
        <v>139</v>
      </c>
      <c r="AD144" s="19" t="s">
        <v>387</v>
      </c>
    </row>
    <row r="145" spans="1:30" ht="15.75" customHeight="1">
      <c r="A145" s="13" t="str">
        <f>T145&amp;"_"&amp;F145&amp;VLOOKUP($C145, Factor!$AM$4:$AY$30, 7, 0)&amp;IF(COUNTIFS($C$4:C144, C145, $F$4:F144, F145)+1&gt;=100, COUNTIFS($C$4:C144, C145, $F$4:F144, F145)+1,IF(COUNTIFS($C$4:C144, C145, $F$4:F144, F145)+1&gt;=10, "0"&amp;COUNTIFS($C$4:C144, C145, $F$4:F144, F145)+1, "00"&amp;COUNTIFS($C$4:C144, C145, $F$4:F144, F145)+1))</f>
        <v>enpc_F02_A_Swarmlet_006</v>
      </c>
      <c r="B145" s="13"/>
      <c r="C145" s="13" t="s">
        <v>355</v>
      </c>
      <c r="D145" s="21" t="str">
        <f t="shared" si="10"/>
        <v>스웜렛</v>
      </c>
      <c r="E145" s="21" t="str">
        <f>VLOOKUP($C145, Factor!$AM$4:$AY$30, 8, 0)</f>
        <v>B</v>
      </c>
      <c r="F145" s="21" t="s">
        <v>374</v>
      </c>
      <c r="G145" s="22">
        <v>21</v>
      </c>
      <c r="H145" s="13" t="s">
        <v>56</v>
      </c>
      <c r="I145" s="21" t="str">
        <f>VLOOKUP($C145, Factor!$AM$4:$AY$30, 11, 0)</f>
        <v>A</v>
      </c>
      <c r="J145" s="21" t="str">
        <f>VLOOKUP($C145, Factor!$AM$4:$AY$30, 12, 0)</f>
        <v>ml</v>
      </c>
      <c r="K145" s="21" t="str">
        <f>VLOOKUP($C145, Factor!$AM$4:$AY$30, 13, 0)</f>
        <v>L</v>
      </c>
      <c r="L145" s="13">
        <v>1</v>
      </c>
      <c r="M145" s="13">
        <v>1</v>
      </c>
      <c r="N145" s="13">
        <v>1</v>
      </c>
      <c r="O145" s="13">
        <v>1</v>
      </c>
      <c r="P145" s="13">
        <v>1</v>
      </c>
      <c r="Q145" s="13">
        <v>1</v>
      </c>
      <c r="R145" s="21" t="str">
        <f>VLOOKUP($C145, Factor!$AM$4:$AY$30, 9, 0)</f>
        <v>Small</v>
      </c>
      <c r="S145" s="13" t="s">
        <v>405</v>
      </c>
      <c r="T145" s="21" t="str">
        <f>VLOOKUP($C145, Factor!$AM$4:$AY$30, 10, 0)</f>
        <v>enpc</v>
      </c>
      <c r="U145" s="21" cm="1">
        <f t="array" ref="U145">L145*VLOOKUP($I145, Factor!$B$4:$G$8, 2, 0)*VLOOKUP($J145, Factor!$B$12:$G$13, 2, 0)*VLOOKUP($K145, Factor!$B$17:$G$18, 2, 0)*VLOOKUP($H145, Factor!$J$4:$O$7, 2, 0)*VLOOKUP($F145, Factor!$Q$4:$V$15, 2, 0)*IF(MOD($G145,10)=0, 10, MOD($G145, 10))*((INDEX(Factor!$X$4:$AC$13, _xlfn.XMATCH($G145, Factor!$X$4:$X$13, 1),2)*IF(MOD(G145, 10) = 0, 10, MOD(G145, 10)))+INDEX(Factor!$AE$4:$AJ$13, _xlfn.XMATCH(MonsterData!$G145, Factor!$AE$4:$AE$13, 1),2))</f>
        <v>594</v>
      </c>
      <c r="V145" s="21" cm="1">
        <f t="array" ref="V145">M145*VLOOKUP($I145, Factor!$B$4:$G$8, 3, 0)*VLOOKUP($J145, Factor!$B$12:$G$13, 3, 0)*VLOOKUP($K145, Factor!$B$17:$G$18, 3, 0)*VLOOKUP($H145, Factor!$J$4:$O$7, 3, 0)*VLOOKUP($F145, Factor!$Q$4:$V$15, 3, 0)*IF(MOD($G145,10)=0, 10, MOD($G145, 10))*((INDEX(Factor!$X$4:$AC$13, _xlfn.XMATCH($G145, Factor!$X$4:$X$13, 1),3)*IF(MOD(G145, 10) = 0, 10, MOD(G145, 10)))+INDEX(Factor!$AE$4:$AJ$13, _xlfn.XMATCH(MonsterData!$G145, Factor!$AE$4:$AE$13, 1),3))</f>
        <v>29.7</v>
      </c>
      <c r="W145" s="21" cm="1">
        <f t="array" ref="W145">N145*VLOOKUP($I145, Factor!$B$4:$G$8, 4, 0)*VLOOKUP($J145, Factor!$B$12:$G$13, 4, 0)*VLOOKUP($K145, Factor!$B$17:$G$18, 4, 0)*VLOOKUP($H145, Factor!$J$4:$O$7, 4, 0)*VLOOKUP($F145, Factor!$Q$4:$V$15, 4, 0)*IF(MOD($G145,10)=0, 10, MOD($G145, 10))*((INDEX(Factor!$X$4:$AC$13, _xlfn.XMATCH($G145, Factor!$X$4:$X$13, 1),4)*IF(MOD(G145, 10) = 0, 10, MOD(G145, 10)))+INDEX(Factor!$AE$4:$AJ$13, _xlfn.XMATCH(MonsterData!$G145, Factor!$AE$4:$AE$13, 1),4))</f>
        <v>35.639999999999993</v>
      </c>
      <c r="X145" s="21" cm="1">
        <f t="array" ref="X145">O145*VLOOKUP($I145, Factor!$B$4:$G$8, 5, 0)*VLOOKUP($J145, Factor!$B$12:$G$13, 5, 0)*VLOOKUP($K145, Factor!$B$17:$G$18, 5, 0)*VLOOKUP($H145, Factor!$J$4:$O$7, 5, 0)*VLOOKUP($F145, Factor!$Q$4:$V$15, 5, 0)*IF(MOD($G145,10)=0, 10, MOD($G145, 10))*((INDEX(Factor!$X$4:$AC$13, _xlfn.XMATCH($G145, Factor!$X$4:$X$13, 1),5)*IF(MOD(G145, 10) = 0, 10, MOD(G145, 10)))+INDEX(Factor!$AE$4:$AJ$13, _xlfn.XMATCH(MonsterData!$G145, Factor!$AE$4:$AE$13, 1),5))</f>
        <v>3.5640000000000001</v>
      </c>
      <c r="Y145" s="21" cm="1">
        <f t="array" ref="Y145">P145*VLOOKUP($I145, Factor!$B$4:$G$8, 6, 0)*VLOOKUP($J145, Factor!$B$12:$G$13, 6, 0)*VLOOKUP($K145, Factor!$B$17:$G$18, 6, 0)*VLOOKUP($H145, Factor!$J$4:$O$7, 2, 0)*VLOOKUP($F145, Factor!$Q$4:$V$15, 6, 0)*IF(MOD($G145,10)=0, 10, MOD($G145, 10))*((INDEX(Factor!$X$4:$AC$13, _xlfn.XMATCH($G145, Factor!$X$4:$X$13, 1),6)*IF(MOD(G145, 10) = 0, 10, MOD(G145, 10)))+INDEX(Factor!$AE$4:$AJ$13, _xlfn.XMATCH(MonsterData!$G145, Factor!$AE$4:$AE$13, 1),6))</f>
        <v>19.799999999999997</v>
      </c>
      <c r="Z145" s="21">
        <f>$Q145*VLOOKUP($J145, Factor!$B$12:$H$13, 7, 0)</f>
        <v>1</v>
      </c>
      <c r="AA145" s="13">
        <v>1</v>
      </c>
      <c r="AB145" s="21">
        <f t="shared" si="9"/>
        <v>0</v>
      </c>
      <c r="AC145" s="13" t="s">
        <v>139</v>
      </c>
      <c r="AD145" s="15" t="s">
        <v>387</v>
      </c>
    </row>
    <row r="146" spans="1:30" ht="15.75" customHeight="1">
      <c r="A146" s="16" t="str">
        <f>T146&amp;"_"&amp;F146&amp;VLOOKUP($C146, Factor!$AM$4:$AY$30, 7, 0)&amp;IF(COUNTIFS($C$4:C145, C146, $F$4:F145, F146)+1&gt;=100, COUNTIFS($C$4:C145, C146, $F$4:F145, F146)+1,IF(COUNTIFS($C$4:C145, C146, $F$4:F145, F146)+1&gt;=10, "0"&amp;COUNTIFS($C$4:C145, C146, $F$4:F145, F146)+1, "00"&amp;COUNTIFS($C$4:C145, C146, $F$4:F145, F146)+1))</f>
        <v>enpc_F02_A_Mantis_006</v>
      </c>
      <c r="B146" s="16"/>
      <c r="C146" s="16" t="s">
        <v>357</v>
      </c>
      <c r="D146" s="17" t="str">
        <f t="shared" si="10"/>
        <v>맨티스</v>
      </c>
      <c r="E146" s="17" t="str">
        <f>VLOOKUP($C146, Factor!$AM$4:$AY$30, 8, 0)</f>
        <v>S</v>
      </c>
      <c r="F146" s="17" t="s">
        <v>374</v>
      </c>
      <c r="G146" s="20">
        <v>21</v>
      </c>
      <c r="H146" s="16" t="s">
        <v>55</v>
      </c>
      <c r="I146" s="17" t="str">
        <f>VLOOKUP($C146, Factor!$AM$4:$AY$30, 11, 0)</f>
        <v>A</v>
      </c>
      <c r="J146" s="17" t="str">
        <f>VLOOKUP($C146, Factor!$AM$4:$AY$30, 12, 0)</f>
        <v>ml</v>
      </c>
      <c r="K146" s="17" t="str">
        <f>VLOOKUP($C146, Factor!$AM$4:$AY$30, 13, 0)</f>
        <v>L</v>
      </c>
      <c r="L146" s="17">
        <v>1</v>
      </c>
      <c r="M146" s="17">
        <v>1</v>
      </c>
      <c r="N146" s="17">
        <v>1</v>
      </c>
      <c r="O146" s="17">
        <v>1</v>
      </c>
      <c r="P146" s="17">
        <v>1</v>
      </c>
      <c r="Q146" s="17">
        <v>1</v>
      </c>
      <c r="R146" s="17" t="str">
        <f>VLOOKUP($C146, Factor!$AM$4:$AY$30, 9, 0)</f>
        <v>Small</v>
      </c>
      <c r="S146" s="17" t="s">
        <v>400</v>
      </c>
      <c r="T146" s="17" t="str">
        <f>VLOOKUP($C146, Factor!$AM$4:$AY$30, 10, 0)</f>
        <v>enpc</v>
      </c>
      <c r="U146" s="17" cm="1">
        <f t="array" ref="U146">L146*VLOOKUP($I146, Factor!$B$4:$G$8, 2, 0)*VLOOKUP($J146, Factor!$B$12:$G$13, 2, 0)*VLOOKUP($K146, Factor!$B$17:$G$18, 2, 0)*VLOOKUP($H146, Factor!$J$4:$O$7, 2, 0)*VLOOKUP($F146, Factor!$Q$4:$V$15, 2, 0)*IF(MOD($G146,10)=0, 10, MOD($G146, 10))*((INDEX(Factor!$X$4:$AC$13, _xlfn.XMATCH($G146, Factor!$X$4:$X$13, 1),2)*IF(MOD(G146, 10) = 0, 10, MOD(G146, 10)))+INDEX(Factor!$AE$4:$AJ$13, _xlfn.XMATCH(MonsterData!$G146, Factor!$AE$4:$AE$13, 1),2))</f>
        <v>594</v>
      </c>
      <c r="V146" s="17" cm="1">
        <f t="array" ref="V146">M146*VLOOKUP($I146, Factor!$B$4:$G$8, 3, 0)*VLOOKUP($J146, Factor!$B$12:$G$13, 3, 0)*VLOOKUP($K146, Factor!$B$17:$G$18, 3, 0)*VLOOKUP($H146, Factor!$J$4:$O$7, 3, 0)*VLOOKUP($F146, Factor!$Q$4:$V$15, 3, 0)*IF(MOD($G146,10)=0, 10, MOD($G146, 10))*((INDEX(Factor!$X$4:$AC$13, _xlfn.XMATCH($G146, Factor!$X$4:$X$13, 1),3)*IF(MOD(G146, 10) = 0, 10, MOD(G146, 10)))+INDEX(Factor!$AE$4:$AJ$13, _xlfn.XMATCH(MonsterData!$G146, Factor!$AE$4:$AE$13, 1),3))</f>
        <v>29.7</v>
      </c>
      <c r="W146" s="17" cm="1">
        <f t="array" ref="W146">N146*VLOOKUP($I146, Factor!$B$4:$G$8, 4, 0)*VLOOKUP($J146, Factor!$B$12:$G$13, 4, 0)*VLOOKUP($K146, Factor!$B$17:$G$18, 4, 0)*VLOOKUP($H146, Factor!$J$4:$O$7, 4, 0)*VLOOKUP($F146, Factor!$Q$4:$V$15, 4, 0)*IF(MOD($G146,10)=0, 10, MOD($G146, 10))*((INDEX(Factor!$X$4:$AC$13, _xlfn.XMATCH($G146, Factor!$X$4:$X$13, 1),4)*IF(MOD(G146, 10) = 0, 10, MOD(G146, 10)))+INDEX(Factor!$AE$4:$AJ$13, _xlfn.XMATCH(MonsterData!$G146, Factor!$AE$4:$AE$13, 1),4))</f>
        <v>17.819999999999997</v>
      </c>
      <c r="X146" s="17" cm="1">
        <f t="array" ref="X146">O146*VLOOKUP($I146, Factor!$B$4:$G$8, 5, 0)*VLOOKUP($J146, Factor!$B$12:$G$13, 5, 0)*VLOOKUP($K146, Factor!$B$17:$G$18, 5, 0)*VLOOKUP($H146, Factor!$J$4:$O$7, 5, 0)*VLOOKUP($F146, Factor!$Q$4:$V$15, 5, 0)*IF(MOD($G146,10)=0, 10, MOD($G146, 10))*((INDEX(Factor!$X$4:$AC$13, _xlfn.XMATCH($G146, Factor!$X$4:$X$13, 1),5)*IF(MOD(G146, 10) = 0, 10, MOD(G146, 10)))+INDEX(Factor!$AE$4:$AJ$13, _xlfn.XMATCH(MonsterData!$G146, Factor!$AE$4:$AE$13, 1),5))</f>
        <v>3.9599999999999995</v>
      </c>
      <c r="Y146" s="17" cm="1">
        <f t="array" ref="Y146">P146*VLOOKUP($I146, Factor!$B$4:$G$8, 6, 0)*VLOOKUP($J146, Factor!$B$12:$G$13, 6, 0)*VLOOKUP($K146, Factor!$B$17:$G$18, 6, 0)*VLOOKUP($H146, Factor!$J$4:$O$7, 2, 0)*VLOOKUP($F146, Factor!$Q$4:$V$15, 6, 0)*IF(MOD($G146,10)=0, 10, MOD($G146, 10))*((INDEX(Factor!$X$4:$AC$13, _xlfn.XMATCH($G146, Factor!$X$4:$X$13, 1),6)*IF(MOD(G146, 10) = 0, 10, MOD(G146, 10)))+INDEX(Factor!$AE$4:$AJ$13, _xlfn.XMATCH(MonsterData!$G146, Factor!$AE$4:$AE$13, 1),6))</f>
        <v>19.799999999999997</v>
      </c>
      <c r="Z146" s="17">
        <f>$Q146*VLOOKUP($J146, Factor!$B$12:$H$13, 7, 0)</f>
        <v>1</v>
      </c>
      <c r="AA146" s="17">
        <v>1</v>
      </c>
      <c r="AB146" s="17">
        <f t="shared" si="9"/>
        <v>0</v>
      </c>
      <c r="AC146" s="17" t="s">
        <v>139</v>
      </c>
      <c r="AD146" s="19" t="s">
        <v>387</v>
      </c>
    </row>
    <row r="147" spans="1:30" ht="15.75" customHeight="1">
      <c r="A147" s="13" t="str">
        <f>T147&amp;"_"&amp;F147&amp;VLOOKUP($C147, Factor!$AM$4:$AY$30, 7, 0)&amp;IF(COUNTIFS($C$4:C146, C147, $F$4:F146, F147)+1&gt;=100, COUNTIFS($C$4:C146, C147, $F$4:F146, F147)+1,IF(COUNTIFS($C$4:C146, C147, $F$4:F146, F147)+1&gt;=10, "0"&amp;COUNTIFS($C$4:C146, C147, $F$4:F146, F147)+1, "00"&amp;COUNTIFS($C$4:C146, C147, $F$4:F146, F147)+1))</f>
        <v>enpc_F02_B_Kobold_006</v>
      </c>
      <c r="B147" s="13"/>
      <c r="C147" s="13" t="s">
        <v>359</v>
      </c>
      <c r="D147" s="21" t="str">
        <f t="shared" si="10"/>
        <v>코볼트</v>
      </c>
      <c r="E147" s="21" t="str">
        <f>VLOOKUP($C147, Factor!$AM$4:$AY$30, 8, 0)</f>
        <v>M</v>
      </c>
      <c r="F147" s="21" t="s">
        <v>374</v>
      </c>
      <c r="G147" s="22">
        <v>35</v>
      </c>
      <c r="H147" s="13" t="s">
        <v>56</v>
      </c>
      <c r="I147" s="21" t="str">
        <f>VLOOKUP($C147, Factor!$AM$4:$AY$30, 11, 0)</f>
        <v>B</v>
      </c>
      <c r="J147" s="21" t="str">
        <f>VLOOKUP($C147, Factor!$AM$4:$AY$30, 12, 0)</f>
        <v>ml</v>
      </c>
      <c r="K147" s="21" t="str">
        <f>VLOOKUP($C147, Factor!$AM$4:$AY$30, 13, 0)</f>
        <v>L</v>
      </c>
      <c r="L147" s="13">
        <v>1</v>
      </c>
      <c r="M147" s="13">
        <v>1</v>
      </c>
      <c r="N147" s="13">
        <v>1</v>
      </c>
      <c r="O147" s="13">
        <v>1</v>
      </c>
      <c r="P147" s="13">
        <v>1</v>
      </c>
      <c r="Q147" s="13">
        <v>1</v>
      </c>
      <c r="R147" s="21" t="str">
        <f>VLOOKUP($C147, Factor!$AM$4:$AY$30, 9, 0)</f>
        <v>Small</v>
      </c>
      <c r="S147" s="13" t="s">
        <v>406</v>
      </c>
      <c r="T147" s="21" t="str">
        <f>VLOOKUP($C147, Factor!$AM$4:$AY$30, 10, 0)</f>
        <v>enpc</v>
      </c>
      <c r="U147" s="21" cm="1">
        <f t="array" ref="U147">L147*VLOOKUP($I147, Factor!$B$4:$G$8, 2, 0)*VLOOKUP($J147, Factor!$B$12:$G$13, 2, 0)*VLOOKUP($K147, Factor!$B$17:$G$18, 2, 0)*VLOOKUP($H147, Factor!$J$4:$O$7, 2, 0)*VLOOKUP($F147, Factor!$Q$4:$V$15, 2, 0)*IF(MOD($G147,10)=0, 10, MOD($G147, 10))*((INDEX(Factor!$X$4:$AC$13, _xlfn.XMATCH($G147, Factor!$X$4:$X$13, 1),2)*IF(MOD(G147, 10) = 0, 10, MOD(G147, 10)))+INDEX(Factor!$AE$4:$AJ$13, _xlfn.XMATCH(MonsterData!$G147, Factor!$AE$4:$AE$13, 1),2))</f>
        <v>36000</v>
      </c>
      <c r="V147" s="21" cm="1">
        <f t="array" ref="V147">M147*VLOOKUP($I147, Factor!$B$4:$G$8, 3, 0)*VLOOKUP($J147, Factor!$B$12:$G$13, 3, 0)*VLOOKUP($K147, Factor!$B$17:$G$18, 3, 0)*VLOOKUP($H147, Factor!$J$4:$O$7, 3, 0)*VLOOKUP($F147, Factor!$Q$4:$V$15, 3, 0)*IF(MOD($G147,10)=0, 10, MOD($G147, 10))*((INDEX(Factor!$X$4:$AC$13, _xlfn.XMATCH($G147, Factor!$X$4:$X$13, 1),3)*IF(MOD(G147, 10) = 0, 10, MOD(G147, 10)))+INDEX(Factor!$AE$4:$AJ$13, _xlfn.XMATCH(MonsterData!$G147, Factor!$AE$4:$AE$13, 1),3))</f>
        <v>1800</v>
      </c>
      <c r="W147" s="21" cm="1">
        <f t="array" ref="W147">N147*VLOOKUP($I147, Factor!$B$4:$G$8, 4, 0)*VLOOKUP($J147, Factor!$B$12:$G$13, 4, 0)*VLOOKUP($K147, Factor!$B$17:$G$18, 4, 0)*VLOOKUP($H147, Factor!$J$4:$O$7, 4, 0)*VLOOKUP($F147, Factor!$Q$4:$V$15, 4, 0)*IF(MOD($G147,10)=0, 10, MOD($G147, 10))*((INDEX(Factor!$X$4:$AC$13, _xlfn.XMATCH($G147, Factor!$X$4:$X$13, 1),4)*IF(MOD(G147, 10) = 0, 10, MOD(G147, 10)))+INDEX(Factor!$AE$4:$AJ$13, _xlfn.XMATCH(MonsterData!$G147, Factor!$AE$4:$AE$13, 1),4))</f>
        <v>3600</v>
      </c>
      <c r="X147" s="21" cm="1">
        <f t="array" ref="X147">O147*VLOOKUP($I147, Factor!$B$4:$G$8, 5, 0)*VLOOKUP($J147, Factor!$B$12:$G$13, 5, 0)*VLOOKUP($K147, Factor!$B$17:$G$18, 5, 0)*VLOOKUP($H147, Factor!$J$4:$O$7, 5, 0)*VLOOKUP($F147, Factor!$Q$4:$V$15, 5, 0)*IF(MOD($G147,10)=0, 10, MOD($G147, 10))*((INDEX(Factor!$X$4:$AC$13, _xlfn.XMATCH($G147, Factor!$X$4:$X$13, 1),5)*IF(MOD(G147, 10) = 0, 10, MOD(G147, 10)))+INDEX(Factor!$AE$4:$AJ$13, _xlfn.XMATCH(MonsterData!$G147, Factor!$AE$4:$AE$13, 1),5))</f>
        <v>86.4</v>
      </c>
      <c r="Y147" s="21" cm="1">
        <f t="array" ref="Y147">P147*VLOOKUP($I147, Factor!$B$4:$G$8, 6, 0)*VLOOKUP($J147, Factor!$B$12:$G$13, 6, 0)*VLOOKUP($K147, Factor!$B$17:$G$18, 6, 0)*VLOOKUP($H147, Factor!$J$4:$O$7, 2, 0)*VLOOKUP($F147, Factor!$Q$4:$V$15, 6, 0)*IF(MOD($G147,10)=0, 10, MOD($G147, 10))*((INDEX(Factor!$X$4:$AC$13, _xlfn.XMATCH($G147, Factor!$X$4:$X$13, 1),6)*IF(MOD(G147, 10) = 0, 10, MOD(G147, 10)))+INDEX(Factor!$AE$4:$AJ$13, _xlfn.XMATCH(MonsterData!$G147, Factor!$AE$4:$AE$13, 1),6))</f>
        <v>192</v>
      </c>
      <c r="Z147" s="21">
        <f>$Q147*VLOOKUP($J147, Factor!$B$12:$H$13, 7, 0)</f>
        <v>1</v>
      </c>
      <c r="AA147" s="13">
        <v>1</v>
      </c>
      <c r="AB147" s="21">
        <f t="shared" si="9"/>
        <v>0</v>
      </c>
      <c r="AC147" s="13" t="s">
        <v>393</v>
      </c>
      <c r="AD147" s="15" t="s">
        <v>388</v>
      </c>
    </row>
    <row r="148" spans="1:30" ht="15.75" customHeight="1">
      <c r="A148" s="16" t="str">
        <f>T148&amp;"_"&amp;F148&amp;VLOOKUP($C148, Factor!$AM$4:$AY$30, 7, 0)&amp;IF(COUNTIFS($C$4:C147, C148, $F$4:F147, F148)+1&gt;=100, COUNTIFS($C$4:C147, C148, $F$4:F147, F148)+1,IF(COUNTIFS($C$4:C147, C148, $F$4:F147, F148)+1&gt;=10, "0"&amp;COUNTIFS($C$4:C147, C148, $F$4:F147, F148)+1, "00"&amp;COUNTIFS($C$4:C147, C148, $F$4:F147, F148)+1))</f>
        <v>enpc_F02_B_Ghoul_006</v>
      </c>
      <c r="B148" s="16"/>
      <c r="C148" s="16" t="s">
        <v>361</v>
      </c>
      <c r="D148" s="17" t="str">
        <f t="shared" si="10"/>
        <v>구울</v>
      </c>
      <c r="E148" s="17" t="str">
        <f>VLOOKUP($C148, Factor!$AM$4:$AY$30, 8, 0)</f>
        <v>M</v>
      </c>
      <c r="F148" s="17" t="s">
        <v>374</v>
      </c>
      <c r="G148" s="20">
        <v>35</v>
      </c>
      <c r="H148" s="16" t="s">
        <v>55</v>
      </c>
      <c r="I148" s="17" t="str">
        <f>VLOOKUP($C148, Factor!$AM$4:$AY$30, 11, 0)</f>
        <v>B</v>
      </c>
      <c r="J148" s="17" t="str">
        <f>VLOOKUP($C148, Factor!$AM$4:$AY$30, 12, 0)</f>
        <v>ml</v>
      </c>
      <c r="K148" s="17" t="str">
        <f>VLOOKUP($C148, Factor!$AM$4:$AY$30, 13, 0)</f>
        <v>L</v>
      </c>
      <c r="L148" s="17">
        <v>1</v>
      </c>
      <c r="M148" s="17">
        <v>1</v>
      </c>
      <c r="N148" s="17">
        <v>1</v>
      </c>
      <c r="O148" s="17">
        <v>1</v>
      </c>
      <c r="P148" s="17">
        <v>1</v>
      </c>
      <c r="Q148" s="17">
        <v>1</v>
      </c>
      <c r="R148" s="17" t="str">
        <f>VLOOKUP($C148, Factor!$AM$4:$AY$30, 9, 0)</f>
        <v>Midium</v>
      </c>
      <c r="S148" s="17" t="s">
        <v>401</v>
      </c>
      <c r="T148" s="17" t="str">
        <f>VLOOKUP($C148, Factor!$AM$4:$AY$30, 10, 0)</f>
        <v>enpc</v>
      </c>
      <c r="U148" s="17" cm="1">
        <f t="array" ref="U148">L148*VLOOKUP($I148, Factor!$B$4:$G$8, 2, 0)*VLOOKUP($J148, Factor!$B$12:$G$13, 2, 0)*VLOOKUP($K148, Factor!$B$17:$G$18, 2, 0)*VLOOKUP($H148, Factor!$J$4:$O$7, 2, 0)*VLOOKUP($F148, Factor!$Q$4:$V$15, 2, 0)*IF(MOD($G148,10)=0, 10, MOD($G148, 10))*((INDEX(Factor!$X$4:$AC$13, _xlfn.XMATCH($G148, Factor!$X$4:$X$13, 1),2)*IF(MOD(G148, 10) = 0, 10, MOD(G148, 10)))+INDEX(Factor!$AE$4:$AJ$13, _xlfn.XMATCH(MonsterData!$G148, Factor!$AE$4:$AE$13, 1),2))</f>
        <v>36000</v>
      </c>
      <c r="V148" s="17" cm="1">
        <f t="array" ref="V148">M148*VLOOKUP($I148, Factor!$B$4:$G$8, 3, 0)*VLOOKUP($J148, Factor!$B$12:$G$13, 3, 0)*VLOOKUP($K148, Factor!$B$17:$G$18, 3, 0)*VLOOKUP($H148, Factor!$J$4:$O$7, 3, 0)*VLOOKUP($F148, Factor!$Q$4:$V$15, 3, 0)*IF(MOD($G148,10)=0, 10, MOD($G148, 10))*((INDEX(Factor!$X$4:$AC$13, _xlfn.XMATCH($G148, Factor!$X$4:$X$13, 1),3)*IF(MOD(G148, 10) = 0, 10, MOD(G148, 10)))+INDEX(Factor!$AE$4:$AJ$13, _xlfn.XMATCH(MonsterData!$G148, Factor!$AE$4:$AE$13, 1),3))</f>
        <v>1800</v>
      </c>
      <c r="W148" s="17" cm="1">
        <f t="array" ref="W148">N148*VLOOKUP($I148, Factor!$B$4:$G$8, 4, 0)*VLOOKUP($J148, Factor!$B$12:$G$13, 4, 0)*VLOOKUP($K148, Factor!$B$17:$G$18, 4, 0)*VLOOKUP($H148, Factor!$J$4:$O$7, 4, 0)*VLOOKUP($F148, Factor!$Q$4:$V$15, 4, 0)*IF(MOD($G148,10)=0, 10, MOD($G148, 10))*((INDEX(Factor!$X$4:$AC$13, _xlfn.XMATCH($G148, Factor!$X$4:$X$13, 1),4)*IF(MOD(G148, 10) = 0, 10, MOD(G148, 10)))+INDEX(Factor!$AE$4:$AJ$13, _xlfn.XMATCH(MonsterData!$G148, Factor!$AE$4:$AE$13, 1),4))</f>
        <v>1800</v>
      </c>
      <c r="X148" s="17" cm="1">
        <f t="array" ref="X148">O148*VLOOKUP($I148, Factor!$B$4:$G$8, 5, 0)*VLOOKUP($J148, Factor!$B$12:$G$13, 5, 0)*VLOOKUP($K148, Factor!$B$17:$G$18, 5, 0)*VLOOKUP($H148, Factor!$J$4:$O$7, 5, 0)*VLOOKUP($F148, Factor!$Q$4:$V$15, 5, 0)*IF(MOD($G148,10)=0, 10, MOD($G148, 10))*((INDEX(Factor!$X$4:$AC$13, _xlfn.XMATCH($G148, Factor!$X$4:$X$13, 1),5)*IF(MOD(G148, 10) = 0, 10, MOD(G148, 10)))+INDEX(Factor!$AE$4:$AJ$13, _xlfn.XMATCH(MonsterData!$G148, Factor!$AE$4:$AE$13, 1),5))</f>
        <v>96</v>
      </c>
      <c r="Y148" s="17" cm="1">
        <f t="array" ref="Y148">P148*VLOOKUP($I148, Factor!$B$4:$G$8, 6, 0)*VLOOKUP($J148, Factor!$B$12:$G$13, 6, 0)*VLOOKUP($K148, Factor!$B$17:$G$18, 6, 0)*VLOOKUP($H148, Factor!$J$4:$O$7, 2, 0)*VLOOKUP($F148, Factor!$Q$4:$V$15, 6, 0)*IF(MOD($G148,10)=0, 10, MOD($G148, 10))*((INDEX(Factor!$X$4:$AC$13, _xlfn.XMATCH($G148, Factor!$X$4:$X$13, 1),6)*IF(MOD(G148, 10) = 0, 10, MOD(G148, 10)))+INDEX(Factor!$AE$4:$AJ$13, _xlfn.XMATCH(MonsterData!$G148, Factor!$AE$4:$AE$13, 1),6))</f>
        <v>192</v>
      </c>
      <c r="Z148" s="17">
        <f>$Q148*VLOOKUP($J148, Factor!$B$12:$H$13, 7, 0)</f>
        <v>1</v>
      </c>
      <c r="AA148" s="17">
        <v>1</v>
      </c>
      <c r="AB148" s="17">
        <f t="shared" si="9"/>
        <v>0</v>
      </c>
      <c r="AC148" s="17" t="s">
        <v>394</v>
      </c>
      <c r="AD148" s="19" t="s">
        <v>389</v>
      </c>
    </row>
    <row r="149" spans="1:30" ht="15.75" customHeight="1">
      <c r="A149" s="13" t="str">
        <f>T149&amp;"_"&amp;F149&amp;VLOOKUP($C149, Factor!$AM$4:$AY$30, 7, 0)&amp;IF(COUNTIFS($C$4:C148, C149, $F$4:F148, F149)+1&gt;=100, COUNTIFS($C$4:C148, C149, $F$4:F148, F149)+1,IF(COUNTIFS($C$4:C148, C149, $F$4:F148, F149)+1&gt;=10, "0"&amp;COUNTIFS($C$4:C148, C149, $F$4:F148, F149)+1, "00"&amp;COUNTIFS($C$4:C148, C149, $F$4:F148, F149)+1))</f>
        <v>enpc_F02_B_Gorgon_006</v>
      </c>
      <c r="B149" s="13"/>
      <c r="C149" s="13" t="s">
        <v>363</v>
      </c>
      <c r="D149" s="21" t="str">
        <f t="shared" si="10"/>
        <v>고르곤</v>
      </c>
      <c r="E149" s="21" t="str">
        <f>VLOOKUP($C149, Factor!$AM$4:$AY$30, 8, 0)</f>
        <v>B</v>
      </c>
      <c r="F149" s="21" t="s">
        <v>374</v>
      </c>
      <c r="G149" s="22">
        <v>35</v>
      </c>
      <c r="H149" s="13" t="s">
        <v>56</v>
      </c>
      <c r="I149" s="21" t="str">
        <f>VLOOKUP($C149, Factor!$AM$4:$AY$30, 11, 0)</f>
        <v>B</v>
      </c>
      <c r="J149" s="21" t="str">
        <f>VLOOKUP($C149, Factor!$AM$4:$AY$30, 12, 0)</f>
        <v>ml</v>
      </c>
      <c r="K149" s="21" t="str">
        <f>VLOOKUP($C149, Factor!$AM$4:$AY$30, 13, 0)</f>
        <v>L</v>
      </c>
      <c r="L149" s="13">
        <v>1</v>
      </c>
      <c r="M149" s="13">
        <v>1</v>
      </c>
      <c r="N149" s="13">
        <v>1</v>
      </c>
      <c r="O149" s="13">
        <v>1</v>
      </c>
      <c r="P149" s="13">
        <v>1</v>
      </c>
      <c r="Q149" s="13">
        <v>1</v>
      </c>
      <c r="R149" s="21" t="str">
        <f>VLOOKUP($C149, Factor!$AM$4:$AY$30, 9, 0)</f>
        <v>Midium</v>
      </c>
      <c r="S149" s="13" t="s">
        <v>407</v>
      </c>
      <c r="T149" s="21" t="str">
        <f>VLOOKUP($C149, Factor!$AM$4:$AY$30, 10, 0)</f>
        <v>enpc</v>
      </c>
      <c r="U149" s="21" cm="1">
        <f t="array" ref="U149">L149*VLOOKUP($I149, Factor!$B$4:$G$8, 2, 0)*VLOOKUP($J149, Factor!$B$12:$G$13, 2, 0)*VLOOKUP($K149, Factor!$B$17:$G$18, 2, 0)*VLOOKUP($H149, Factor!$J$4:$O$7, 2, 0)*VLOOKUP($F149, Factor!$Q$4:$V$15, 2, 0)*IF(MOD($G149,10)=0, 10, MOD($G149, 10))*((INDEX(Factor!$X$4:$AC$13, _xlfn.XMATCH($G149, Factor!$X$4:$X$13, 1),2)*IF(MOD(G149, 10) = 0, 10, MOD(G149, 10)))+INDEX(Factor!$AE$4:$AJ$13, _xlfn.XMATCH(MonsterData!$G149, Factor!$AE$4:$AE$13, 1),2))</f>
        <v>36000</v>
      </c>
      <c r="V149" s="21" cm="1">
        <f t="array" ref="V149">M149*VLOOKUP($I149, Factor!$B$4:$G$8, 3, 0)*VLOOKUP($J149, Factor!$B$12:$G$13, 3, 0)*VLOOKUP($K149, Factor!$B$17:$G$18, 3, 0)*VLOOKUP($H149, Factor!$J$4:$O$7, 3, 0)*VLOOKUP($F149, Factor!$Q$4:$V$15, 3, 0)*IF(MOD($G149,10)=0, 10, MOD($G149, 10))*((INDEX(Factor!$X$4:$AC$13, _xlfn.XMATCH($G149, Factor!$X$4:$X$13, 1),3)*IF(MOD(G149, 10) = 0, 10, MOD(G149, 10)))+INDEX(Factor!$AE$4:$AJ$13, _xlfn.XMATCH(MonsterData!$G149, Factor!$AE$4:$AE$13, 1),3))</f>
        <v>1800</v>
      </c>
      <c r="W149" s="21" cm="1">
        <f t="array" ref="W149">N149*VLOOKUP($I149, Factor!$B$4:$G$8, 4, 0)*VLOOKUP($J149, Factor!$B$12:$G$13, 4, 0)*VLOOKUP($K149, Factor!$B$17:$G$18, 4, 0)*VLOOKUP($H149, Factor!$J$4:$O$7, 4, 0)*VLOOKUP($F149, Factor!$Q$4:$V$15, 4, 0)*IF(MOD($G149,10)=0, 10, MOD($G149, 10))*((INDEX(Factor!$X$4:$AC$13, _xlfn.XMATCH($G149, Factor!$X$4:$X$13, 1),4)*IF(MOD(G149, 10) = 0, 10, MOD(G149, 10)))+INDEX(Factor!$AE$4:$AJ$13, _xlfn.XMATCH(MonsterData!$G149, Factor!$AE$4:$AE$13, 1),4))</f>
        <v>3600</v>
      </c>
      <c r="X149" s="21" cm="1">
        <f t="array" ref="X149">O149*VLOOKUP($I149, Factor!$B$4:$G$8, 5, 0)*VLOOKUP($J149, Factor!$B$12:$G$13, 5, 0)*VLOOKUP($K149, Factor!$B$17:$G$18, 5, 0)*VLOOKUP($H149, Factor!$J$4:$O$7, 5, 0)*VLOOKUP($F149, Factor!$Q$4:$V$15, 5, 0)*IF(MOD($G149,10)=0, 10, MOD($G149, 10))*((INDEX(Factor!$X$4:$AC$13, _xlfn.XMATCH($G149, Factor!$X$4:$X$13, 1),5)*IF(MOD(G149, 10) = 0, 10, MOD(G149, 10)))+INDEX(Factor!$AE$4:$AJ$13, _xlfn.XMATCH(MonsterData!$G149, Factor!$AE$4:$AE$13, 1),5))</f>
        <v>86.4</v>
      </c>
      <c r="Y149" s="21" cm="1">
        <f t="array" ref="Y149">P149*VLOOKUP($I149, Factor!$B$4:$G$8, 6, 0)*VLOOKUP($J149, Factor!$B$12:$G$13, 6, 0)*VLOOKUP($K149, Factor!$B$17:$G$18, 6, 0)*VLOOKUP($H149, Factor!$J$4:$O$7, 2, 0)*VLOOKUP($F149, Factor!$Q$4:$V$15, 6, 0)*IF(MOD($G149,10)=0, 10, MOD($G149, 10))*((INDEX(Factor!$X$4:$AC$13, _xlfn.XMATCH($G149, Factor!$X$4:$X$13, 1),6)*IF(MOD(G149, 10) = 0, 10, MOD(G149, 10)))+INDEX(Factor!$AE$4:$AJ$13, _xlfn.XMATCH(MonsterData!$G149, Factor!$AE$4:$AE$13, 1),6))</f>
        <v>192</v>
      </c>
      <c r="Z149" s="21">
        <f>$Q149*VLOOKUP($J149, Factor!$B$12:$H$13, 7, 0)</f>
        <v>1</v>
      </c>
      <c r="AA149" s="13">
        <v>1</v>
      </c>
      <c r="AB149" s="21">
        <f t="shared" si="9"/>
        <v>0</v>
      </c>
      <c r="AC149" s="13" t="s">
        <v>395</v>
      </c>
      <c r="AD149" s="15" t="s">
        <v>390</v>
      </c>
    </row>
    <row r="150" spans="1:30" ht="15.75" customHeight="1">
      <c r="A150" s="16" t="str">
        <f>T150&amp;"_"&amp;F150&amp;VLOOKUP($C150, Factor!$AM$4:$AY$30, 7, 0)&amp;IF(COUNTIFS($C$4:C149, C150, $F$4:F149, F150)+1&gt;=100, COUNTIFS($C$4:C149, C150, $F$4:F149, F150)+1,IF(COUNTIFS($C$4:C149, C150, $F$4:F149, F150)+1&gt;=10, "0"&amp;COUNTIFS($C$4:C149, C150, $F$4:F149, F150)+1, "00"&amp;COUNTIFS($C$4:C149, C150, $F$4:F149, F150)+1))</f>
        <v>enpc_F02_B_Gargoyle_006</v>
      </c>
      <c r="B150" s="16"/>
      <c r="C150" s="16" t="s">
        <v>365</v>
      </c>
      <c r="D150" s="17" t="str">
        <f t="shared" si="10"/>
        <v>가고일</v>
      </c>
      <c r="E150" s="17" t="str">
        <f>VLOOKUP($C150, Factor!$AM$4:$AY$30, 8, 0)</f>
        <v>B</v>
      </c>
      <c r="F150" s="17" t="s">
        <v>374</v>
      </c>
      <c r="G150" s="20">
        <v>35</v>
      </c>
      <c r="H150" s="16" t="s">
        <v>55</v>
      </c>
      <c r="I150" s="17" t="str">
        <f>VLOOKUP($C150, Factor!$AM$4:$AY$30, 11, 0)</f>
        <v>B</v>
      </c>
      <c r="J150" s="17" t="str">
        <f>VLOOKUP($C150, Factor!$AM$4:$AY$30, 12, 0)</f>
        <v>ml</v>
      </c>
      <c r="K150" s="17" t="str">
        <f>VLOOKUP($C150, Factor!$AM$4:$AY$30, 13, 0)</f>
        <v>F</v>
      </c>
      <c r="L150" s="17">
        <v>1</v>
      </c>
      <c r="M150" s="17">
        <v>1</v>
      </c>
      <c r="N150" s="17">
        <v>1</v>
      </c>
      <c r="O150" s="17">
        <v>1</v>
      </c>
      <c r="P150" s="17">
        <v>1</v>
      </c>
      <c r="Q150" s="17">
        <v>1</v>
      </c>
      <c r="R150" s="17" t="str">
        <f>VLOOKUP($C150, Factor!$AM$4:$AY$30, 9, 0)</f>
        <v>Big</v>
      </c>
      <c r="S150" s="17" t="s">
        <v>402</v>
      </c>
      <c r="T150" s="17" t="str">
        <f>VLOOKUP($C150, Factor!$AM$4:$AY$30, 10, 0)</f>
        <v>enpc</v>
      </c>
      <c r="U150" s="17" cm="1">
        <f t="array" ref="U150">L150*VLOOKUP($I150, Factor!$B$4:$G$8, 2, 0)*VLOOKUP($J150, Factor!$B$12:$G$13, 2, 0)*VLOOKUP($K150, Factor!$B$17:$G$18, 2, 0)*VLOOKUP($H150, Factor!$J$4:$O$7, 2, 0)*VLOOKUP($F150, Factor!$Q$4:$V$15, 2, 0)*IF(MOD($G150,10)=0, 10, MOD($G150, 10))*((INDEX(Factor!$X$4:$AC$13, _xlfn.XMATCH($G150, Factor!$X$4:$X$13, 1),2)*IF(MOD(G150, 10) = 0, 10, MOD(G150, 10)))+INDEX(Factor!$AE$4:$AJ$13, _xlfn.XMATCH(MonsterData!$G150, Factor!$AE$4:$AE$13, 1),2))</f>
        <v>24000</v>
      </c>
      <c r="V150" s="17" cm="1">
        <f t="array" ref="V150">M150*VLOOKUP($I150, Factor!$B$4:$G$8, 3, 0)*VLOOKUP($J150, Factor!$B$12:$G$13, 3, 0)*VLOOKUP($K150, Factor!$B$17:$G$18, 3, 0)*VLOOKUP($H150, Factor!$J$4:$O$7, 3, 0)*VLOOKUP($F150, Factor!$Q$4:$V$15, 3, 0)*IF(MOD($G150,10)=0, 10, MOD($G150, 10))*((INDEX(Factor!$X$4:$AC$13, _xlfn.XMATCH($G150, Factor!$X$4:$X$13, 1),3)*IF(MOD(G150, 10) = 0, 10, MOD(G150, 10)))+INDEX(Factor!$AE$4:$AJ$13, _xlfn.XMATCH(MonsterData!$G150, Factor!$AE$4:$AE$13, 1),3))</f>
        <v>1200</v>
      </c>
      <c r="W150" s="17" cm="1">
        <f t="array" ref="W150">N150*VLOOKUP($I150, Factor!$B$4:$G$8, 4, 0)*VLOOKUP($J150, Factor!$B$12:$G$13, 4, 0)*VLOOKUP($K150, Factor!$B$17:$G$18, 4, 0)*VLOOKUP($H150, Factor!$J$4:$O$7, 4, 0)*VLOOKUP($F150, Factor!$Q$4:$V$15, 4, 0)*IF(MOD($G150,10)=0, 10, MOD($G150, 10))*((INDEX(Factor!$X$4:$AC$13, _xlfn.XMATCH($G150, Factor!$X$4:$X$13, 1),4)*IF(MOD(G150, 10) = 0, 10, MOD(G150, 10)))+INDEX(Factor!$AE$4:$AJ$13, _xlfn.XMATCH(MonsterData!$G150, Factor!$AE$4:$AE$13, 1),4))</f>
        <v>1200</v>
      </c>
      <c r="X150" s="17" cm="1">
        <f t="array" ref="X150">O150*VLOOKUP($I150, Factor!$B$4:$G$8, 5, 0)*VLOOKUP($J150, Factor!$B$12:$G$13, 5, 0)*VLOOKUP($K150, Factor!$B$17:$G$18, 5, 0)*VLOOKUP($H150, Factor!$J$4:$O$7, 5, 0)*VLOOKUP($F150, Factor!$Q$4:$V$15, 5, 0)*IF(MOD($G150,10)=0, 10, MOD($G150, 10))*((INDEX(Factor!$X$4:$AC$13, _xlfn.XMATCH($G150, Factor!$X$4:$X$13, 1),5)*IF(MOD(G150, 10) = 0, 10, MOD(G150, 10)))+INDEX(Factor!$AE$4:$AJ$13, _xlfn.XMATCH(MonsterData!$G150, Factor!$AE$4:$AE$13, 1),5))</f>
        <v>96</v>
      </c>
      <c r="Y150" s="17" cm="1">
        <f t="array" ref="Y150">P150*VLOOKUP($I150, Factor!$B$4:$G$8, 6, 0)*VLOOKUP($J150, Factor!$B$12:$G$13, 6, 0)*VLOOKUP($K150, Factor!$B$17:$G$18, 6, 0)*VLOOKUP($H150, Factor!$J$4:$O$7, 2, 0)*VLOOKUP($F150, Factor!$Q$4:$V$15, 6, 0)*IF(MOD($G150,10)=0, 10, MOD($G150, 10))*((INDEX(Factor!$X$4:$AC$13, _xlfn.XMATCH($G150, Factor!$X$4:$X$13, 1),6)*IF(MOD(G150, 10) = 0, 10, MOD(G150, 10)))+INDEX(Factor!$AE$4:$AJ$13, _xlfn.XMATCH(MonsterData!$G150, Factor!$AE$4:$AE$13, 1),6))</f>
        <v>576</v>
      </c>
      <c r="Z150" s="17">
        <f>$Q150*VLOOKUP($J150, Factor!$B$12:$H$13, 7, 0)</f>
        <v>1</v>
      </c>
      <c r="AA150" s="17">
        <v>1</v>
      </c>
      <c r="AB150" s="17">
        <f t="shared" si="9"/>
        <v>0</v>
      </c>
      <c r="AC150" s="17" t="s">
        <v>396</v>
      </c>
      <c r="AD150" s="19" t="s">
        <v>391</v>
      </c>
    </row>
    <row r="151" spans="1:30" ht="15.75" customHeight="1">
      <c r="A151" s="13" t="str">
        <f>T151&amp;"_"&amp;F151&amp;VLOOKUP($C151, Factor!$AM$4:$AY$30, 7, 0)&amp;IF(COUNTIFS($C$4:C150, C151, $F$4:F150, F151)+1&gt;=100, COUNTIFS($C$4:C150, C151, $F$4:F150, F151)+1,IF(COUNTIFS($C$4:C150, C151, $F$4:F150, F151)+1&gt;=10, "0"&amp;COUNTIFS($C$4:C150, C151, $F$4:F150, F151)+1, "00"&amp;COUNTIFS($C$4:C150, C151, $F$4:F150, F151)+1))</f>
        <v>enpc_F03_A_Lava_001</v>
      </c>
      <c r="B151" s="13"/>
      <c r="C151" s="13" t="s">
        <v>35</v>
      </c>
      <c r="D151" s="21" t="str">
        <f t="shared" si="10"/>
        <v>라바</v>
      </c>
      <c r="E151" s="21" t="str">
        <f>VLOOKUP($C151, Factor!$AM$4:$AY$30, 8, 0)</f>
        <v>S</v>
      </c>
      <c r="F151" s="21" t="s">
        <v>383</v>
      </c>
      <c r="G151" s="22">
        <v>23</v>
      </c>
      <c r="H151" s="13" t="s">
        <v>54</v>
      </c>
      <c r="I151" s="21" t="str">
        <f>VLOOKUP($C151, Factor!$AM$4:$AY$30, 11, 0)</f>
        <v>A</v>
      </c>
      <c r="J151" s="21" t="str">
        <f>VLOOKUP($C151, Factor!$AM$4:$AY$30, 12, 0)</f>
        <v>ml</v>
      </c>
      <c r="K151" s="21" t="str">
        <f>VLOOKUP($C151, Factor!$AM$4:$AY$30, 13, 0)</f>
        <v>L</v>
      </c>
      <c r="L151" s="13">
        <v>1</v>
      </c>
      <c r="M151" s="13">
        <v>1</v>
      </c>
      <c r="N151" s="13">
        <v>1</v>
      </c>
      <c r="O151" s="13">
        <v>1</v>
      </c>
      <c r="P151" s="13">
        <v>1</v>
      </c>
      <c r="Q151" s="13">
        <v>1</v>
      </c>
      <c r="R151" s="21" t="str">
        <f>VLOOKUP($C151, Factor!$AM$4:$AY$30, 9, 0)</f>
        <v>Small</v>
      </c>
      <c r="S151" s="13" t="s">
        <v>88</v>
      </c>
      <c r="T151" s="21" t="str">
        <f>VLOOKUP($C151, Factor!$AM$4:$AY$30, 10, 0)</f>
        <v>enpc</v>
      </c>
      <c r="U151" s="21" cm="1">
        <f t="array" ref="U151">L151*VLOOKUP($I151, Factor!$B$4:$G$8, 2, 0)*VLOOKUP($J151, Factor!$B$12:$G$13, 2, 0)*VLOOKUP($K151, Factor!$B$17:$G$18, 2, 0)*VLOOKUP($H151, Factor!$J$4:$O$7, 2, 0)*VLOOKUP($F151, Factor!$Q$4:$V$15, 2, 0)*IF(MOD($G151,10)=0, 10, MOD($G151, 10))*((INDEX(Factor!$X$4:$AC$13, _xlfn.XMATCH($G151, Factor!$X$4:$X$13, 1),2)*IF(MOD(G151, 10) = 0, 10, MOD(G151, 10)))+INDEX(Factor!$AE$4:$AJ$13, _xlfn.XMATCH(MonsterData!$G151, Factor!$AE$4:$AE$13, 1),2))</f>
        <v>1965.6</v>
      </c>
      <c r="V151" s="21" cm="1">
        <f t="array" ref="V151">M151*VLOOKUP($I151, Factor!$B$4:$G$8, 3, 0)*VLOOKUP($J151, Factor!$B$12:$G$13, 3, 0)*VLOOKUP($K151, Factor!$B$17:$G$18, 3, 0)*VLOOKUP($H151, Factor!$J$4:$O$7, 3, 0)*VLOOKUP($F151, Factor!$Q$4:$V$15, 3, 0)*IF(MOD($G151,10)=0, 10, MOD($G151, 10))*((INDEX(Factor!$X$4:$AC$13, _xlfn.XMATCH($G151, Factor!$X$4:$X$13, 1),3)*IF(MOD(G151, 10) = 0, 10, MOD(G151, 10)))+INDEX(Factor!$AE$4:$AJ$13, _xlfn.XMATCH(MonsterData!$G151, Factor!$AE$4:$AE$13, 1),3))</f>
        <v>98.279999999999987</v>
      </c>
      <c r="W151" s="21" cm="1">
        <f t="array" ref="W151">N151*VLOOKUP($I151, Factor!$B$4:$G$8, 4, 0)*VLOOKUP($J151, Factor!$B$12:$G$13, 4, 0)*VLOOKUP($K151, Factor!$B$17:$G$18, 4, 0)*VLOOKUP($H151, Factor!$J$4:$O$7, 4, 0)*VLOOKUP($F151, Factor!$Q$4:$V$15, 4, 0)*IF(MOD($G151,10)=0, 10, MOD($G151, 10))*((INDEX(Factor!$X$4:$AC$13, _xlfn.XMATCH($G151, Factor!$X$4:$X$13, 1),4)*IF(MOD(G151, 10) = 0, 10, MOD(G151, 10)))+INDEX(Factor!$AE$4:$AJ$13, _xlfn.XMATCH(MonsterData!$G151, Factor!$AE$4:$AE$13, 1),4))</f>
        <v>58.968000000000004</v>
      </c>
      <c r="X151" s="21" cm="1">
        <f t="array" ref="X151">O151*VLOOKUP($I151, Factor!$B$4:$G$8, 5, 0)*VLOOKUP($J151, Factor!$B$12:$G$13, 5, 0)*VLOOKUP($K151, Factor!$B$17:$G$18, 5, 0)*VLOOKUP($H151, Factor!$J$4:$O$7, 5, 0)*VLOOKUP($F151, Factor!$Q$4:$V$15, 5, 0)*IF(MOD($G151,10)=0, 10, MOD($G151, 10))*((INDEX(Factor!$X$4:$AC$13, _xlfn.XMATCH($G151, Factor!$X$4:$X$13, 1),5)*IF(MOD(G151, 10) = 0, 10, MOD(G151, 10)))+INDEX(Factor!$AE$4:$AJ$13, _xlfn.XMATCH(MonsterData!$G151, Factor!$AE$4:$AE$13, 1),5))</f>
        <v>16.379999999999995</v>
      </c>
      <c r="Y151" s="21" cm="1">
        <f t="array" ref="Y151">P151*VLOOKUP($I151, Factor!$B$4:$G$8, 6, 0)*VLOOKUP($J151, Factor!$B$12:$G$13, 6, 0)*VLOOKUP($K151, Factor!$B$17:$G$18, 6, 0)*VLOOKUP($H151, Factor!$J$4:$O$7, 2, 0)*VLOOKUP($F151, Factor!$Q$4:$V$15, 6, 0)*IF(MOD($G151,10)=0, 10, MOD($G151, 10))*((INDEX(Factor!$X$4:$AC$13, _xlfn.XMATCH($G151, Factor!$X$4:$X$13, 1),6)*IF(MOD(G151, 10) = 0, 10, MOD(G151, 10)))+INDEX(Factor!$AE$4:$AJ$13, _xlfn.XMATCH(MonsterData!$G151, Factor!$AE$4:$AE$13, 1),6))</f>
        <v>65.519999999999982</v>
      </c>
      <c r="Z151" s="21">
        <f>$Q151*VLOOKUP($J151, Factor!$B$12:$H$13, 7, 0)</f>
        <v>1</v>
      </c>
      <c r="AA151" s="13">
        <v>1</v>
      </c>
      <c r="AB151" s="21">
        <f t="shared" ref="AB151:AB214" si="11">IF(J151 = "ml", 0, $Z151*$AA151)</f>
        <v>0</v>
      </c>
      <c r="AC151" s="13" t="s">
        <v>139</v>
      </c>
      <c r="AD151" s="15" t="s">
        <v>142</v>
      </c>
    </row>
    <row r="152" spans="1:30" ht="15.75" customHeight="1">
      <c r="A152" s="16" t="str">
        <f>T152&amp;"_"&amp;F152&amp;VLOOKUP($C152, Factor!$AM$4:$AY$30, 7, 0)&amp;IF(COUNTIFS($C$4:C151, C152, $F$4:F151, F152)+1&gt;=100, COUNTIFS($C$4:C151, C152, $F$4:F151, F152)+1,IF(COUNTIFS($C$4:C151, C152, $F$4:F151, F152)+1&gt;=10, "0"&amp;COUNTIFS($C$4:C151, C152, $F$4:F151, F152)+1, "00"&amp;COUNTIFS($C$4:C151, C152, $F$4:F151, F152)+1))</f>
        <v>enpc_F03_A_Cocoon_001</v>
      </c>
      <c r="B152" s="16"/>
      <c r="C152" s="16" t="s">
        <v>270</v>
      </c>
      <c r="D152" s="17" t="str">
        <f t="shared" si="10"/>
        <v>코쿤</v>
      </c>
      <c r="E152" s="17" t="str">
        <f>VLOOKUP($C152, Factor!$AM$4:$AY$30, 8, 0)</f>
        <v>M</v>
      </c>
      <c r="F152" s="17" t="s">
        <v>383</v>
      </c>
      <c r="G152" s="20">
        <v>23</v>
      </c>
      <c r="H152" s="16" t="s">
        <v>55</v>
      </c>
      <c r="I152" s="17" t="str">
        <f>VLOOKUP($C152, Factor!$AM$4:$AY$30, 11, 0)</f>
        <v>A</v>
      </c>
      <c r="J152" s="17" t="str">
        <f>VLOOKUP($C152, Factor!$AM$4:$AY$30, 12, 0)</f>
        <v>ml</v>
      </c>
      <c r="K152" s="17" t="str">
        <f>VLOOKUP($C152, Factor!$AM$4:$AY$30, 13, 0)</f>
        <v>L</v>
      </c>
      <c r="L152" s="17">
        <v>1</v>
      </c>
      <c r="M152" s="17">
        <v>1</v>
      </c>
      <c r="N152" s="17">
        <v>1</v>
      </c>
      <c r="O152" s="17">
        <v>1</v>
      </c>
      <c r="P152" s="17">
        <v>1</v>
      </c>
      <c r="Q152" s="17">
        <v>1</v>
      </c>
      <c r="R152" s="17" t="str">
        <f>VLOOKUP($C152, Factor!$AM$4:$AY$30, 9, 0)</f>
        <v>Midium</v>
      </c>
      <c r="S152" s="17" t="s">
        <v>196</v>
      </c>
      <c r="T152" s="17" t="str">
        <f>VLOOKUP($C152, Factor!$AM$4:$AY$30, 10, 0)</f>
        <v>enpc</v>
      </c>
      <c r="U152" s="17" cm="1">
        <f t="array" ref="U152">L152*VLOOKUP($I152, Factor!$B$4:$G$8, 2, 0)*VLOOKUP($J152, Factor!$B$12:$G$13, 2, 0)*VLOOKUP($K152, Factor!$B$17:$G$18, 2, 0)*VLOOKUP($H152, Factor!$J$4:$O$7, 2, 0)*VLOOKUP($F152, Factor!$Q$4:$V$15, 2, 0)*IF(MOD($G152,10)=0, 10, MOD($G152, 10))*((INDEX(Factor!$X$4:$AC$13, _xlfn.XMATCH($G152, Factor!$X$4:$X$13, 1),2)*IF(MOD(G152, 10) = 0, 10, MOD(G152, 10)))+INDEX(Factor!$AE$4:$AJ$13, _xlfn.XMATCH(MonsterData!$G152, Factor!$AE$4:$AE$13, 1),2))</f>
        <v>2457</v>
      </c>
      <c r="V152" s="17" cm="1">
        <f t="array" ref="V152">M152*VLOOKUP($I152, Factor!$B$4:$G$8, 3, 0)*VLOOKUP($J152, Factor!$B$12:$G$13, 3, 0)*VLOOKUP($K152, Factor!$B$17:$G$18, 3, 0)*VLOOKUP($H152, Factor!$J$4:$O$7, 3, 0)*VLOOKUP($F152, Factor!$Q$4:$V$15, 3, 0)*IF(MOD($G152,10)=0, 10, MOD($G152, 10))*((INDEX(Factor!$X$4:$AC$13, _xlfn.XMATCH($G152, Factor!$X$4:$X$13, 1),3)*IF(MOD(G152, 10) = 0, 10, MOD(G152, 10)))+INDEX(Factor!$AE$4:$AJ$13, _xlfn.XMATCH(MonsterData!$G152, Factor!$AE$4:$AE$13, 1),3))</f>
        <v>122.85</v>
      </c>
      <c r="W152" s="17" cm="1">
        <f t="array" ref="W152">N152*VLOOKUP($I152, Factor!$B$4:$G$8, 4, 0)*VLOOKUP($J152, Factor!$B$12:$G$13, 4, 0)*VLOOKUP($K152, Factor!$B$17:$G$18, 4, 0)*VLOOKUP($H152, Factor!$J$4:$O$7, 4, 0)*VLOOKUP($F152, Factor!$Q$4:$V$15, 4, 0)*IF(MOD($G152,10)=0, 10, MOD($G152, 10))*((INDEX(Factor!$X$4:$AC$13, _xlfn.XMATCH($G152, Factor!$X$4:$X$13, 1),4)*IF(MOD(G152, 10) = 0, 10, MOD(G152, 10)))+INDEX(Factor!$AE$4:$AJ$13, _xlfn.XMATCH(MonsterData!$G152, Factor!$AE$4:$AE$13, 1),4))</f>
        <v>73.709999999999994</v>
      </c>
      <c r="X152" s="17" cm="1">
        <f t="array" ref="X152">O152*VLOOKUP($I152, Factor!$B$4:$G$8, 5, 0)*VLOOKUP($J152, Factor!$B$12:$G$13, 5, 0)*VLOOKUP($K152, Factor!$B$17:$G$18, 5, 0)*VLOOKUP($H152, Factor!$J$4:$O$7, 5, 0)*VLOOKUP($F152, Factor!$Q$4:$V$15, 5, 0)*IF(MOD($G152,10)=0, 10, MOD($G152, 10))*((INDEX(Factor!$X$4:$AC$13, _xlfn.XMATCH($G152, Factor!$X$4:$X$13, 1),5)*IF(MOD(G152, 10) = 0, 10, MOD(G152, 10)))+INDEX(Factor!$AE$4:$AJ$13, _xlfn.XMATCH(MonsterData!$G152, Factor!$AE$4:$AE$13, 1),5))</f>
        <v>16.379999999999995</v>
      </c>
      <c r="Y152" s="17" cm="1">
        <f t="array" ref="Y152">P152*VLOOKUP($I152, Factor!$B$4:$G$8, 6, 0)*VLOOKUP($J152, Factor!$B$12:$G$13, 6, 0)*VLOOKUP($K152, Factor!$B$17:$G$18, 6, 0)*VLOOKUP($H152, Factor!$J$4:$O$7, 2, 0)*VLOOKUP($F152, Factor!$Q$4:$V$15, 6, 0)*IF(MOD($G152,10)=0, 10, MOD($G152, 10))*((INDEX(Factor!$X$4:$AC$13, _xlfn.XMATCH($G152, Factor!$X$4:$X$13, 1),6)*IF(MOD(G152, 10) = 0, 10, MOD(G152, 10)))+INDEX(Factor!$AE$4:$AJ$13, _xlfn.XMATCH(MonsterData!$G152, Factor!$AE$4:$AE$13, 1),6))</f>
        <v>81.899999999999991</v>
      </c>
      <c r="Z152" s="17">
        <f>$Q152*VLOOKUP($J152, Factor!$B$12:$H$13, 7, 0)</f>
        <v>1</v>
      </c>
      <c r="AA152" s="17">
        <v>1</v>
      </c>
      <c r="AB152" s="17">
        <f t="shared" si="11"/>
        <v>0</v>
      </c>
      <c r="AC152" s="17" t="s">
        <v>139</v>
      </c>
      <c r="AD152" s="19" t="s">
        <v>142</v>
      </c>
    </row>
    <row r="153" spans="1:30" ht="15.75" customHeight="1">
      <c r="A153" s="13" t="str">
        <f>T153&amp;"_"&amp;F153&amp;VLOOKUP($C153, Factor!$AM$4:$AY$30, 7, 0)&amp;IF(COUNTIFS($C$4:C152, C153, $F$4:F152, F153)+1&gt;=100, COUNTIFS($C$4:C152, C153, $F$4:F152, F153)+1,IF(COUNTIFS($C$4:C152, C153, $F$4:F152, F153)+1&gt;=10, "0"&amp;COUNTIFS($C$4:C152, C153, $F$4:F152, F153)+1, "00"&amp;COUNTIFS($C$4:C152, C153, $F$4:F152, F153)+1))</f>
        <v>enpc_F03_A_Antlion_001</v>
      </c>
      <c r="B153" s="13"/>
      <c r="C153" s="13" t="s">
        <v>38</v>
      </c>
      <c r="D153" s="21" t="str">
        <f t="shared" si="10"/>
        <v>앤틸리온</v>
      </c>
      <c r="E153" s="21" t="str">
        <f>VLOOKUP($C153, Factor!$AM$4:$AY$30, 8, 0)</f>
        <v>M</v>
      </c>
      <c r="F153" s="21" t="s">
        <v>111</v>
      </c>
      <c r="G153" s="22">
        <v>23</v>
      </c>
      <c r="H153" s="13" t="s">
        <v>55</v>
      </c>
      <c r="I153" s="21" t="str">
        <f>VLOOKUP($C153, Factor!$AM$4:$AY$30, 11, 0)</f>
        <v>A</v>
      </c>
      <c r="J153" s="21" t="str">
        <f>VLOOKUP($C153, Factor!$AM$4:$AY$30, 12, 0)</f>
        <v>ra</v>
      </c>
      <c r="K153" s="21" t="str">
        <f>VLOOKUP($C153, Factor!$AM$4:$AY$30, 13, 0)</f>
        <v>L</v>
      </c>
      <c r="L153" s="13">
        <v>1</v>
      </c>
      <c r="M153" s="13">
        <v>1</v>
      </c>
      <c r="N153" s="13">
        <v>1</v>
      </c>
      <c r="O153" s="13">
        <v>1</v>
      </c>
      <c r="P153" s="13">
        <v>1</v>
      </c>
      <c r="Q153" s="13">
        <v>1</v>
      </c>
      <c r="R153" s="21" t="str">
        <f>VLOOKUP($C153, Factor!$AM$4:$AY$30, 9, 0)</f>
        <v>Midium</v>
      </c>
      <c r="S153" s="13" t="s">
        <v>397</v>
      </c>
      <c r="T153" s="21" t="str">
        <f>VLOOKUP($C153, Factor!$AM$4:$AY$30, 10, 0)</f>
        <v>enpc</v>
      </c>
      <c r="U153" s="21" cm="1">
        <f t="array" ref="U153">L153*VLOOKUP($I153, Factor!$B$4:$G$8, 2, 0)*VLOOKUP($J153, Factor!$B$12:$G$13, 2, 0)*VLOOKUP($K153, Factor!$B$17:$G$18, 2, 0)*VLOOKUP($H153, Factor!$J$4:$O$7, 2, 0)*VLOOKUP($F153, Factor!$Q$4:$V$15, 2, 0)*IF(MOD($G153,10)=0, 10, MOD($G153, 10))*((INDEX(Factor!$X$4:$AC$13, _xlfn.XMATCH($G153, Factor!$X$4:$X$13, 1),2)*IF(MOD(G153, 10) = 0, 10, MOD(G153, 10)))+INDEX(Factor!$AE$4:$AJ$13, _xlfn.XMATCH(MonsterData!$G153, Factor!$AE$4:$AE$13, 1),2))</f>
        <v>1965.6</v>
      </c>
      <c r="V153" s="21" cm="1">
        <f t="array" ref="V153">M153*VLOOKUP($I153, Factor!$B$4:$G$8, 3, 0)*VLOOKUP($J153, Factor!$B$12:$G$13, 3, 0)*VLOOKUP($K153, Factor!$B$17:$G$18, 3, 0)*VLOOKUP($H153, Factor!$J$4:$O$7, 3, 0)*VLOOKUP($F153, Factor!$Q$4:$V$15, 3, 0)*IF(MOD($G153,10)=0, 10, MOD($G153, 10))*((INDEX(Factor!$X$4:$AC$13, _xlfn.XMATCH($G153, Factor!$X$4:$X$13, 1),3)*IF(MOD(G153, 10) = 0, 10, MOD(G153, 10)))+INDEX(Factor!$AE$4:$AJ$13, _xlfn.XMATCH(MonsterData!$G153, Factor!$AE$4:$AE$13, 1),3))</f>
        <v>98.279999999999987</v>
      </c>
      <c r="W153" s="21" cm="1">
        <f t="array" ref="W153">N153*VLOOKUP($I153, Factor!$B$4:$G$8, 4, 0)*VLOOKUP($J153, Factor!$B$12:$G$13, 4, 0)*VLOOKUP($K153, Factor!$B$17:$G$18, 4, 0)*VLOOKUP($H153, Factor!$J$4:$O$7, 4, 0)*VLOOKUP($F153, Factor!$Q$4:$V$15, 4, 0)*IF(MOD($G153,10)=0, 10, MOD($G153, 10))*((INDEX(Factor!$X$4:$AC$13, _xlfn.XMATCH($G153, Factor!$X$4:$X$13, 1),4)*IF(MOD(G153, 10) = 0, 10, MOD(G153, 10)))+INDEX(Factor!$AE$4:$AJ$13, _xlfn.XMATCH(MonsterData!$G153, Factor!$AE$4:$AE$13, 1),4))</f>
        <v>88.451999999999984</v>
      </c>
      <c r="X153" s="21" cm="1">
        <f t="array" ref="X153">O153*VLOOKUP($I153, Factor!$B$4:$G$8, 5, 0)*VLOOKUP($J153, Factor!$B$12:$G$13, 5, 0)*VLOOKUP($K153, Factor!$B$17:$G$18, 5, 0)*VLOOKUP($H153, Factor!$J$4:$O$7, 5, 0)*VLOOKUP($F153, Factor!$Q$4:$V$15, 5, 0)*IF(MOD($G153,10)=0, 10, MOD($G153, 10))*((INDEX(Factor!$X$4:$AC$13, _xlfn.XMATCH($G153, Factor!$X$4:$X$13, 1),5)*IF(MOD(G153, 10) = 0, 10, MOD(G153, 10)))+INDEX(Factor!$AE$4:$AJ$13, _xlfn.XMATCH(MonsterData!$G153, Factor!$AE$4:$AE$13, 1),5))</f>
        <v>24.569999999999997</v>
      </c>
      <c r="Y153" s="21" cm="1">
        <f t="array" ref="Y153">P153*VLOOKUP($I153, Factor!$B$4:$G$8, 6, 0)*VLOOKUP($J153, Factor!$B$12:$G$13, 6, 0)*VLOOKUP($K153, Factor!$B$17:$G$18, 6, 0)*VLOOKUP($H153, Factor!$J$4:$O$7, 2, 0)*VLOOKUP($F153, Factor!$Q$4:$V$15, 6, 0)*IF(MOD($G153,10)=0, 10, MOD($G153, 10))*((INDEX(Factor!$X$4:$AC$13, _xlfn.XMATCH($G153, Factor!$X$4:$X$13, 1),6)*IF(MOD(G153, 10) = 0, 10, MOD(G153, 10)))+INDEX(Factor!$AE$4:$AJ$13, _xlfn.XMATCH(MonsterData!$G153, Factor!$AE$4:$AE$13, 1),6))</f>
        <v>81.899999999999991</v>
      </c>
      <c r="Z153" s="21">
        <f>$Q153*VLOOKUP($J153, Factor!$B$12:$H$13, 7, 0)</f>
        <v>4</v>
      </c>
      <c r="AA153" s="13">
        <v>1</v>
      </c>
      <c r="AB153" s="21">
        <f t="shared" si="11"/>
        <v>4</v>
      </c>
      <c r="AC153" s="13" t="s">
        <v>139</v>
      </c>
      <c r="AD153" s="15" t="s">
        <v>142</v>
      </c>
    </row>
    <row r="154" spans="1:30" ht="15.75" customHeight="1">
      <c r="A154" s="16" t="str">
        <f>T154&amp;"_"&amp;F154&amp;VLOOKUP($C154, Factor!$AM$4:$AY$30, 7, 0)&amp;IF(COUNTIFS($C$4:C153, C154, $F$4:F153, F154)+1&gt;=100, COUNTIFS($C$4:C153, C154, $F$4:F153, F154)+1,IF(COUNTIFS($C$4:C153, C154, $F$4:F153, F154)+1&gt;=10, "0"&amp;COUNTIFS($C$4:C153, C154, $F$4:F153, F154)+1, "00"&amp;COUNTIFS($C$4:C153, C154, $F$4:F153, F154)+1))</f>
        <v>enpc_F03_A_Nymphe_001</v>
      </c>
      <c r="B154" s="16"/>
      <c r="C154" s="16" t="s">
        <v>39</v>
      </c>
      <c r="D154" s="17" t="str">
        <f t="shared" si="10"/>
        <v>님프</v>
      </c>
      <c r="E154" s="17" t="str">
        <f>VLOOKUP($C154, Factor!$AM$4:$AY$30, 8, 0)</f>
        <v>S</v>
      </c>
      <c r="F154" s="17" t="s">
        <v>111</v>
      </c>
      <c r="G154" s="20">
        <v>23</v>
      </c>
      <c r="H154" s="16" t="s">
        <v>55</v>
      </c>
      <c r="I154" s="17" t="str">
        <f>VLOOKUP($C154, Factor!$AM$4:$AY$30, 11, 0)</f>
        <v>A</v>
      </c>
      <c r="J154" s="17" t="str">
        <f>VLOOKUP($C154, Factor!$AM$4:$AY$30, 12, 0)</f>
        <v>ml</v>
      </c>
      <c r="K154" s="17" t="str">
        <f>VLOOKUP($C154, Factor!$AM$4:$AY$30, 13, 0)</f>
        <v>F</v>
      </c>
      <c r="L154" s="17">
        <v>1</v>
      </c>
      <c r="M154" s="17">
        <v>1</v>
      </c>
      <c r="N154" s="17">
        <v>1</v>
      </c>
      <c r="O154" s="17">
        <v>1</v>
      </c>
      <c r="P154" s="17">
        <v>1</v>
      </c>
      <c r="Q154" s="17">
        <v>1</v>
      </c>
      <c r="R154" s="17" t="str">
        <f>VLOOKUP($C154, Factor!$AM$4:$AY$30, 9, 0)</f>
        <v>Small</v>
      </c>
      <c r="S154" s="17" t="s">
        <v>197</v>
      </c>
      <c r="T154" s="17" t="str">
        <f>VLOOKUP($C154, Factor!$AM$4:$AY$30, 10, 0)</f>
        <v>enpc</v>
      </c>
      <c r="U154" s="17" cm="1">
        <f t="array" ref="U154">L154*VLOOKUP($I154, Factor!$B$4:$G$8, 2, 0)*VLOOKUP($J154, Factor!$B$12:$G$13, 2, 0)*VLOOKUP($K154, Factor!$B$17:$G$18, 2, 0)*VLOOKUP($H154, Factor!$J$4:$O$7, 2, 0)*VLOOKUP($F154, Factor!$Q$4:$V$15, 2, 0)*IF(MOD($G154,10)=0, 10, MOD($G154, 10))*((INDEX(Factor!$X$4:$AC$13, _xlfn.XMATCH($G154, Factor!$X$4:$X$13, 1),2)*IF(MOD(G154, 10) = 0, 10, MOD(G154, 10)))+INDEX(Factor!$AE$4:$AJ$13, _xlfn.XMATCH(MonsterData!$G154, Factor!$AE$4:$AE$13, 1),2))</f>
        <v>1638</v>
      </c>
      <c r="V154" s="17" cm="1">
        <f t="array" ref="V154">M154*VLOOKUP($I154, Factor!$B$4:$G$8, 3, 0)*VLOOKUP($J154, Factor!$B$12:$G$13, 3, 0)*VLOOKUP($K154, Factor!$B$17:$G$18, 3, 0)*VLOOKUP($H154, Factor!$J$4:$O$7, 3, 0)*VLOOKUP($F154, Factor!$Q$4:$V$15, 3, 0)*IF(MOD($G154,10)=0, 10, MOD($G154, 10))*((INDEX(Factor!$X$4:$AC$13, _xlfn.XMATCH($G154, Factor!$X$4:$X$13, 1),3)*IF(MOD(G154, 10) = 0, 10, MOD(G154, 10)))+INDEX(Factor!$AE$4:$AJ$13, _xlfn.XMATCH(MonsterData!$G154, Factor!$AE$4:$AE$13, 1),3))</f>
        <v>81.899999999999991</v>
      </c>
      <c r="W154" s="17" cm="1">
        <f t="array" ref="W154">N154*VLOOKUP($I154, Factor!$B$4:$G$8, 4, 0)*VLOOKUP($J154, Factor!$B$12:$G$13, 4, 0)*VLOOKUP($K154, Factor!$B$17:$G$18, 4, 0)*VLOOKUP($H154, Factor!$J$4:$O$7, 4, 0)*VLOOKUP($F154, Factor!$Q$4:$V$15, 4, 0)*IF(MOD($G154,10)=0, 10, MOD($G154, 10))*((INDEX(Factor!$X$4:$AC$13, _xlfn.XMATCH($G154, Factor!$X$4:$X$13, 1),4)*IF(MOD(G154, 10) = 0, 10, MOD(G154, 10)))+INDEX(Factor!$AE$4:$AJ$13, _xlfn.XMATCH(MonsterData!$G154, Factor!$AE$4:$AE$13, 1),4))</f>
        <v>49.139999999999993</v>
      </c>
      <c r="X154" s="17" cm="1">
        <f t="array" ref="X154">O154*VLOOKUP($I154, Factor!$B$4:$G$8, 5, 0)*VLOOKUP($J154, Factor!$B$12:$G$13, 5, 0)*VLOOKUP($K154, Factor!$B$17:$G$18, 5, 0)*VLOOKUP($H154, Factor!$J$4:$O$7, 5, 0)*VLOOKUP($F154, Factor!$Q$4:$V$15, 5, 0)*IF(MOD($G154,10)=0, 10, MOD($G154, 10))*((INDEX(Factor!$X$4:$AC$13, _xlfn.XMATCH($G154, Factor!$X$4:$X$13, 1),5)*IF(MOD(G154, 10) = 0, 10, MOD(G154, 10)))+INDEX(Factor!$AE$4:$AJ$13, _xlfn.XMATCH(MonsterData!$G154, Factor!$AE$4:$AE$13, 1),5))</f>
        <v>16.379999999999995</v>
      </c>
      <c r="Y154" s="17" cm="1">
        <f t="array" ref="Y154">P154*VLOOKUP($I154, Factor!$B$4:$G$8, 6, 0)*VLOOKUP($J154, Factor!$B$12:$G$13, 6, 0)*VLOOKUP($K154, Factor!$B$17:$G$18, 6, 0)*VLOOKUP($H154, Factor!$J$4:$O$7, 2, 0)*VLOOKUP($F154, Factor!$Q$4:$V$15, 6, 0)*IF(MOD($G154,10)=0, 10, MOD($G154, 10))*((INDEX(Factor!$X$4:$AC$13, _xlfn.XMATCH($G154, Factor!$X$4:$X$13, 1),6)*IF(MOD(G154, 10) = 0, 10, MOD(G154, 10)))+INDEX(Factor!$AE$4:$AJ$13, _xlfn.XMATCH(MonsterData!$G154, Factor!$AE$4:$AE$13, 1),6))</f>
        <v>245.7</v>
      </c>
      <c r="Z154" s="17">
        <f>$Q154*VLOOKUP($J154, Factor!$B$12:$H$13, 7, 0)</f>
        <v>1</v>
      </c>
      <c r="AA154" s="17">
        <v>1</v>
      </c>
      <c r="AB154" s="17">
        <f t="shared" si="11"/>
        <v>0</v>
      </c>
      <c r="AC154" s="17" t="s">
        <v>139</v>
      </c>
      <c r="AD154" s="19" t="s">
        <v>142</v>
      </c>
    </row>
    <row r="155" spans="1:30" ht="15.75" customHeight="1">
      <c r="A155" s="13" t="str">
        <f>T155&amp;"_"&amp;F155&amp;VLOOKUP($C155, Factor!$AM$4:$AY$30, 7, 0)&amp;IF(COUNTIFS($C$4:C154, C155, $F$4:F154, F155)+1&gt;=100, COUNTIFS($C$4:C154, C155, $F$4:F154, F155)+1,IF(COUNTIFS($C$4:C154, C155, $F$4:F154, F155)+1&gt;=10, "0"&amp;COUNTIFS($C$4:C154, C155, $F$4:F154, F155)+1, "00"&amp;COUNTIFS($C$4:C154, C155, $F$4:F154, F155)+1))</f>
        <v>enpc_F03_B_Golem_001</v>
      </c>
      <c r="B155" s="13"/>
      <c r="C155" s="13" t="s">
        <v>40</v>
      </c>
      <c r="D155" s="21" t="str">
        <f t="shared" si="10"/>
        <v>골렘</v>
      </c>
      <c r="E155" s="21" t="str">
        <f>VLOOKUP($C155, Factor!$AM$4:$AY$30, 8, 0)</f>
        <v>B</v>
      </c>
      <c r="F155" s="21" t="s">
        <v>111</v>
      </c>
      <c r="G155" s="22">
        <v>38</v>
      </c>
      <c r="H155" s="13" t="s">
        <v>57</v>
      </c>
      <c r="I155" s="21" t="str">
        <f>VLOOKUP($C155, Factor!$AM$4:$AY$30, 11, 0)</f>
        <v>B</v>
      </c>
      <c r="J155" s="21" t="str">
        <f>VLOOKUP($C155, Factor!$AM$4:$AY$30, 12, 0)</f>
        <v>ml</v>
      </c>
      <c r="K155" s="21" t="str">
        <f>VLOOKUP($C155, Factor!$AM$4:$AY$30, 13, 0)</f>
        <v>L</v>
      </c>
      <c r="L155" s="13">
        <v>1</v>
      </c>
      <c r="M155" s="13">
        <v>1</v>
      </c>
      <c r="N155" s="13">
        <v>1</v>
      </c>
      <c r="O155" s="13">
        <v>1</v>
      </c>
      <c r="P155" s="13">
        <v>1</v>
      </c>
      <c r="Q155" s="13">
        <v>1</v>
      </c>
      <c r="R155" s="21" t="str">
        <f>VLOOKUP($C155, Factor!$AM$4:$AY$30, 9, 0)</f>
        <v>Big</v>
      </c>
      <c r="S155" s="13" t="s">
        <v>398</v>
      </c>
      <c r="T155" s="21" t="str">
        <f>VLOOKUP($C155, Factor!$AM$4:$AY$30, 10, 0)</f>
        <v>enpc</v>
      </c>
      <c r="U155" s="21" cm="1">
        <f t="array" ref="U155">L155*VLOOKUP($I155, Factor!$B$4:$G$8, 2, 0)*VLOOKUP($J155, Factor!$B$12:$G$13, 2, 0)*VLOOKUP($K155, Factor!$B$17:$G$18, 2, 0)*VLOOKUP($H155, Factor!$J$4:$O$7, 2, 0)*VLOOKUP($F155, Factor!$Q$4:$V$15, 2, 0)*IF(MOD($G155,10)=0, 10, MOD($G155, 10))*((INDEX(Factor!$X$4:$AC$13, _xlfn.XMATCH($G155, Factor!$X$4:$X$13, 1),2)*IF(MOD(G155, 10) = 0, 10, MOD(G155, 10)))+INDEX(Factor!$AE$4:$AJ$13, _xlfn.XMATCH(MonsterData!$G155, Factor!$AE$4:$AE$13, 1),2))</f>
        <v>154560</v>
      </c>
      <c r="V155" s="21" cm="1">
        <f t="array" ref="V155">M155*VLOOKUP($I155, Factor!$B$4:$G$8, 3, 0)*VLOOKUP($J155, Factor!$B$12:$G$13, 3, 0)*VLOOKUP($K155, Factor!$B$17:$G$18, 3, 0)*VLOOKUP($H155, Factor!$J$4:$O$7, 3, 0)*VLOOKUP($F155, Factor!$Q$4:$V$15, 3, 0)*IF(MOD($G155,10)=0, 10, MOD($G155, 10))*((INDEX(Factor!$X$4:$AC$13, _xlfn.XMATCH($G155, Factor!$X$4:$X$13, 1),3)*IF(MOD(G155, 10) = 0, 10, MOD(G155, 10)))+INDEX(Factor!$AE$4:$AJ$13, _xlfn.XMATCH(MonsterData!$G155, Factor!$AE$4:$AE$13, 1),3))</f>
        <v>7727.9999999999991</v>
      </c>
      <c r="W155" s="21" cm="1">
        <f t="array" ref="W155">N155*VLOOKUP($I155, Factor!$B$4:$G$8, 4, 0)*VLOOKUP($J155, Factor!$B$12:$G$13, 4, 0)*VLOOKUP($K155, Factor!$B$17:$G$18, 4, 0)*VLOOKUP($H155, Factor!$J$4:$O$7, 4, 0)*VLOOKUP($F155, Factor!$Q$4:$V$15, 4, 0)*IF(MOD($G155,10)=0, 10, MOD($G155, 10))*((INDEX(Factor!$X$4:$AC$13, _xlfn.XMATCH($G155, Factor!$X$4:$X$13, 1),4)*IF(MOD(G155, 10) = 0, 10, MOD(G155, 10)))+INDEX(Factor!$AE$4:$AJ$13, _xlfn.XMATCH(MonsterData!$G155, Factor!$AE$4:$AE$13, 1),4))</f>
        <v>386.4</v>
      </c>
      <c r="X155" s="21" cm="1">
        <f t="array" ref="X155">O155*VLOOKUP($I155, Factor!$B$4:$G$8, 5, 0)*VLOOKUP($J155, Factor!$B$12:$G$13, 5, 0)*VLOOKUP($K155, Factor!$B$17:$G$18, 5, 0)*VLOOKUP($H155, Factor!$J$4:$O$7, 5, 0)*VLOOKUP($F155, Factor!$Q$4:$V$15, 5, 0)*IF(MOD($G155,10)=0, 10, MOD($G155, 10))*((INDEX(Factor!$X$4:$AC$13, _xlfn.XMATCH($G155, Factor!$X$4:$X$13, 1),5)*IF(MOD(G155, 10) = 0, 10, MOD(G155, 10)))+INDEX(Factor!$AE$4:$AJ$13, _xlfn.XMATCH(MonsterData!$G155, Factor!$AE$4:$AE$13, 1),5))</f>
        <v>412.15999999999997</v>
      </c>
      <c r="Y155" s="21" cm="1">
        <f t="array" ref="Y155">P155*VLOOKUP($I155, Factor!$B$4:$G$8, 6, 0)*VLOOKUP($J155, Factor!$B$12:$G$13, 6, 0)*VLOOKUP($K155, Factor!$B$17:$G$18, 6, 0)*VLOOKUP($H155, Factor!$J$4:$O$7, 2, 0)*VLOOKUP($F155, Factor!$Q$4:$V$15, 6, 0)*IF(MOD($G155,10)=0, 10, MOD($G155, 10))*((INDEX(Factor!$X$4:$AC$13, _xlfn.XMATCH($G155, Factor!$X$4:$X$13, 1),6)*IF(MOD(G155, 10) = 0, 10, MOD(G155, 10)))+INDEX(Factor!$AE$4:$AJ$13, _xlfn.XMATCH(MonsterData!$G155, Factor!$AE$4:$AE$13, 1),6))</f>
        <v>824.31999999999994</v>
      </c>
      <c r="Z155" s="21">
        <f>$Q155*VLOOKUP($J155, Factor!$B$12:$H$13, 7, 0)</f>
        <v>1</v>
      </c>
      <c r="AA155" s="13">
        <v>1</v>
      </c>
      <c r="AB155" s="21">
        <f t="shared" si="11"/>
        <v>0</v>
      </c>
      <c r="AC155" s="13" t="s">
        <v>140</v>
      </c>
      <c r="AD155" s="15" t="s">
        <v>143</v>
      </c>
    </row>
    <row r="156" spans="1:30" ht="15.75" customHeight="1">
      <c r="A156" s="16" t="str">
        <f>T156&amp;"_"&amp;F156&amp;VLOOKUP($C156, Factor!$AM$4:$AY$30, 7, 0)&amp;IF(COUNTIFS($C$4:C155, C156, $F$4:F155, F156)+1&gt;=100, COUNTIFS($C$4:C155, C156, $F$4:F155, F156)+1,IF(COUNTIFS($C$4:C155, C156, $F$4:F155, F156)+1&gt;=10, "0"&amp;COUNTIFS($C$4:C155, C156, $F$4:F155, F156)+1, "00"&amp;COUNTIFS($C$4:C155, C156, $F$4:F155, F156)+1))</f>
        <v>enpc_F03_B_Banshee_001</v>
      </c>
      <c r="B156" s="16"/>
      <c r="C156" s="16" t="s">
        <v>42</v>
      </c>
      <c r="D156" s="17" t="str">
        <f t="shared" si="10"/>
        <v>밴시</v>
      </c>
      <c r="E156" s="17" t="str">
        <f>VLOOKUP($C156, Factor!$AM$4:$AY$30, 8, 0)</f>
        <v>S</v>
      </c>
      <c r="F156" s="17" t="s">
        <v>111</v>
      </c>
      <c r="G156" s="20">
        <v>38</v>
      </c>
      <c r="H156" s="16" t="s">
        <v>56</v>
      </c>
      <c r="I156" s="17" t="str">
        <f>VLOOKUP($C156, Factor!$AM$4:$AY$30, 11, 0)</f>
        <v>B</v>
      </c>
      <c r="J156" s="17" t="str">
        <f>VLOOKUP($C156, Factor!$AM$4:$AY$30, 12, 0)</f>
        <v>ra</v>
      </c>
      <c r="K156" s="17" t="str">
        <f>VLOOKUP($C156, Factor!$AM$4:$AY$30, 13, 0)</f>
        <v>L</v>
      </c>
      <c r="L156" s="17">
        <v>1</v>
      </c>
      <c r="M156" s="17">
        <v>1</v>
      </c>
      <c r="N156" s="17">
        <v>1</v>
      </c>
      <c r="O156" s="17">
        <v>1</v>
      </c>
      <c r="P156" s="17">
        <v>1</v>
      </c>
      <c r="Q156" s="17">
        <v>1</v>
      </c>
      <c r="R156" s="17" t="str">
        <f>VLOOKUP($C156, Factor!$AM$4:$AY$30, 9, 0)</f>
        <v>Midium</v>
      </c>
      <c r="S156" s="17" t="s">
        <v>198</v>
      </c>
      <c r="T156" s="17" t="str">
        <f>VLOOKUP($C156, Factor!$AM$4:$AY$30, 10, 0)</f>
        <v>enpc</v>
      </c>
      <c r="U156" s="17" cm="1">
        <f t="array" ref="U156">L156*VLOOKUP($I156, Factor!$B$4:$G$8, 2, 0)*VLOOKUP($J156, Factor!$B$12:$G$13, 2, 0)*VLOOKUP($K156, Factor!$B$17:$G$18, 2, 0)*VLOOKUP($H156, Factor!$J$4:$O$7, 2, 0)*VLOOKUP($F156, Factor!$Q$4:$V$15, 2, 0)*IF(MOD($G156,10)=0, 10, MOD($G156, 10))*((INDEX(Factor!$X$4:$AC$13, _xlfn.XMATCH($G156, Factor!$X$4:$X$13, 1),2)*IF(MOD(G156, 10) = 0, 10, MOD(G156, 10)))+INDEX(Factor!$AE$4:$AJ$13, _xlfn.XMATCH(MonsterData!$G156, Factor!$AE$4:$AE$13, 1),2))</f>
        <v>61823.999999999993</v>
      </c>
      <c r="V156" s="17" cm="1">
        <f t="array" ref="V156">M156*VLOOKUP($I156, Factor!$B$4:$G$8, 3, 0)*VLOOKUP($J156, Factor!$B$12:$G$13, 3, 0)*VLOOKUP($K156, Factor!$B$17:$G$18, 3, 0)*VLOOKUP($H156, Factor!$J$4:$O$7, 3, 0)*VLOOKUP($F156, Factor!$Q$4:$V$15, 3, 0)*IF(MOD($G156,10)=0, 10, MOD($G156, 10))*((INDEX(Factor!$X$4:$AC$13, _xlfn.XMATCH($G156, Factor!$X$4:$X$13, 1),3)*IF(MOD(G156, 10) = 0, 10, MOD(G156, 10)))+INDEX(Factor!$AE$4:$AJ$13, _xlfn.XMATCH(MonsterData!$G156, Factor!$AE$4:$AE$13, 1),3))</f>
        <v>3091.2</v>
      </c>
      <c r="W156" s="17" cm="1">
        <f t="array" ref="W156">N156*VLOOKUP($I156, Factor!$B$4:$G$8, 4, 0)*VLOOKUP($J156, Factor!$B$12:$G$13, 4, 0)*VLOOKUP($K156, Factor!$B$17:$G$18, 4, 0)*VLOOKUP($H156, Factor!$J$4:$O$7, 4, 0)*VLOOKUP($F156, Factor!$Q$4:$V$15, 4, 0)*IF(MOD($G156,10)=0, 10, MOD($G156, 10))*((INDEX(Factor!$X$4:$AC$13, _xlfn.XMATCH($G156, Factor!$X$4:$X$13, 1),4)*IF(MOD(G156, 10) = 0, 10, MOD(G156, 10)))+INDEX(Factor!$AE$4:$AJ$13, _xlfn.XMATCH(MonsterData!$G156, Factor!$AE$4:$AE$13, 1),4))</f>
        <v>9273.5999999999985</v>
      </c>
      <c r="X156" s="17" cm="1">
        <f t="array" ref="X156">O156*VLOOKUP($I156, Factor!$B$4:$G$8, 5, 0)*VLOOKUP($J156, Factor!$B$12:$G$13, 5, 0)*VLOOKUP($K156, Factor!$B$17:$G$18, 5, 0)*VLOOKUP($H156, Factor!$J$4:$O$7, 5, 0)*VLOOKUP($F156, Factor!$Q$4:$V$15, 5, 0)*IF(MOD($G156,10)=0, 10, MOD($G156, 10))*((INDEX(Factor!$X$4:$AC$13, _xlfn.XMATCH($G156, Factor!$X$4:$X$13, 1),5)*IF(MOD(G156, 10) = 0, 10, MOD(G156, 10)))+INDEX(Factor!$AE$4:$AJ$13, _xlfn.XMATCH(MonsterData!$G156, Factor!$AE$4:$AE$13, 1),5))</f>
        <v>278.20799999999997</v>
      </c>
      <c r="Y156" s="17" cm="1">
        <f t="array" ref="Y156">P156*VLOOKUP($I156, Factor!$B$4:$G$8, 6, 0)*VLOOKUP($J156, Factor!$B$12:$G$13, 6, 0)*VLOOKUP($K156, Factor!$B$17:$G$18, 6, 0)*VLOOKUP($H156, Factor!$J$4:$O$7, 2, 0)*VLOOKUP($F156, Factor!$Q$4:$V$15, 6, 0)*IF(MOD($G156,10)=0, 10, MOD($G156, 10))*((INDEX(Factor!$X$4:$AC$13, _xlfn.XMATCH($G156, Factor!$X$4:$X$13, 1),6)*IF(MOD(G156, 10) = 0, 10, MOD(G156, 10)))+INDEX(Factor!$AE$4:$AJ$13, _xlfn.XMATCH(MonsterData!$G156, Factor!$AE$4:$AE$13, 1),6))</f>
        <v>412.15999999999997</v>
      </c>
      <c r="Z156" s="17">
        <f>$Q156*VLOOKUP($J156, Factor!$B$12:$H$13, 7, 0)</f>
        <v>4</v>
      </c>
      <c r="AA156" s="17">
        <v>1</v>
      </c>
      <c r="AB156" s="17">
        <f t="shared" si="11"/>
        <v>4</v>
      </c>
      <c r="AC156" s="17" t="s">
        <v>141</v>
      </c>
      <c r="AD156" s="19" t="s">
        <v>144</v>
      </c>
    </row>
    <row r="157" spans="1:30" ht="15.75" customHeight="1">
      <c r="A157" s="13" t="str">
        <f>T157&amp;"_"&amp;F157&amp;VLOOKUP($C157, Factor!$AM$4:$AY$30, 7, 0)&amp;IF(COUNTIFS($C$4:C156, C157, $F$4:F156, F157)+1&gt;=100, COUNTIFS($C$4:C156, C157, $F$4:F156, F157)+1,IF(COUNTIFS($C$4:C156, C157, $F$4:F156, F157)+1&gt;=10, "0"&amp;COUNTIFS($C$4:C156, C157, $F$4:F156, F157)+1, "00"&amp;COUNTIFS($C$4:C156, C157, $F$4:F156, F157)+1))</f>
        <v>enpc_F03_A_Scarab_001</v>
      </c>
      <c r="B157" s="13"/>
      <c r="C157" s="13" t="s">
        <v>353</v>
      </c>
      <c r="D157" s="21" t="str">
        <f t="shared" si="10"/>
        <v>스캐럽</v>
      </c>
      <c r="E157" s="21" t="str">
        <f>VLOOKUP($C157, Factor!$AM$4:$AY$30, 8, 0)</f>
        <v>S</v>
      </c>
      <c r="F157" s="21" t="s">
        <v>111</v>
      </c>
      <c r="G157" s="22">
        <v>23</v>
      </c>
      <c r="H157" s="13" t="s">
        <v>55</v>
      </c>
      <c r="I157" s="21" t="str">
        <f>VLOOKUP($C157, Factor!$AM$4:$AY$30, 11, 0)</f>
        <v>A</v>
      </c>
      <c r="J157" s="21" t="str">
        <f>VLOOKUP($C157, Factor!$AM$4:$AY$30, 12, 0)</f>
        <v>ml</v>
      </c>
      <c r="K157" s="21" t="str">
        <f>VLOOKUP($C157, Factor!$AM$4:$AY$30, 13, 0)</f>
        <v>L</v>
      </c>
      <c r="L157" s="13">
        <v>1</v>
      </c>
      <c r="M157" s="13">
        <v>1</v>
      </c>
      <c r="N157" s="13">
        <v>1</v>
      </c>
      <c r="O157" s="13">
        <v>1</v>
      </c>
      <c r="P157" s="13">
        <v>1</v>
      </c>
      <c r="Q157" s="13">
        <v>1</v>
      </c>
      <c r="R157" s="21" t="str">
        <f>VLOOKUP($C157, Factor!$AM$4:$AY$30, 9, 0)</f>
        <v>Midium</v>
      </c>
      <c r="S157" s="13" t="s">
        <v>399</v>
      </c>
      <c r="T157" s="21" t="str">
        <f>VLOOKUP($C157, Factor!$AM$4:$AY$30, 10, 0)</f>
        <v>enpc</v>
      </c>
      <c r="U157" s="21" cm="1">
        <f t="array" ref="U157">L157*VLOOKUP($I157, Factor!$B$4:$G$8, 2, 0)*VLOOKUP($J157, Factor!$B$12:$G$13, 2, 0)*VLOOKUP($K157, Factor!$B$17:$G$18, 2, 0)*VLOOKUP($H157, Factor!$J$4:$O$7, 2, 0)*VLOOKUP($F157, Factor!$Q$4:$V$15, 2, 0)*IF(MOD($G157,10)=0, 10, MOD($G157, 10))*((INDEX(Factor!$X$4:$AC$13, _xlfn.XMATCH($G157, Factor!$X$4:$X$13, 1),2)*IF(MOD(G157, 10) = 0, 10, MOD(G157, 10)))+INDEX(Factor!$AE$4:$AJ$13, _xlfn.XMATCH(MonsterData!$G157, Factor!$AE$4:$AE$13, 1),2))</f>
        <v>2457</v>
      </c>
      <c r="V157" s="21" cm="1">
        <f t="array" ref="V157">M157*VLOOKUP($I157, Factor!$B$4:$G$8, 3, 0)*VLOOKUP($J157, Factor!$B$12:$G$13, 3, 0)*VLOOKUP($K157, Factor!$B$17:$G$18, 3, 0)*VLOOKUP($H157, Factor!$J$4:$O$7, 3, 0)*VLOOKUP($F157, Factor!$Q$4:$V$15, 3, 0)*IF(MOD($G157,10)=0, 10, MOD($G157, 10))*((INDEX(Factor!$X$4:$AC$13, _xlfn.XMATCH($G157, Factor!$X$4:$X$13, 1),3)*IF(MOD(G157, 10) = 0, 10, MOD(G157, 10)))+INDEX(Factor!$AE$4:$AJ$13, _xlfn.XMATCH(MonsterData!$G157, Factor!$AE$4:$AE$13, 1),3))</f>
        <v>122.85</v>
      </c>
      <c r="W157" s="21" cm="1">
        <f t="array" ref="W157">N157*VLOOKUP($I157, Factor!$B$4:$G$8, 4, 0)*VLOOKUP($J157, Factor!$B$12:$G$13, 4, 0)*VLOOKUP($K157, Factor!$B$17:$G$18, 4, 0)*VLOOKUP($H157, Factor!$J$4:$O$7, 4, 0)*VLOOKUP($F157, Factor!$Q$4:$V$15, 4, 0)*IF(MOD($G157,10)=0, 10, MOD($G157, 10))*((INDEX(Factor!$X$4:$AC$13, _xlfn.XMATCH($G157, Factor!$X$4:$X$13, 1),4)*IF(MOD(G157, 10) = 0, 10, MOD(G157, 10)))+INDEX(Factor!$AE$4:$AJ$13, _xlfn.XMATCH(MonsterData!$G157, Factor!$AE$4:$AE$13, 1),4))</f>
        <v>73.709999999999994</v>
      </c>
      <c r="X157" s="21" cm="1">
        <f t="array" ref="X157">O157*VLOOKUP($I157, Factor!$B$4:$G$8, 5, 0)*VLOOKUP($J157, Factor!$B$12:$G$13, 5, 0)*VLOOKUP($K157, Factor!$B$17:$G$18, 5, 0)*VLOOKUP($H157, Factor!$J$4:$O$7, 5, 0)*VLOOKUP($F157, Factor!$Q$4:$V$15, 5, 0)*IF(MOD($G157,10)=0, 10, MOD($G157, 10))*((INDEX(Factor!$X$4:$AC$13, _xlfn.XMATCH($G157, Factor!$X$4:$X$13, 1),5)*IF(MOD(G157, 10) = 0, 10, MOD(G157, 10)))+INDEX(Factor!$AE$4:$AJ$13, _xlfn.XMATCH(MonsterData!$G157, Factor!$AE$4:$AE$13, 1),5))</f>
        <v>16.379999999999995</v>
      </c>
      <c r="Y157" s="21" cm="1">
        <f t="array" ref="Y157">P157*VLOOKUP($I157, Factor!$B$4:$G$8, 6, 0)*VLOOKUP($J157, Factor!$B$12:$G$13, 6, 0)*VLOOKUP($K157, Factor!$B$17:$G$18, 6, 0)*VLOOKUP($H157, Factor!$J$4:$O$7, 2, 0)*VLOOKUP($F157, Factor!$Q$4:$V$15, 6, 0)*IF(MOD($G157,10)=0, 10, MOD($G157, 10))*((INDEX(Factor!$X$4:$AC$13, _xlfn.XMATCH($G157, Factor!$X$4:$X$13, 1),6)*IF(MOD(G157, 10) = 0, 10, MOD(G157, 10)))+INDEX(Factor!$AE$4:$AJ$13, _xlfn.XMATCH(MonsterData!$G157, Factor!$AE$4:$AE$13, 1),6))</f>
        <v>81.899999999999991</v>
      </c>
      <c r="Z157" s="21">
        <f>$Q157*VLOOKUP($J157, Factor!$B$12:$H$13, 7, 0)</f>
        <v>1</v>
      </c>
      <c r="AA157" s="13">
        <v>1</v>
      </c>
      <c r="AB157" s="21">
        <f t="shared" si="11"/>
        <v>0</v>
      </c>
      <c r="AC157" s="13" t="s">
        <v>139</v>
      </c>
      <c r="AD157" s="15" t="s">
        <v>387</v>
      </c>
    </row>
    <row r="158" spans="1:30" ht="15.75" customHeight="1">
      <c r="A158" s="16" t="str">
        <f>T158&amp;"_"&amp;F158&amp;VLOOKUP($C158, Factor!$AM$4:$AY$30, 7, 0)&amp;IF(COUNTIFS($C$4:C157, C158, $F$4:F157, F158)+1&gt;=100, COUNTIFS($C$4:C157, C158, $F$4:F157, F158)+1,IF(COUNTIFS($C$4:C157, C158, $F$4:F157, F158)+1&gt;=10, "0"&amp;COUNTIFS($C$4:C157, C158, $F$4:F157, F158)+1, "00"&amp;COUNTIFS($C$4:C157, C158, $F$4:F157, F158)+1))</f>
        <v>enpc_F03_A_Swarmlet_001</v>
      </c>
      <c r="B158" s="16"/>
      <c r="C158" s="16" t="s">
        <v>355</v>
      </c>
      <c r="D158" s="17" t="str">
        <f t="shared" si="10"/>
        <v>스웜렛</v>
      </c>
      <c r="E158" s="17" t="str">
        <f>VLOOKUP($C158, Factor!$AM$4:$AY$30, 8, 0)</f>
        <v>B</v>
      </c>
      <c r="F158" s="17" t="s">
        <v>111</v>
      </c>
      <c r="G158" s="20">
        <v>23</v>
      </c>
      <c r="H158" s="16" t="s">
        <v>56</v>
      </c>
      <c r="I158" s="17" t="str">
        <f>VLOOKUP($C158, Factor!$AM$4:$AY$30, 11, 0)</f>
        <v>A</v>
      </c>
      <c r="J158" s="17" t="str">
        <f>VLOOKUP($C158, Factor!$AM$4:$AY$30, 12, 0)</f>
        <v>ml</v>
      </c>
      <c r="K158" s="17" t="str">
        <f>VLOOKUP($C158, Factor!$AM$4:$AY$30, 13, 0)</f>
        <v>L</v>
      </c>
      <c r="L158" s="17">
        <v>1</v>
      </c>
      <c r="M158" s="17">
        <v>1</v>
      </c>
      <c r="N158" s="17">
        <v>1</v>
      </c>
      <c r="O158" s="17">
        <v>1</v>
      </c>
      <c r="P158" s="17">
        <v>1</v>
      </c>
      <c r="Q158" s="17">
        <v>1</v>
      </c>
      <c r="R158" s="17" t="str">
        <f>VLOOKUP($C158, Factor!$AM$4:$AY$30, 9, 0)</f>
        <v>Small</v>
      </c>
      <c r="S158" s="17" t="s">
        <v>376</v>
      </c>
      <c r="T158" s="17" t="str">
        <f>VLOOKUP($C158, Factor!$AM$4:$AY$30, 10, 0)</f>
        <v>enpc</v>
      </c>
      <c r="U158" s="17" cm="1">
        <f t="array" ref="U158">L158*VLOOKUP($I158, Factor!$B$4:$G$8, 2, 0)*VLOOKUP($J158, Factor!$B$12:$G$13, 2, 0)*VLOOKUP($K158, Factor!$B$17:$G$18, 2, 0)*VLOOKUP($H158, Factor!$J$4:$O$7, 2, 0)*VLOOKUP($F158, Factor!$Q$4:$V$15, 2, 0)*IF(MOD($G158,10)=0, 10, MOD($G158, 10))*((INDEX(Factor!$X$4:$AC$13, _xlfn.XMATCH($G158, Factor!$X$4:$X$13, 1),2)*IF(MOD(G158, 10) = 0, 10, MOD(G158, 10)))+INDEX(Factor!$AE$4:$AJ$13, _xlfn.XMATCH(MonsterData!$G158, Factor!$AE$4:$AE$13, 1),2))</f>
        <v>2457</v>
      </c>
      <c r="V158" s="17" cm="1">
        <f t="array" ref="V158">M158*VLOOKUP($I158, Factor!$B$4:$G$8, 3, 0)*VLOOKUP($J158, Factor!$B$12:$G$13, 3, 0)*VLOOKUP($K158, Factor!$B$17:$G$18, 3, 0)*VLOOKUP($H158, Factor!$J$4:$O$7, 3, 0)*VLOOKUP($F158, Factor!$Q$4:$V$15, 3, 0)*IF(MOD($G158,10)=0, 10, MOD($G158, 10))*((INDEX(Factor!$X$4:$AC$13, _xlfn.XMATCH($G158, Factor!$X$4:$X$13, 1),3)*IF(MOD(G158, 10) = 0, 10, MOD(G158, 10)))+INDEX(Factor!$AE$4:$AJ$13, _xlfn.XMATCH(MonsterData!$G158, Factor!$AE$4:$AE$13, 1),3))</f>
        <v>122.85</v>
      </c>
      <c r="W158" s="17" cm="1">
        <f t="array" ref="W158">N158*VLOOKUP($I158, Factor!$B$4:$G$8, 4, 0)*VLOOKUP($J158, Factor!$B$12:$G$13, 4, 0)*VLOOKUP($K158, Factor!$B$17:$G$18, 4, 0)*VLOOKUP($H158, Factor!$J$4:$O$7, 4, 0)*VLOOKUP($F158, Factor!$Q$4:$V$15, 4, 0)*IF(MOD($G158,10)=0, 10, MOD($G158, 10))*((INDEX(Factor!$X$4:$AC$13, _xlfn.XMATCH($G158, Factor!$X$4:$X$13, 1),4)*IF(MOD(G158, 10) = 0, 10, MOD(G158, 10)))+INDEX(Factor!$AE$4:$AJ$13, _xlfn.XMATCH(MonsterData!$G158, Factor!$AE$4:$AE$13, 1),4))</f>
        <v>147.41999999999999</v>
      </c>
      <c r="X158" s="17" cm="1">
        <f t="array" ref="X158">O158*VLOOKUP($I158, Factor!$B$4:$G$8, 5, 0)*VLOOKUP($J158, Factor!$B$12:$G$13, 5, 0)*VLOOKUP($K158, Factor!$B$17:$G$18, 5, 0)*VLOOKUP($H158, Factor!$J$4:$O$7, 5, 0)*VLOOKUP($F158, Factor!$Q$4:$V$15, 5, 0)*IF(MOD($G158,10)=0, 10, MOD($G158, 10))*((INDEX(Factor!$X$4:$AC$13, _xlfn.XMATCH($G158, Factor!$X$4:$X$13, 1),5)*IF(MOD(G158, 10) = 0, 10, MOD(G158, 10)))+INDEX(Factor!$AE$4:$AJ$13, _xlfn.XMATCH(MonsterData!$G158, Factor!$AE$4:$AE$13, 1),5))</f>
        <v>14.742000000000001</v>
      </c>
      <c r="Y158" s="17" cm="1">
        <f t="array" ref="Y158">P158*VLOOKUP($I158, Factor!$B$4:$G$8, 6, 0)*VLOOKUP($J158, Factor!$B$12:$G$13, 6, 0)*VLOOKUP($K158, Factor!$B$17:$G$18, 6, 0)*VLOOKUP($H158, Factor!$J$4:$O$7, 2, 0)*VLOOKUP($F158, Factor!$Q$4:$V$15, 6, 0)*IF(MOD($G158,10)=0, 10, MOD($G158, 10))*((INDEX(Factor!$X$4:$AC$13, _xlfn.XMATCH($G158, Factor!$X$4:$X$13, 1),6)*IF(MOD(G158, 10) = 0, 10, MOD(G158, 10)))+INDEX(Factor!$AE$4:$AJ$13, _xlfn.XMATCH(MonsterData!$G158, Factor!$AE$4:$AE$13, 1),6))</f>
        <v>81.899999999999991</v>
      </c>
      <c r="Z158" s="17">
        <f>$Q158*VLOOKUP($J158, Factor!$B$12:$H$13, 7, 0)</f>
        <v>1</v>
      </c>
      <c r="AA158" s="17">
        <v>1</v>
      </c>
      <c r="AB158" s="17">
        <f t="shared" si="11"/>
        <v>0</v>
      </c>
      <c r="AC158" s="17" t="s">
        <v>139</v>
      </c>
      <c r="AD158" s="19" t="s">
        <v>387</v>
      </c>
    </row>
    <row r="159" spans="1:30" ht="15.75" customHeight="1">
      <c r="A159" s="13" t="str">
        <f>T159&amp;"_"&amp;F159&amp;VLOOKUP($C159, Factor!$AM$4:$AY$30, 7, 0)&amp;IF(COUNTIFS($C$4:C158, C159, $F$4:F158, F159)+1&gt;=100, COUNTIFS($C$4:C158, C159, $F$4:F158, F159)+1,IF(COUNTIFS($C$4:C158, C159, $F$4:F158, F159)+1&gt;=10, "0"&amp;COUNTIFS($C$4:C158, C159, $F$4:F158, F159)+1, "00"&amp;COUNTIFS($C$4:C158, C159, $F$4:F158, F159)+1))</f>
        <v>enpc_F03_A_Mantis_001</v>
      </c>
      <c r="B159" s="13"/>
      <c r="C159" s="13" t="s">
        <v>357</v>
      </c>
      <c r="D159" s="21" t="str">
        <f t="shared" si="10"/>
        <v>맨티스</v>
      </c>
      <c r="E159" s="21" t="str">
        <f>VLOOKUP($C159, Factor!$AM$4:$AY$30, 8, 0)</f>
        <v>S</v>
      </c>
      <c r="F159" s="21" t="s">
        <v>111</v>
      </c>
      <c r="G159" s="22">
        <v>23</v>
      </c>
      <c r="H159" s="13" t="s">
        <v>55</v>
      </c>
      <c r="I159" s="21" t="str">
        <f>VLOOKUP($C159, Factor!$AM$4:$AY$30, 11, 0)</f>
        <v>A</v>
      </c>
      <c r="J159" s="21" t="str">
        <f>VLOOKUP($C159, Factor!$AM$4:$AY$30, 12, 0)</f>
        <v>ml</v>
      </c>
      <c r="K159" s="21" t="str">
        <f>VLOOKUP($C159, Factor!$AM$4:$AY$30, 13, 0)</f>
        <v>L</v>
      </c>
      <c r="L159" s="13">
        <v>1</v>
      </c>
      <c r="M159" s="13">
        <v>1</v>
      </c>
      <c r="N159" s="13">
        <v>1</v>
      </c>
      <c r="O159" s="13">
        <v>1</v>
      </c>
      <c r="P159" s="13">
        <v>1</v>
      </c>
      <c r="Q159" s="13">
        <v>1</v>
      </c>
      <c r="R159" s="21" t="str">
        <f>VLOOKUP($C159, Factor!$AM$4:$AY$30, 9, 0)</f>
        <v>Small</v>
      </c>
      <c r="S159" s="13" t="s">
        <v>400</v>
      </c>
      <c r="T159" s="21" t="str">
        <f>VLOOKUP($C159, Factor!$AM$4:$AY$30, 10, 0)</f>
        <v>enpc</v>
      </c>
      <c r="U159" s="21" cm="1">
        <f t="array" ref="U159">L159*VLOOKUP($I159, Factor!$B$4:$G$8, 2, 0)*VLOOKUP($J159, Factor!$B$12:$G$13, 2, 0)*VLOOKUP($K159, Factor!$B$17:$G$18, 2, 0)*VLOOKUP($H159, Factor!$J$4:$O$7, 2, 0)*VLOOKUP($F159, Factor!$Q$4:$V$15, 2, 0)*IF(MOD($G159,10)=0, 10, MOD($G159, 10))*((INDEX(Factor!$X$4:$AC$13, _xlfn.XMATCH($G159, Factor!$X$4:$X$13, 1),2)*IF(MOD(G159, 10) = 0, 10, MOD(G159, 10)))+INDEX(Factor!$AE$4:$AJ$13, _xlfn.XMATCH(MonsterData!$G159, Factor!$AE$4:$AE$13, 1),2))</f>
        <v>2457</v>
      </c>
      <c r="V159" s="21" cm="1">
        <f t="array" ref="V159">M159*VLOOKUP($I159, Factor!$B$4:$G$8, 3, 0)*VLOOKUP($J159, Factor!$B$12:$G$13, 3, 0)*VLOOKUP($K159, Factor!$B$17:$G$18, 3, 0)*VLOOKUP($H159, Factor!$J$4:$O$7, 3, 0)*VLOOKUP($F159, Factor!$Q$4:$V$15, 3, 0)*IF(MOD($G159,10)=0, 10, MOD($G159, 10))*((INDEX(Factor!$X$4:$AC$13, _xlfn.XMATCH($G159, Factor!$X$4:$X$13, 1),3)*IF(MOD(G159, 10) = 0, 10, MOD(G159, 10)))+INDEX(Factor!$AE$4:$AJ$13, _xlfn.XMATCH(MonsterData!$G159, Factor!$AE$4:$AE$13, 1),3))</f>
        <v>122.85</v>
      </c>
      <c r="W159" s="21" cm="1">
        <f t="array" ref="W159">N159*VLOOKUP($I159, Factor!$B$4:$G$8, 4, 0)*VLOOKUP($J159, Factor!$B$12:$G$13, 4, 0)*VLOOKUP($K159, Factor!$B$17:$G$18, 4, 0)*VLOOKUP($H159, Factor!$J$4:$O$7, 4, 0)*VLOOKUP($F159, Factor!$Q$4:$V$15, 4, 0)*IF(MOD($G159,10)=0, 10, MOD($G159, 10))*((INDEX(Factor!$X$4:$AC$13, _xlfn.XMATCH($G159, Factor!$X$4:$X$13, 1),4)*IF(MOD(G159, 10) = 0, 10, MOD(G159, 10)))+INDEX(Factor!$AE$4:$AJ$13, _xlfn.XMATCH(MonsterData!$G159, Factor!$AE$4:$AE$13, 1),4))</f>
        <v>73.709999999999994</v>
      </c>
      <c r="X159" s="21" cm="1">
        <f t="array" ref="X159">O159*VLOOKUP($I159, Factor!$B$4:$G$8, 5, 0)*VLOOKUP($J159, Factor!$B$12:$G$13, 5, 0)*VLOOKUP($K159, Factor!$B$17:$G$18, 5, 0)*VLOOKUP($H159, Factor!$J$4:$O$7, 5, 0)*VLOOKUP($F159, Factor!$Q$4:$V$15, 5, 0)*IF(MOD($G159,10)=0, 10, MOD($G159, 10))*((INDEX(Factor!$X$4:$AC$13, _xlfn.XMATCH($G159, Factor!$X$4:$X$13, 1),5)*IF(MOD(G159, 10) = 0, 10, MOD(G159, 10)))+INDEX(Factor!$AE$4:$AJ$13, _xlfn.XMATCH(MonsterData!$G159, Factor!$AE$4:$AE$13, 1),5))</f>
        <v>16.379999999999995</v>
      </c>
      <c r="Y159" s="21" cm="1">
        <f t="array" ref="Y159">P159*VLOOKUP($I159, Factor!$B$4:$G$8, 6, 0)*VLOOKUP($J159, Factor!$B$12:$G$13, 6, 0)*VLOOKUP($K159, Factor!$B$17:$G$18, 6, 0)*VLOOKUP($H159, Factor!$J$4:$O$7, 2, 0)*VLOOKUP($F159, Factor!$Q$4:$V$15, 6, 0)*IF(MOD($G159,10)=0, 10, MOD($G159, 10))*((INDEX(Factor!$X$4:$AC$13, _xlfn.XMATCH($G159, Factor!$X$4:$X$13, 1),6)*IF(MOD(G159, 10) = 0, 10, MOD(G159, 10)))+INDEX(Factor!$AE$4:$AJ$13, _xlfn.XMATCH(MonsterData!$G159, Factor!$AE$4:$AE$13, 1),6))</f>
        <v>81.899999999999991</v>
      </c>
      <c r="Z159" s="21">
        <f>$Q159*VLOOKUP($J159, Factor!$B$12:$H$13, 7, 0)</f>
        <v>1</v>
      </c>
      <c r="AA159" s="13">
        <v>1</v>
      </c>
      <c r="AB159" s="21">
        <f t="shared" si="11"/>
        <v>0</v>
      </c>
      <c r="AC159" s="13" t="s">
        <v>139</v>
      </c>
      <c r="AD159" s="15" t="s">
        <v>387</v>
      </c>
    </row>
    <row r="160" spans="1:30" ht="15.75" customHeight="1">
      <c r="A160" s="16" t="str">
        <f>T160&amp;"_"&amp;F160&amp;VLOOKUP($C160, Factor!$AM$4:$AY$30, 7, 0)&amp;IF(COUNTIFS($C$4:C159, C160, $F$4:F159, F160)+1&gt;=100, COUNTIFS($C$4:C159, C160, $F$4:F159, F160)+1,IF(COUNTIFS($C$4:C159, C160, $F$4:F159, F160)+1&gt;=10, "0"&amp;COUNTIFS($C$4:C159, C160, $F$4:F159, F160)+1, "00"&amp;COUNTIFS($C$4:C159, C160, $F$4:F159, F160)+1))</f>
        <v>enpc_F03_B_Kobold_001</v>
      </c>
      <c r="B160" s="16"/>
      <c r="C160" s="16" t="s">
        <v>359</v>
      </c>
      <c r="D160" s="17" t="str">
        <f t="shared" si="10"/>
        <v>코볼트</v>
      </c>
      <c r="E160" s="17" t="str">
        <f>VLOOKUP($C160, Factor!$AM$4:$AY$30, 8, 0)</f>
        <v>M</v>
      </c>
      <c r="F160" s="17" t="s">
        <v>111</v>
      </c>
      <c r="G160" s="20">
        <v>38</v>
      </c>
      <c r="H160" s="16" t="s">
        <v>56</v>
      </c>
      <c r="I160" s="17" t="str">
        <f>VLOOKUP($C160, Factor!$AM$4:$AY$30, 11, 0)</f>
        <v>B</v>
      </c>
      <c r="J160" s="17" t="str">
        <f>VLOOKUP($C160, Factor!$AM$4:$AY$30, 12, 0)</f>
        <v>ml</v>
      </c>
      <c r="K160" s="17" t="str">
        <f>VLOOKUP($C160, Factor!$AM$4:$AY$30, 13, 0)</f>
        <v>L</v>
      </c>
      <c r="L160" s="17">
        <v>1</v>
      </c>
      <c r="M160" s="17">
        <v>1</v>
      </c>
      <c r="N160" s="17">
        <v>1</v>
      </c>
      <c r="O160" s="17">
        <v>1</v>
      </c>
      <c r="P160" s="17">
        <v>1</v>
      </c>
      <c r="Q160" s="17">
        <v>1</v>
      </c>
      <c r="R160" s="17" t="str">
        <f>VLOOKUP($C160, Factor!$AM$4:$AY$30, 9, 0)</f>
        <v>Small</v>
      </c>
      <c r="S160" s="17" t="s">
        <v>378</v>
      </c>
      <c r="T160" s="17" t="str">
        <f>VLOOKUP($C160, Factor!$AM$4:$AY$30, 10, 0)</f>
        <v>enpc</v>
      </c>
      <c r="U160" s="17" cm="1">
        <f t="array" ref="U160">L160*VLOOKUP($I160, Factor!$B$4:$G$8, 2, 0)*VLOOKUP($J160, Factor!$B$12:$G$13, 2, 0)*VLOOKUP($K160, Factor!$B$17:$G$18, 2, 0)*VLOOKUP($H160, Factor!$J$4:$O$7, 2, 0)*VLOOKUP($F160, Factor!$Q$4:$V$15, 2, 0)*IF(MOD($G160,10)=0, 10, MOD($G160, 10))*((INDEX(Factor!$X$4:$AC$13, _xlfn.XMATCH($G160, Factor!$X$4:$X$13, 1),2)*IF(MOD(G160, 10) = 0, 10, MOD(G160, 10)))+INDEX(Factor!$AE$4:$AJ$13, _xlfn.XMATCH(MonsterData!$G160, Factor!$AE$4:$AE$13, 1),2))</f>
        <v>77280</v>
      </c>
      <c r="V160" s="17" cm="1">
        <f t="array" ref="V160">M160*VLOOKUP($I160, Factor!$B$4:$G$8, 3, 0)*VLOOKUP($J160, Factor!$B$12:$G$13, 3, 0)*VLOOKUP($K160, Factor!$B$17:$G$18, 3, 0)*VLOOKUP($H160, Factor!$J$4:$O$7, 3, 0)*VLOOKUP($F160, Factor!$Q$4:$V$15, 3, 0)*IF(MOD($G160,10)=0, 10, MOD($G160, 10))*((INDEX(Factor!$X$4:$AC$13, _xlfn.XMATCH($G160, Factor!$X$4:$X$13, 1),3)*IF(MOD(G160, 10) = 0, 10, MOD(G160, 10)))+INDEX(Factor!$AE$4:$AJ$13, _xlfn.XMATCH(MonsterData!$G160, Factor!$AE$4:$AE$13, 1),3))</f>
        <v>3863.9999999999995</v>
      </c>
      <c r="W160" s="17" cm="1">
        <f t="array" ref="W160">N160*VLOOKUP($I160, Factor!$B$4:$G$8, 4, 0)*VLOOKUP($J160, Factor!$B$12:$G$13, 4, 0)*VLOOKUP($K160, Factor!$B$17:$G$18, 4, 0)*VLOOKUP($H160, Factor!$J$4:$O$7, 4, 0)*VLOOKUP($F160, Factor!$Q$4:$V$15, 4, 0)*IF(MOD($G160,10)=0, 10, MOD($G160, 10))*((INDEX(Factor!$X$4:$AC$13, _xlfn.XMATCH($G160, Factor!$X$4:$X$13, 1),4)*IF(MOD(G160, 10) = 0, 10, MOD(G160, 10)))+INDEX(Factor!$AE$4:$AJ$13, _xlfn.XMATCH(MonsterData!$G160, Factor!$AE$4:$AE$13, 1),4))</f>
        <v>7727.9999999999991</v>
      </c>
      <c r="X160" s="17" cm="1">
        <f t="array" ref="X160">O160*VLOOKUP($I160, Factor!$B$4:$G$8, 5, 0)*VLOOKUP($J160, Factor!$B$12:$G$13, 5, 0)*VLOOKUP($K160, Factor!$B$17:$G$18, 5, 0)*VLOOKUP($H160, Factor!$J$4:$O$7, 5, 0)*VLOOKUP($F160, Factor!$Q$4:$V$15, 5, 0)*IF(MOD($G160,10)=0, 10, MOD($G160, 10))*((INDEX(Factor!$X$4:$AC$13, _xlfn.XMATCH($G160, Factor!$X$4:$X$13, 1),5)*IF(MOD(G160, 10) = 0, 10, MOD(G160, 10)))+INDEX(Factor!$AE$4:$AJ$13, _xlfn.XMATCH(MonsterData!$G160, Factor!$AE$4:$AE$13, 1),5))</f>
        <v>185.47199999999998</v>
      </c>
      <c r="Y160" s="17" cm="1">
        <f t="array" ref="Y160">P160*VLOOKUP($I160, Factor!$B$4:$G$8, 6, 0)*VLOOKUP($J160, Factor!$B$12:$G$13, 6, 0)*VLOOKUP($K160, Factor!$B$17:$G$18, 6, 0)*VLOOKUP($H160, Factor!$J$4:$O$7, 2, 0)*VLOOKUP($F160, Factor!$Q$4:$V$15, 6, 0)*IF(MOD($G160,10)=0, 10, MOD($G160, 10))*((INDEX(Factor!$X$4:$AC$13, _xlfn.XMATCH($G160, Factor!$X$4:$X$13, 1),6)*IF(MOD(G160, 10) = 0, 10, MOD(G160, 10)))+INDEX(Factor!$AE$4:$AJ$13, _xlfn.XMATCH(MonsterData!$G160, Factor!$AE$4:$AE$13, 1),6))</f>
        <v>412.15999999999997</v>
      </c>
      <c r="Z160" s="17">
        <f>$Q160*VLOOKUP($J160, Factor!$B$12:$H$13, 7, 0)</f>
        <v>1</v>
      </c>
      <c r="AA160" s="17">
        <v>1</v>
      </c>
      <c r="AB160" s="17">
        <f t="shared" si="11"/>
        <v>0</v>
      </c>
      <c r="AC160" s="17" t="s">
        <v>393</v>
      </c>
      <c r="AD160" s="19" t="s">
        <v>388</v>
      </c>
    </row>
    <row r="161" spans="1:30" ht="15.75" customHeight="1">
      <c r="A161" s="13" t="str">
        <f>T161&amp;"_"&amp;F161&amp;VLOOKUP($C161, Factor!$AM$4:$AY$30, 7, 0)&amp;IF(COUNTIFS($C$4:C160, C161, $F$4:F160, F161)+1&gt;=100, COUNTIFS($C$4:C160, C161, $F$4:F160, F161)+1,IF(COUNTIFS($C$4:C160, C161, $F$4:F160, F161)+1&gt;=10, "0"&amp;COUNTIFS($C$4:C160, C161, $F$4:F160, F161)+1, "00"&amp;COUNTIFS($C$4:C160, C161, $F$4:F160, F161)+1))</f>
        <v>enpc_F03_B_Ghoul_001</v>
      </c>
      <c r="B161" s="13"/>
      <c r="C161" s="13" t="s">
        <v>361</v>
      </c>
      <c r="D161" s="21" t="str">
        <f t="shared" si="10"/>
        <v>구울</v>
      </c>
      <c r="E161" s="21" t="str">
        <f>VLOOKUP($C161, Factor!$AM$4:$AY$30, 8, 0)</f>
        <v>M</v>
      </c>
      <c r="F161" s="21" t="s">
        <v>111</v>
      </c>
      <c r="G161" s="22">
        <v>38</v>
      </c>
      <c r="H161" s="13" t="s">
        <v>55</v>
      </c>
      <c r="I161" s="21" t="str">
        <f>VLOOKUP($C161, Factor!$AM$4:$AY$30, 11, 0)</f>
        <v>B</v>
      </c>
      <c r="J161" s="21" t="str">
        <f>VLOOKUP($C161, Factor!$AM$4:$AY$30, 12, 0)</f>
        <v>ml</v>
      </c>
      <c r="K161" s="21" t="str">
        <f>VLOOKUP($C161, Factor!$AM$4:$AY$30, 13, 0)</f>
        <v>L</v>
      </c>
      <c r="L161" s="13">
        <v>1</v>
      </c>
      <c r="M161" s="13">
        <v>1</v>
      </c>
      <c r="N161" s="13">
        <v>1</v>
      </c>
      <c r="O161" s="13">
        <v>1</v>
      </c>
      <c r="P161" s="13">
        <v>1</v>
      </c>
      <c r="Q161" s="13">
        <v>1</v>
      </c>
      <c r="R161" s="21" t="str">
        <f>VLOOKUP($C161, Factor!$AM$4:$AY$30, 9, 0)</f>
        <v>Midium</v>
      </c>
      <c r="S161" s="13" t="s">
        <v>401</v>
      </c>
      <c r="T161" s="21" t="str">
        <f>VLOOKUP($C161, Factor!$AM$4:$AY$30, 10, 0)</f>
        <v>enpc</v>
      </c>
      <c r="U161" s="21" cm="1">
        <f t="array" ref="U161">L161*VLOOKUP($I161, Factor!$B$4:$G$8, 2, 0)*VLOOKUP($J161, Factor!$B$12:$G$13, 2, 0)*VLOOKUP($K161, Factor!$B$17:$G$18, 2, 0)*VLOOKUP($H161, Factor!$J$4:$O$7, 2, 0)*VLOOKUP($F161, Factor!$Q$4:$V$15, 2, 0)*IF(MOD($G161,10)=0, 10, MOD($G161, 10))*((INDEX(Factor!$X$4:$AC$13, _xlfn.XMATCH($G161, Factor!$X$4:$X$13, 1),2)*IF(MOD(G161, 10) = 0, 10, MOD(G161, 10)))+INDEX(Factor!$AE$4:$AJ$13, _xlfn.XMATCH(MonsterData!$G161, Factor!$AE$4:$AE$13, 1),2))</f>
        <v>77280</v>
      </c>
      <c r="V161" s="21" cm="1">
        <f t="array" ref="V161">M161*VLOOKUP($I161, Factor!$B$4:$G$8, 3, 0)*VLOOKUP($J161, Factor!$B$12:$G$13, 3, 0)*VLOOKUP($K161, Factor!$B$17:$G$18, 3, 0)*VLOOKUP($H161, Factor!$J$4:$O$7, 3, 0)*VLOOKUP($F161, Factor!$Q$4:$V$15, 3, 0)*IF(MOD($G161,10)=0, 10, MOD($G161, 10))*((INDEX(Factor!$X$4:$AC$13, _xlfn.XMATCH($G161, Factor!$X$4:$X$13, 1),3)*IF(MOD(G161, 10) = 0, 10, MOD(G161, 10)))+INDEX(Factor!$AE$4:$AJ$13, _xlfn.XMATCH(MonsterData!$G161, Factor!$AE$4:$AE$13, 1),3))</f>
        <v>3863.9999999999995</v>
      </c>
      <c r="W161" s="21" cm="1">
        <f t="array" ref="W161">N161*VLOOKUP($I161, Factor!$B$4:$G$8, 4, 0)*VLOOKUP($J161, Factor!$B$12:$G$13, 4, 0)*VLOOKUP($K161, Factor!$B$17:$G$18, 4, 0)*VLOOKUP($H161, Factor!$J$4:$O$7, 4, 0)*VLOOKUP($F161, Factor!$Q$4:$V$15, 4, 0)*IF(MOD($G161,10)=0, 10, MOD($G161, 10))*((INDEX(Factor!$X$4:$AC$13, _xlfn.XMATCH($G161, Factor!$X$4:$X$13, 1),4)*IF(MOD(G161, 10) = 0, 10, MOD(G161, 10)))+INDEX(Factor!$AE$4:$AJ$13, _xlfn.XMATCH(MonsterData!$G161, Factor!$AE$4:$AE$13, 1),4))</f>
        <v>3863.9999999999995</v>
      </c>
      <c r="X161" s="21" cm="1">
        <f t="array" ref="X161">O161*VLOOKUP($I161, Factor!$B$4:$G$8, 5, 0)*VLOOKUP($J161, Factor!$B$12:$G$13, 5, 0)*VLOOKUP($K161, Factor!$B$17:$G$18, 5, 0)*VLOOKUP($H161, Factor!$J$4:$O$7, 5, 0)*VLOOKUP($F161, Factor!$Q$4:$V$15, 5, 0)*IF(MOD($G161,10)=0, 10, MOD($G161, 10))*((INDEX(Factor!$X$4:$AC$13, _xlfn.XMATCH($G161, Factor!$X$4:$X$13, 1),5)*IF(MOD(G161, 10) = 0, 10, MOD(G161, 10)))+INDEX(Factor!$AE$4:$AJ$13, _xlfn.XMATCH(MonsterData!$G161, Factor!$AE$4:$AE$13, 1),5))</f>
        <v>206.07999999999998</v>
      </c>
      <c r="Y161" s="21" cm="1">
        <f t="array" ref="Y161">P161*VLOOKUP($I161, Factor!$B$4:$G$8, 6, 0)*VLOOKUP($J161, Factor!$B$12:$G$13, 6, 0)*VLOOKUP($K161, Factor!$B$17:$G$18, 6, 0)*VLOOKUP($H161, Factor!$J$4:$O$7, 2, 0)*VLOOKUP($F161, Factor!$Q$4:$V$15, 6, 0)*IF(MOD($G161,10)=0, 10, MOD($G161, 10))*((INDEX(Factor!$X$4:$AC$13, _xlfn.XMATCH($G161, Factor!$X$4:$X$13, 1),6)*IF(MOD(G161, 10) = 0, 10, MOD(G161, 10)))+INDEX(Factor!$AE$4:$AJ$13, _xlfn.XMATCH(MonsterData!$G161, Factor!$AE$4:$AE$13, 1),6))</f>
        <v>412.15999999999997</v>
      </c>
      <c r="Z161" s="21">
        <f>$Q161*VLOOKUP($J161, Factor!$B$12:$H$13, 7, 0)</f>
        <v>1</v>
      </c>
      <c r="AA161" s="13">
        <v>1</v>
      </c>
      <c r="AB161" s="21">
        <f t="shared" si="11"/>
        <v>0</v>
      </c>
      <c r="AC161" s="13" t="s">
        <v>394</v>
      </c>
      <c r="AD161" s="15" t="s">
        <v>389</v>
      </c>
    </row>
    <row r="162" spans="1:30" ht="15.75" customHeight="1">
      <c r="A162" s="16" t="str">
        <f>T162&amp;"_"&amp;F162&amp;VLOOKUP($C162, Factor!$AM$4:$AY$30, 7, 0)&amp;IF(COUNTIFS($C$4:C161, C162, $F$4:F161, F162)+1&gt;=100, COUNTIFS($C$4:C161, C162, $F$4:F161, F162)+1,IF(COUNTIFS($C$4:C161, C162, $F$4:F161, F162)+1&gt;=10, "0"&amp;COUNTIFS($C$4:C161, C162, $F$4:F161, F162)+1, "00"&amp;COUNTIFS($C$4:C161, C162, $F$4:F161, F162)+1))</f>
        <v>enpc_F03_B_Gorgon_001</v>
      </c>
      <c r="B162" s="16"/>
      <c r="C162" s="16" t="s">
        <v>363</v>
      </c>
      <c r="D162" s="17" t="str">
        <f t="shared" si="10"/>
        <v>고르곤</v>
      </c>
      <c r="E162" s="17" t="str">
        <f>VLOOKUP($C162, Factor!$AM$4:$AY$30, 8, 0)</f>
        <v>B</v>
      </c>
      <c r="F162" s="17" t="s">
        <v>111</v>
      </c>
      <c r="G162" s="20">
        <v>38</v>
      </c>
      <c r="H162" s="16" t="s">
        <v>56</v>
      </c>
      <c r="I162" s="17" t="str">
        <f>VLOOKUP($C162, Factor!$AM$4:$AY$30, 11, 0)</f>
        <v>B</v>
      </c>
      <c r="J162" s="17" t="str">
        <f>VLOOKUP($C162, Factor!$AM$4:$AY$30, 12, 0)</f>
        <v>ml</v>
      </c>
      <c r="K162" s="17" t="str">
        <f>VLOOKUP($C162, Factor!$AM$4:$AY$30, 13, 0)</f>
        <v>L</v>
      </c>
      <c r="L162" s="17">
        <v>1</v>
      </c>
      <c r="M162" s="17">
        <v>1</v>
      </c>
      <c r="N162" s="17">
        <v>1</v>
      </c>
      <c r="O162" s="17">
        <v>1</v>
      </c>
      <c r="P162" s="17">
        <v>1</v>
      </c>
      <c r="Q162" s="17">
        <v>1</v>
      </c>
      <c r="R162" s="17" t="str">
        <f>VLOOKUP($C162, Factor!$AM$4:$AY$30, 9, 0)</f>
        <v>Midium</v>
      </c>
      <c r="S162" s="17" t="s">
        <v>380</v>
      </c>
      <c r="T162" s="17" t="str">
        <f>VLOOKUP($C162, Factor!$AM$4:$AY$30, 10, 0)</f>
        <v>enpc</v>
      </c>
      <c r="U162" s="17" cm="1">
        <f t="array" ref="U162">L162*VLOOKUP($I162, Factor!$B$4:$G$8, 2, 0)*VLOOKUP($J162, Factor!$B$12:$G$13, 2, 0)*VLOOKUP($K162, Factor!$B$17:$G$18, 2, 0)*VLOOKUP($H162, Factor!$J$4:$O$7, 2, 0)*VLOOKUP($F162, Factor!$Q$4:$V$15, 2, 0)*IF(MOD($G162,10)=0, 10, MOD($G162, 10))*((INDEX(Factor!$X$4:$AC$13, _xlfn.XMATCH($G162, Factor!$X$4:$X$13, 1),2)*IF(MOD(G162, 10) = 0, 10, MOD(G162, 10)))+INDEX(Factor!$AE$4:$AJ$13, _xlfn.XMATCH(MonsterData!$G162, Factor!$AE$4:$AE$13, 1),2))</f>
        <v>77280</v>
      </c>
      <c r="V162" s="17" cm="1">
        <f t="array" ref="V162">M162*VLOOKUP($I162, Factor!$B$4:$G$8, 3, 0)*VLOOKUP($J162, Factor!$B$12:$G$13, 3, 0)*VLOOKUP($K162, Factor!$B$17:$G$18, 3, 0)*VLOOKUP($H162, Factor!$J$4:$O$7, 3, 0)*VLOOKUP($F162, Factor!$Q$4:$V$15, 3, 0)*IF(MOD($G162,10)=0, 10, MOD($G162, 10))*((INDEX(Factor!$X$4:$AC$13, _xlfn.XMATCH($G162, Factor!$X$4:$X$13, 1),3)*IF(MOD(G162, 10) = 0, 10, MOD(G162, 10)))+INDEX(Factor!$AE$4:$AJ$13, _xlfn.XMATCH(MonsterData!$G162, Factor!$AE$4:$AE$13, 1),3))</f>
        <v>3863.9999999999995</v>
      </c>
      <c r="W162" s="17" cm="1">
        <f t="array" ref="W162">N162*VLOOKUP($I162, Factor!$B$4:$G$8, 4, 0)*VLOOKUP($J162, Factor!$B$12:$G$13, 4, 0)*VLOOKUP($K162, Factor!$B$17:$G$18, 4, 0)*VLOOKUP($H162, Factor!$J$4:$O$7, 4, 0)*VLOOKUP($F162, Factor!$Q$4:$V$15, 4, 0)*IF(MOD($G162,10)=0, 10, MOD($G162, 10))*((INDEX(Factor!$X$4:$AC$13, _xlfn.XMATCH($G162, Factor!$X$4:$X$13, 1),4)*IF(MOD(G162, 10) = 0, 10, MOD(G162, 10)))+INDEX(Factor!$AE$4:$AJ$13, _xlfn.XMATCH(MonsterData!$G162, Factor!$AE$4:$AE$13, 1),4))</f>
        <v>7727.9999999999991</v>
      </c>
      <c r="X162" s="17" cm="1">
        <f t="array" ref="X162">O162*VLOOKUP($I162, Factor!$B$4:$G$8, 5, 0)*VLOOKUP($J162, Factor!$B$12:$G$13, 5, 0)*VLOOKUP($K162, Factor!$B$17:$G$18, 5, 0)*VLOOKUP($H162, Factor!$J$4:$O$7, 5, 0)*VLOOKUP($F162, Factor!$Q$4:$V$15, 5, 0)*IF(MOD($G162,10)=0, 10, MOD($G162, 10))*((INDEX(Factor!$X$4:$AC$13, _xlfn.XMATCH($G162, Factor!$X$4:$X$13, 1),5)*IF(MOD(G162, 10) = 0, 10, MOD(G162, 10)))+INDEX(Factor!$AE$4:$AJ$13, _xlfn.XMATCH(MonsterData!$G162, Factor!$AE$4:$AE$13, 1),5))</f>
        <v>185.47199999999998</v>
      </c>
      <c r="Y162" s="17" cm="1">
        <f t="array" ref="Y162">P162*VLOOKUP($I162, Factor!$B$4:$G$8, 6, 0)*VLOOKUP($J162, Factor!$B$12:$G$13, 6, 0)*VLOOKUP($K162, Factor!$B$17:$G$18, 6, 0)*VLOOKUP($H162, Factor!$J$4:$O$7, 2, 0)*VLOOKUP($F162, Factor!$Q$4:$V$15, 6, 0)*IF(MOD($G162,10)=0, 10, MOD($G162, 10))*((INDEX(Factor!$X$4:$AC$13, _xlfn.XMATCH($G162, Factor!$X$4:$X$13, 1),6)*IF(MOD(G162, 10) = 0, 10, MOD(G162, 10)))+INDEX(Factor!$AE$4:$AJ$13, _xlfn.XMATCH(MonsterData!$G162, Factor!$AE$4:$AE$13, 1),6))</f>
        <v>412.15999999999997</v>
      </c>
      <c r="Z162" s="17">
        <f>$Q162*VLOOKUP($J162, Factor!$B$12:$H$13, 7, 0)</f>
        <v>1</v>
      </c>
      <c r="AA162" s="17">
        <v>1</v>
      </c>
      <c r="AB162" s="17">
        <f t="shared" si="11"/>
        <v>0</v>
      </c>
      <c r="AC162" s="17" t="s">
        <v>395</v>
      </c>
      <c r="AD162" s="19" t="s">
        <v>390</v>
      </c>
    </row>
    <row r="163" spans="1:30" ht="15.75" customHeight="1">
      <c r="A163" s="13" t="str">
        <f>T163&amp;"_"&amp;F163&amp;VLOOKUP($C163, Factor!$AM$4:$AY$30, 7, 0)&amp;IF(COUNTIFS($C$4:C162, C163, $F$4:F162, F163)+1&gt;=100, COUNTIFS($C$4:C162, C163, $F$4:F162, F163)+1,IF(COUNTIFS($C$4:C162, C163, $F$4:F162, F163)+1&gt;=10, "0"&amp;COUNTIFS($C$4:C162, C163, $F$4:F162, F163)+1, "00"&amp;COUNTIFS($C$4:C162, C163, $F$4:F162, F163)+1))</f>
        <v>enpc_F03_B_Gargoyle_001</v>
      </c>
      <c r="B163" s="13"/>
      <c r="C163" s="13" t="s">
        <v>365</v>
      </c>
      <c r="D163" s="21" t="str">
        <f t="shared" si="10"/>
        <v>가고일</v>
      </c>
      <c r="E163" s="21" t="str">
        <f>VLOOKUP($C163, Factor!$AM$4:$AY$30, 8, 0)</f>
        <v>B</v>
      </c>
      <c r="F163" s="21" t="s">
        <v>111</v>
      </c>
      <c r="G163" s="22">
        <v>38</v>
      </c>
      <c r="H163" s="13" t="s">
        <v>55</v>
      </c>
      <c r="I163" s="21" t="str">
        <f>VLOOKUP($C163, Factor!$AM$4:$AY$30, 11, 0)</f>
        <v>B</v>
      </c>
      <c r="J163" s="21" t="str">
        <f>VLOOKUP($C163, Factor!$AM$4:$AY$30, 12, 0)</f>
        <v>ml</v>
      </c>
      <c r="K163" s="21" t="str">
        <f>VLOOKUP($C163, Factor!$AM$4:$AY$30, 13, 0)</f>
        <v>F</v>
      </c>
      <c r="L163" s="13">
        <v>1</v>
      </c>
      <c r="M163" s="13">
        <v>1</v>
      </c>
      <c r="N163" s="13">
        <v>1</v>
      </c>
      <c r="O163" s="13">
        <v>1</v>
      </c>
      <c r="P163" s="13">
        <v>1</v>
      </c>
      <c r="Q163" s="13">
        <v>1</v>
      </c>
      <c r="R163" s="21" t="str">
        <f>VLOOKUP($C163, Factor!$AM$4:$AY$30, 9, 0)</f>
        <v>Big</v>
      </c>
      <c r="S163" s="13" t="s">
        <v>402</v>
      </c>
      <c r="T163" s="21" t="str">
        <f>VLOOKUP($C163, Factor!$AM$4:$AY$30, 10, 0)</f>
        <v>enpc</v>
      </c>
      <c r="U163" s="21" cm="1">
        <f t="array" ref="U163">L163*VLOOKUP($I163, Factor!$B$4:$G$8, 2, 0)*VLOOKUP($J163, Factor!$B$12:$G$13, 2, 0)*VLOOKUP($K163, Factor!$B$17:$G$18, 2, 0)*VLOOKUP($H163, Factor!$J$4:$O$7, 2, 0)*VLOOKUP($F163, Factor!$Q$4:$V$15, 2, 0)*IF(MOD($G163,10)=0, 10, MOD($G163, 10))*((INDEX(Factor!$X$4:$AC$13, _xlfn.XMATCH($G163, Factor!$X$4:$X$13, 1),2)*IF(MOD(G163, 10) = 0, 10, MOD(G163, 10)))+INDEX(Factor!$AE$4:$AJ$13, _xlfn.XMATCH(MonsterData!$G163, Factor!$AE$4:$AE$13, 1),2))</f>
        <v>51519.999999999993</v>
      </c>
      <c r="V163" s="21" cm="1">
        <f t="array" ref="V163">M163*VLOOKUP($I163, Factor!$B$4:$G$8, 3, 0)*VLOOKUP($J163, Factor!$B$12:$G$13, 3, 0)*VLOOKUP($K163, Factor!$B$17:$G$18, 3, 0)*VLOOKUP($H163, Factor!$J$4:$O$7, 3, 0)*VLOOKUP($F163, Factor!$Q$4:$V$15, 3, 0)*IF(MOD($G163,10)=0, 10, MOD($G163, 10))*((INDEX(Factor!$X$4:$AC$13, _xlfn.XMATCH($G163, Factor!$X$4:$X$13, 1),3)*IF(MOD(G163, 10) = 0, 10, MOD(G163, 10)))+INDEX(Factor!$AE$4:$AJ$13, _xlfn.XMATCH(MonsterData!$G163, Factor!$AE$4:$AE$13, 1),3))</f>
        <v>2576</v>
      </c>
      <c r="W163" s="21" cm="1">
        <f t="array" ref="W163">N163*VLOOKUP($I163, Factor!$B$4:$G$8, 4, 0)*VLOOKUP($J163, Factor!$B$12:$G$13, 4, 0)*VLOOKUP($K163, Factor!$B$17:$G$18, 4, 0)*VLOOKUP($H163, Factor!$J$4:$O$7, 4, 0)*VLOOKUP($F163, Factor!$Q$4:$V$15, 4, 0)*IF(MOD($G163,10)=0, 10, MOD($G163, 10))*((INDEX(Factor!$X$4:$AC$13, _xlfn.XMATCH($G163, Factor!$X$4:$X$13, 1),4)*IF(MOD(G163, 10) = 0, 10, MOD(G163, 10)))+INDEX(Factor!$AE$4:$AJ$13, _xlfn.XMATCH(MonsterData!$G163, Factor!$AE$4:$AE$13, 1),4))</f>
        <v>2576</v>
      </c>
      <c r="X163" s="21" cm="1">
        <f t="array" ref="X163">O163*VLOOKUP($I163, Factor!$B$4:$G$8, 5, 0)*VLOOKUP($J163, Factor!$B$12:$G$13, 5, 0)*VLOOKUP($K163, Factor!$B$17:$G$18, 5, 0)*VLOOKUP($H163, Factor!$J$4:$O$7, 5, 0)*VLOOKUP($F163, Factor!$Q$4:$V$15, 5, 0)*IF(MOD($G163,10)=0, 10, MOD($G163, 10))*((INDEX(Factor!$X$4:$AC$13, _xlfn.XMATCH($G163, Factor!$X$4:$X$13, 1),5)*IF(MOD(G163, 10) = 0, 10, MOD(G163, 10)))+INDEX(Factor!$AE$4:$AJ$13, _xlfn.XMATCH(MonsterData!$G163, Factor!$AE$4:$AE$13, 1),5))</f>
        <v>206.07999999999998</v>
      </c>
      <c r="Y163" s="21" cm="1">
        <f t="array" ref="Y163">P163*VLOOKUP($I163, Factor!$B$4:$G$8, 6, 0)*VLOOKUP($J163, Factor!$B$12:$G$13, 6, 0)*VLOOKUP($K163, Factor!$B$17:$G$18, 6, 0)*VLOOKUP($H163, Factor!$J$4:$O$7, 2, 0)*VLOOKUP($F163, Factor!$Q$4:$V$15, 6, 0)*IF(MOD($G163,10)=0, 10, MOD($G163, 10))*((INDEX(Factor!$X$4:$AC$13, _xlfn.XMATCH($G163, Factor!$X$4:$X$13, 1),6)*IF(MOD(G163, 10) = 0, 10, MOD(G163, 10)))+INDEX(Factor!$AE$4:$AJ$13, _xlfn.XMATCH(MonsterData!$G163, Factor!$AE$4:$AE$13, 1),6))</f>
        <v>1236.4799999999998</v>
      </c>
      <c r="Z163" s="21">
        <f>$Q163*VLOOKUP($J163, Factor!$B$12:$H$13, 7, 0)</f>
        <v>1</v>
      </c>
      <c r="AA163" s="13">
        <v>1</v>
      </c>
      <c r="AB163" s="21">
        <f t="shared" si="11"/>
        <v>0</v>
      </c>
      <c r="AC163" s="13" t="s">
        <v>396</v>
      </c>
      <c r="AD163" s="15" t="s">
        <v>391</v>
      </c>
    </row>
    <row r="164" spans="1:30" ht="15.75" customHeight="1">
      <c r="A164" s="16" t="str">
        <f>T164&amp;"_"&amp;F164&amp;VLOOKUP($C164, Factor!$AM$4:$AY$30, 7, 0)&amp;IF(COUNTIFS($C$4:C163, C164, $F$4:F163, F164)+1&gt;=100, COUNTIFS($C$4:C163, C164, $F$4:F163, F164)+1,IF(COUNTIFS($C$4:C163, C164, $F$4:F163, F164)+1&gt;=10, "0"&amp;COUNTIFS($C$4:C163, C164, $F$4:F163, F164)+1, "00"&amp;COUNTIFS($C$4:C163, C164, $F$4:F163, F164)+1))</f>
        <v>enpc_F03_A_Lava_002</v>
      </c>
      <c r="B164" s="16"/>
      <c r="C164" s="16" t="s">
        <v>35</v>
      </c>
      <c r="D164" s="17" t="str">
        <f t="shared" si="10"/>
        <v>라바</v>
      </c>
      <c r="E164" s="17" t="str">
        <f>VLOOKUP($C164, Factor!$AM$4:$AY$30, 8, 0)</f>
        <v>S</v>
      </c>
      <c r="F164" s="17" t="s">
        <v>111</v>
      </c>
      <c r="G164" s="20">
        <v>25</v>
      </c>
      <c r="H164" s="16" t="s">
        <v>54</v>
      </c>
      <c r="I164" s="17" t="str">
        <f>VLOOKUP($C164, Factor!$AM$4:$AY$30, 11, 0)</f>
        <v>A</v>
      </c>
      <c r="J164" s="17" t="str">
        <f>VLOOKUP($C164, Factor!$AM$4:$AY$30, 12, 0)</f>
        <v>ml</v>
      </c>
      <c r="K164" s="17" t="str">
        <f>VLOOKUP($C164, Factor!$AM$4:$AY$30, 13, 0)</f>
        <v>L</v>
      </c>
      <c r="L164" s="17">
        <v>1</v>
      </c>
      <c r="M164" s="17">
        <v>1</v>
      </c>
      <c r="N164" s="17">
        <v>1</v>
      </c>
      <c r="O164" s="17">
        <v>1</v>
      </c>
      <c r="P164" s="17">
        <v>1</v>
      </c>
      <c r="Q164" s="17">
        <v>1</v>
      </c>
      <c r="R164" s="17" t="str">
        <f>VLOOKUP($C164, Factor!$AM$4:$AY$30, 9, 0)</f>
        <v>Small</v>
      </c>
      <c r="S164" s="17" t="s">
        <v>88</v>
      </c>
      <c r="T164" s="17" t="str">
        <f>VLOOKUP($C164, Factor!$AM$4:$AY$30, 10, 0)</f>
        <v>enpc</v>
      </c>
      <c r="U164" s="17" cm="1">
        <f t="array" ref="U164">L164*VLOOKUP($I164, Factor!$B$4:$G$8, 2, 0)*VLOOKUP($J164, Factor!$B$12:$G$13, 2, 0)*VLOOKUP($K164, Factor!$B$17:$G$18, 2, 0)*VLOOKUP($H164, Factor!$J$4:$O$7, 2, 0)*VLOOKUP($F164, Factor!$Q$4:$V$15, 2, 0)*IF(MOD($G164,10)=0, 10, MOD($G164, 10))*((INDEX(Factor!$X$4:$AC$13, _xlfn.XMATCH($G164, Factor!$X$4:$X$13, 1),2)*IF(MOD(G164, 10) = 0, 10, MOD(G164, 10)))+INDEX(Factor!$AE$4:$AJ$13, _xlfn.XMATCH(MonsterData!$G164, Factor!$AE$4:$AE$13, 1),2))</f>
        <v>3780</v>
      </c>
      <c r="V164" s="17" cm="1">
        <f t="array" ref="V164">M164*VLOOKUP($I164, Factor!$B$4:$G$8, 3, 0)*VLOOKUP($J164, Factor!$B$12:$G$13, 3, 0)*VLOOKUP($K164, Factor!$B$17:$G$18, 3, 0)*VLOOKUP($H164, Factor!$J$4:$O$7, 3, 0)*VLOOKUP($F164, Factor!$Q$4:$V$15, 3, 0)*IF(MOD($G164,10)=0, 10, MOD($G164, 10))*((INDEX(Factor!$X$4:$AC$13, _xlfn.XMATCH($G164, Factor!$X$4:$X$13, 1),3)*IF(MOD(G164, 10) = 0, 10, MOD(G164, 10)))+INDEX(Factor!$AE$4:$AJ$13, _xlfn.XMATCH(MonsterData!$G164, Factor!$AE$4:$AE$13, 1),3))</f>
        <v>188.99999999999997</v>
      </c>
      <c r="W164" s="17" cm="1">
        <f t="array" ref="W164">N164*VLOOKUP($I164, Factor!$B$4:$G$8, 4, 0)*VLOOKUP($J164, Factor!$B$12:$G$13, 4, 0)*VLOOKUP($K164, Factor!$B$17:$G$18, 4, 0)*VLOOKUP($H164, Factor!$J$4:$O$7, 4, 0)*VLOOKUP($F164, Factor!$Q$4:$V$15, 4, 0)*IF(MOD($G164,10)=0, 10, MOD($G164, 10))*((INDEX(Factor!$X$4:$AC$13, _xlfn.XMATCH($G164, Factor!$X$4:$X$13, 1),4)*IF(MOD(G164, 10) = 0, 10, MOD(G164, 10)))+INDEX(Factor!$AE$4:$AJ$13, _xlfn.XMATCH(MonsterData!$G164, Factor!$AE$4:$AE$13, 1),4))</f>
        <v>113.39999999999999</v>
      </c>
      <c r="X164" s="17" cm="1">
        <f t="array" ref="X164">O164*VLOOKUP($I164, Factor!$B$4:$G$8, 5, 0)*VLOOKUP($J164, Factor!$B$12:$G$13, 5, 0)*VLOOKUP($K164, Factor!$B$17:$G$18, 5, 0)*VLOOKUP($H164, Factor!$J$4:$O$7, 5, 0)*VLOOKUP($F164, Factor!$Q$4:$V$15, 5, 0)*IF(MOD($G164,10)=0, 10, MOD($G164, 10))*((INDEX(Factor!$X$4:$AC$13, _xlfn.XMATCH($G164, Factor!$X$4:$X$13, 1),5)*IF(MOD(G164, 10) = 0, 10, MOD(G164, 10)))+INDEX(Factor!$AE$4:$AJ$13, _xlfn.XMATCH(MonsterData!$G164, Factor!$AE$4:$AE$13, 1),5))</f>
        <v>31.5</v>
      </c>
      <c r="Y164" s="17" cm="1">
        <f t="array" ref="Y164">P164*VLOOKUP($I164, Factor!$B$4:$G$8, 6, 0)*VLOOKUP($J164, Factor!$B$12:$G$13, 6, 0)*VLOOKUP($K164, Factor!$B$17:$G$18, 6, 0)*VLOOKUP($H164, Factor!$J$4:$O$7, 2, 0)*VLOOKUP($F164, Factor!$Q$4:$V$15, 6, 0)*IF(MOD($G164,10)=0, 10, MOD($G164, 10))*((INDEX(Factor!$X$4:$AC$13, _xlfn.XMATCH($G164, Factor!$X$4:$X$13, 1),6)*IF(MOD(G164, 10) = 0, 10, MOD(G164, 10)))+INDEX(Factor!$AE$4:$AJ$13, _xlfn.XMATCH(MonsterData!$G164, Factor!$AE$4:$AE$13, 1),6))</f>
        <v>126</v>
      </c>
      <c r="Z164" s="17">
        <f>$Q164*VLOOKUP($J164, Factor!$B$12:$H$13, 7, 0)</f>
        <v>1</v>
      </c>
      <c r="AA164" s="17">
        <v>1</v>
      </c>
      <c r="AB164" s="17">
        <f t="shared" si="11"/>
        <v>0</v>
      </c>
      <c r="AC164" s="17" t="s">
        <v>139</v>
      </c>
      <c r="AD164" s="19" t="s">
        <v>142</v>
      </c>
    </row>
    <row r="165" spans="1:30" ht="15.75" customHeight="1">
      <c r="A165" s="13" t="str">
        <f>T165&amp;"_"&amp;F165&amp;VLOOKUP($C165, Factor!$AM$4:$AY$30, 7, 0)&amp;IF(COUNTIFS($C$4:C164, C165, $F$4:F164, F165)+1&gt;=100, COUNTIFS($C$4:C164, C165, $F$4:F164, F165)+1,IF(COUNTIFS($C$4:C164, C165, $F$4:F164, F165)+1&gt;=10, "0"&amp;COUNTIFS($C$4:C164, C165, $F$4:F164, F165)+1, "00"&amp;COUNTIFS($C$4:C164, C165, $F$4:F164, F165)+1))</f>
        <v>enpc_F03_A_Cocoon_002</v>
      </c>
      <c r="B165" s="13"/>
      <c r="C165" s="13" t="s">
        <v>270</v>
      </c>
      <c r="D165" s="21" t="str">
        <f t="shared" si="10"/>
        <v>코쿤</v>
      </c>
      <c r="E165" s="21" t="str">
        <f>VLOOKUP($C165, Factor!$AM$4:$AY$30, 8, 0)</f>
        <v>M</v>
      </c>
      <c r="F165" s="21" t="s">
        <v>111</v>
      </c>
      <c r="G165" s="22">
        <v>25</v>
      </c>
      <c r="H165" s="13" t="s">
        <v>55</v>
      </c>
      <c r="I165" s="21" t="str">
        <f>VLOOKUP($C165, Factor!$AM$4:$AY$30, 11, 0)</f>
        <v>A</v>
      </c>
      <c r="J165" s="21" t="str">
        <f>VLOOKUP($C165, Factor!$AM$4:$AY$30, 12, 0)</f>
        <v>ml</v>
      </c>
      <c r="K165" s="21" t="str">
        <f>VLOOKUP($C165, Factor!$AM$4:$AY$30, 13, 0)</f>
        <v>L</v>
      </c>
      <c r="L165" s="13">
        <v>1</v>
      </c>
      <c r="M165" s="13">
        <v>1</v>
      </c>
      <c r="N165" s="13">
        <v>1</v>
      </c>
      <c r="O165" s="13">
        <v>1</v>
      </c>
      <c r="P165" s="13">
        <v>1</v>
      </c>
      <c r="Q165" s="13">
        <v>1</v>
      </c>
      <c r="R165" s="21" t="str">
        <f>VLOOKUP($C165, Factor!$AM$4:$AY$30, 9, 0)</f>
        <v>Midium</v>
      </c>
      <c r="S165" s="13" t="s">
        <v>408</v>
      </c>
      <c r="T165" s="21" t="str">
        <f>VLOOKUP($C165, Factor!$AM$4:$AY$30, 10, 0)</f>
        <v>enpc</v>
      </c>
      <c r="U165" s="21" cm="1">
        <f t="array" ref="U165">L165*VLOOKUP($I165, Factor!$B$4:$G$8, 2, 0)*VLOOKUP($J165, Factor!$B$12:$G$13, 2, 0)*VLOOKUP($K165, Factor!$B$17:$G$18, 2, 0)*VLOOKUP($H165, Factor!$J$4:$O$7, 2, 0)*VLOOKUP($F165, Factor!$Q$4:$V$15, 2, 0)*IF(MOD($G165,10)=0, 10, MOD($G165, 10))*((INDEX(Factor!$X$4:$AC$13, _xlfn.XMATCH($G165, Factor!$X$4:$X$13, 1),2)*IF(MOD(G165, 10) = 0, 10, MOD(G165, 10)))+INDEX(Factor!$AE$4:$AJ$13, _xlfn.XMATCH(MonsterData!$G165, Factor!$AE$4:$AE$13, 1),2))</f>
        <v>4725</v>
      </c>
      <c r="V165" s="21" cm="1">
        <f t="array" ref="V165">M165*VLOOKUP($I165, Factor!$B$4:$G$8, 3, 0)*VLOOKUP($J165, Factor!$B$12:$G$13, 3, 0)*VLOOKUP($K165, Factor!$B$17:$G$18, 3, 0)*VLOOKUP($H165, Factor!$J$4:$O$7, 3, 0)*VLOOKUP($F165, Factor!$Q$4:$V$15, 3, 0)*IF(MOD($G165,10)=0, 10, MOD($G165, 10))*((INDEX(Factor!$X$4:$AC$13, _xlfn.XMATCH($G165, Factor!$X$4:$X$13, 1),3)*IF(MOD(G165, 10) = 0, 10, MOD(G165, 10)))+INDEX(Factor!$AE$4:$AJ$13, _xlfn.XMATCH(MonsterData!$G165, Factor!$AE$4:$AE$13, 1),3))</f>
        <v>236.25</v>
      </c>
      <c r="W165" s="21" cm="1">
        <f t="array" ref="W165">N165*VLOOKUP($I165, Factor!$B$4:$G$8, 4, 0)*VLOOKUP($J165, Factor!$B$12:$G$13, 4, 0)*VLOOKUP($K165, Factor!$B$17:$G$18, 4, 0)*VLOOKUP($H165, Factor!$J$4:$O$7, 4, 0)*VLOOKUP($F165, Factor!$Q$4:$V$15, 4, 0)*IF(MOD($G165,10)=0, 10, MOD($G165, 10))*((INDEX(Factor!$X$4:$AC$13, _xlfn.XMATCH($G165, Factor!$X$4:$X$13, 1),4)*IF(MOD(G165, 10) = 0, 10, MOD(G165, 10)))+INDEX(Factor!$AE$4:$AJ$13, _xlfn.XMATCH(MonsterData!$G165, Factor!$AE$4:$AE$13, 1),4))</f>
        <v>141.75</v>
      </c>
      <c r="X165" s="21" cm="1">
        <f t="array" ref="X165">O165*VLOOKUP($I165, Factor!$B$4:$G$8, 5, 0)*VLOOKUP($J165, Factor!$B$12:$G$13, 5, 0)*VLOOKUP($K165, Factor!$B$17:$G$18, 5, 0)*VLOOKUP($H165, Factor!$J$4:$O$7, 5, 0)*VLOOKUP($F165, Factor!$Q$4:$V$15, 5, 0)*IF(MOD($G165,10)=0, 10, MOD($G165, 10))*((INDEX(Factor!$X$4:$AC$13, _xlfn.XMATCH($G165, Factor!$X$4:$X$13, 1),5)*IF(MOD(G165, 10) = 0, 10, MOD(G165, 10)))+INDEX(Factor!$AE$4:$AJ$13, _xlfn.XMATCH(MonsterData!$G165, Factor!$AE$4:$AE$13, 1),5))</f>
        <v>31.5</v>
      </c>
      <c r="Y165" s="21" cm="1">
        <f t="array" ref="Y165">P165*VLOOKUP($I165, Factor!$B$4:$G$8, 6, 0)*VLOOKUP($J165, Factor!$B$12:$G$13, 6, 0)*VLOOKUP($K165, Factor!$B$17:$G$18, 6, 0)*VLOOKUP($H165, Factor!$J$4:$O$7, 2, 0)*VLOOKUP($F165, Factor!$Q$4:$V$15, 6, 0)*IF(MOD($G165,10)=0, 10, MOD($G165, 10))*((INDEX(Factor!$X$4:$AC$13, _xlfn.XMATCH($G165, Factor!$X$4:$X$13, 1),6)*IF(MOD(G165, 10) = 0, 10, MOD(G165, 10)))+INDEX(Factor!$AE$4:$AJ$13, _xlfn.XMATCH(MonsterData!$G165, Factor!$AE$4:$AE$13, 1),6))</f>
        <v>157.5</v>
      </c>
      <c r="Z165" s="21">
        <f>$Q165*VLOOKUP($J165, Factor!$B$12:$H$13, 7, 0)</f>
        <v>1</v>
      </c>
      <c r="AA165" s="13">
        <v>1</v>
      </c>
      <c r="AB165" s="21">
        <f t="shared" si="11"/>
        <v>0</v>
      </c>
      <c r="AC165" s="13" t="s">
        <v>139</v>
      </c>
      <c r="AD165" s="15" t="s">
        <v>142</v>
      </c>
    </row>
    <row r="166" spans="1:30" ht="15.75" customHeight="1">
      <c r="A166" s="16" t="str">
        <f>T166&amp;"_"&amp;F166&amp;VLOOKUP($C166, Factor!$AM$4:$AY$30, 7, 0)&amp;IF(COUNTIFS($C$4:C165, C166, $F$4:F165, F166)+1&gt;=100, COUNTIFS($C$4:C165, C166, $F$4:F165, F166)+1,IF(COUNTIFS($C$4:C165, C166, $F$4:F165, F166)+1&gt;=10, "0"&amp;COUNTIFS($C$4:C165, C166, $F$4:F165, F166)+1, "00"&amp;COUNTIFS($C$4:C165, C166, $F$4:F165, F166)+1))</f>
        <v>enpc_F03_A_Antlion_002</v>
      </c>
      <c r="B166" s="16"/>
      <c r="C166" s="16" t="s">
        <v>38</v>
      </c>
      <c r="D166" s="17" t="str">
        <f t="shared" si="10"/>
        <v>앤틸리온</v>
      </c>
      <c r="E166" s="17" t="str">
        <f>VLOOKUP($C166, Factor!$AM$4:$AY$30, 8, 0)</f>
        <v>M</v>
      </c>
      <c r="F166" s="17" t="s">
        <v>111</v>
      </c>
      <c r="G166" s="20">
        <v>25</v>
      </c>
      <c r="H166" s="16" t="s">
        <v>55</v>
      </c>
      <c r="I166" s="17" t="str">
        <f>VLOOKUP($C166, Factor!$AM$4:$AY$30, 11, 0)</f>
        <v>A</v>
      </c>
      <c r="J166" s="17" t="str">
        <f>VLOOKUP($C166, Factor!$AM$4:$AY$30, 12, 0)</f>
        <v>ra</v>
      </c>
      <c r="K166" s="17" t="str">
        <f>VLOOKUP($C166, Factor!$AM$4:$AY$30, 13, 0)</f>
        <v>L</v>
      </c>
      <c r="L166" s="17">
        <v>1</v>
      </c>
      <c r="M166" s="17">
        <v>1</v>
      </c>
      <c r="N166" s="17">
        <v>1</v>
      </c>
      <c r="O166" s="17">
        <v>1</v>
      </c>
      <c r="P166" s="17">
        <v>1</v>
      </c>
      <c r="Q166" s="17">
        <v>1</v>
      </c>
      <c r="R166" s="17" t="str">
        <f>VLOOKUP($C166, Factor!$AM$4:$AY$30, 9, 0)</f>
        <v>Midium</v>
      </c>
      <c r="S166" s="17" t="s">
        <v>397</v>
      </c>
      <c r="T166" s="17" t="str">
        <f>VLOOKUP($C166, Factor!$AM$4:$AY$30, 10, 0)</f>
        <v>enpc</v>
      </c>
      <c r="U166" s="17" cm="1">
        <f t="array" ref="U166">L166*VLOOKUP($I166, Factor!$B$4:$G$8, 2, 0)*VLOOKUP($J166, Factor!$B$12:$G$13, 2, 0)*VLOOKUP($K166, Factor!$B$17:$G$18, 2, 0)*VLOOKUP($H166, Factor!$J$4:$O$7, 2, 0)*VLOOKUP($F166, Factor!$Q$4:$V$15, 2, 0)*IF(MOD($G166,10)=0, 10, MOD($G166, 10))*((INDEX(Factor!$X$4:$AC$13, _xlfn.XMATCH($G166, Factor!$X$4:$X$13, 1),2)*IF(MOD(G166, 10) = 0, 10, MOD(G166, 10)))+INDEX(Factor!$AE$4:$AJ$13, _xlfn.XMATCH(MonsterData!$G166, Factor!$AE$4:$AE$13, 1),2))</f>
        <v>3780</v>
      </c>
      <c r="V166" s="17" cm="1">
        <f t="array" ref="V166">M166*VLOOKUP($I166, Factor!$B$4:$G$8, 3, 0)*VLOOKUP($J166, Factor!$B$12:$G$13, 3, 0)*VLOOKUP($K166, Factor!$B$17:$G$18, 3, 0)*VLOOKUP($H166, Factor!$J$4:$O$7, 3, 0)*VLOOKUP($F166, Factor!$Q$4:$V$15, 3, 0)*IF(MOD($G166,10)=0, 10, MOD($G166, 10))*((INDEX(Factor!$X$4:$AC$13, _xlfn.XMATCH($G166, Factor!$X$4:$X$13, 1),3)*IF(MOD(G166, 10) = 0, 10, MOD(G166, 10)))+INDEX(Factor!$AE$4:$AJ$13, _xlfn.XMATCH(MonsterData!$G166, Factor!$AE$4:$AE$13, 1),3))</f>
        <v>188.99999999999997</v>
      </c>
      <c r="W166" s="17" cm="1">
        <f t="array" ref="W166">N166*VLOOKUP($I166, Factor!$B$4:$G$8, 4, 0)*VLOOKUP($J166, Factor!$B$12:$G$13, 4, 0)*VLOOKUP($K166, Factor!$B$17:$G$18, 4, 0)*VLOOKUP($H166, Factor!$J$4:$O$7, 4, 0)*VLOOKUP($F166, Factor!$Q$4:$V$15, 4, 0)*IF(MOD($G166,10)=0, 10, MOD($G166, 10))*((INDEX(Factor!$X$4:$AC$13, _xlfn.XMATCH($G166, Factor!$X$4:$X$13, 1),4)*IF(MOD(G166, 10) = 0, 10, MOD(G166, 10)))+INDEX(Factor!$AE$4:$AJ$13, _xlfn.XMATCH(MonsterData!$G166, Factor!$AE$4:$AE$13, 1),4))</f>
        <v>170.1</v>
      </c>
      <c r="X166" s="17" cm="1">
        <f t="array" ref="X166">O166*VLOOKUP($I166, Factor!$B$4:$G$8, 5, 0)*VLOOKUP($J166, Factor!$B$12:$G$13, 5, 0)*VLOOKUP($K166, Factor!$B$17:$G$18, 5, 0)*VLOOKUP($H166, Factor!$J$4:$O$7, 5, 0)*VLOOKUP($F166, Factor!$Q$4:$V$15, 5, 0)*IF(MOD($G166,10)=0, 10, MOD($G166, 10))*((INDEX(Factor!$X$4:$AC$13, _xlfn.XMATCH($G166, Factor!$X$4:$X$13, 1),5)*IF(MOD(G166, 10) = 0, 10, MOD(G166, 10)))+INDEX(Factor!$AE$4:$AJ$13, _xlfn.XMATCH(MonsterData!$G166, Factor!$AE$4:$AE$13, 1),5))</f>
        <v>47.249999999999993</v>
      </c>
      <c r="Y166" s="17" cm="1">
        <f t="array" ref="Y166">P166*VLOOKUP($I166, Factor!$B$4:$G$8, 6, 0)*VLOOKUP($J166, Factor!$B$12:$G$13, 6, 0)*VLOOKUP($K166, Factor!$B$17:$G$18, 6, 0)*VLOOKUP($H166, Factor!$J$4:$O$7, 2, 0)*VLOOKUP($F166, Factor!$Q$4:$V$15, 6, 0)*IF(MOD($G166,10)=0, 10, MOD($G166, 10))*((INDEX(Factor!$X$4:$AC$13, _xlfn.XMATCH($G166, Factor!$X$4:$X$13, 1),6)*IF(MOD(G166, 10) = 0, 10, MOD(G166, 10)))+INDEX(Factor!$AE$4:$AJ$13, _xlfn.XMATCH(MonsterData!$G166, Factor!$AE$4:$AE$13, 1),6))</f>
        <v>157.5</v>
      </c>
      <c r="Z166" s="17">
        <f>$Q166*VLOOKUP($J166, Factor!$B$12:$H$13, 7, 0)</f>
        <v>4</v>
      </c>
      <c r="AA166" s="17">
        <v>1</v>
      </c>
      <c r="AB166" s="17">
        <f t="shared" si="11"/>
        <v>4</v>
      </c>
      <c r="AC166" s="17" t="s">
        <v>139</v>
      </c>
      <c r="AD166" s="19" t="s">
        <v>142</v>
      </c>
    </row>
    <row r="167" spans="1:30" ht="15.75" customHeight="1">
      <c r="A167" s="13" t="str">
        <f>T167&amp;"_"&amp;F167&amp;VLOOKUP($C167, Factor!$AM$4:$AY$30, 7, 0)&amp;IF(COUNTIFS($C$4:C166, C167, $F$4:F166, F167)+1&gt;=100, COUNTIFS($C$4:C166, C167, $F$4:F166, F167)+1,IF(COUNTIFS($C$4:C166, C167, $F$4:F166, F167)+1&gt;=10, "0"&amp;COUNTIFS($C$4:C166, C167, $F$4:F166, F167)+1, "00"&amp;COUNTIFS($C$4:C166, C167, $F$4:F166, F167)+1))</f>
        <v>enpc_F03_A_Nymphe_002</v>
      </c>
      <c r="B167" s="13"/>
      <c r="C167" s="13" t="s">
        <v>39</v>
      </c>
      <c r="D167" s="21" t="str">
        <f t="shared" si="10"/>
        <v>님프</v>
      </c>
      <c r="E167" s="21" t="str">
        <f>VLOOKUP($C167, Factor!$AM$4:$AY$30, 8, 0)</f>
        <v>S</v>
      </c>
      <c r="F167" s="21" t="s">
        <v>111</v>
      </c>
      <c r="G167" s="22">
        <v>25</v>
      </c>
      <c r="H167" s="13" t="s">
        <v>55</v>
      </c>
      <c r="I167" s="21" t="str">
        <f>VLOOKUP($C167, Factor!$AM$4:$AY$30, 11, 0)</f>
        <v>A</v>
      </c>
      <c r="J167" s="21" t="str">
        <f>VLOOKUP($C167, Factor!$AM$4:$AY$30, 12, 0)</f>
        <v>ml</v>
      </c>
      <c r="K167" s="21" t="str">
        <f>VLOOKUP($C167, Factor!$AM$4:$AY$30, 13, 0)</f>
        <v>F</v>
      </c>
      <c r="L167" s="13">
        <v>1</v>
      </c>
      <c r="M167" s="13">
        <v>1</v>
      </c>
      <c r="N167" s="13">
        <v>1</v>
      </c>
      <c r="O167" s="13">
        <v>1</v>
      </c>
      <c r="P167" s="13">
        <v>1</v>
      </c>
      <c r="Q167" s="13">
        <v>1</v>
      </c>
      <c r="R167" s="21" t="str">
        <f>VLOOKUP($C167, Factor!$AM$4:$AY$30, 9, 0)</f>
        <v>Small</v>
      </c>
      <c r="S167" s="13" t="s">
        <v>409</v>
      </c>
      <c r="T167" s="21" t="str">
        <f>VLOOKUP($C167, Factor!$AM$4:$AY$30, 10, 0)</f>
        <v>enpc</v>
      </c>
      <c r="U167" s="21" cm="1">
        <f t="array" ref="U167">L167*VLOOKUP($I167, Factor!$B$4:$G$8, 2, 0)*VLOOKUP($J167, Factor!$B$12:$G$13, 2, 0)*VLOOKUP($K167, Factor!$B$17:$G$18, 2, 0)*VLOOKUP($H167, Factor!$J$4:$O$7, 2, 0)*VLOOKUP($F167, Factor!$Q$4:$V$15, 2, 0)*IF(MOD($G167,10)=0, 10, MOD($G167, 10))*((INDEX(Factor!$X$4:$AC$13, _xlfn.XMATCH($G167, Factor!$X$4:$X$13, 1),2)*IF(MOD(G167, 10) = 0, 10, MOD(G167, 10)))+INDEX(Factor!$AE$4:$AJ$13, _xlfn.XMATCH(MonsterData!$G167, Factor!$AE$4:$AE$13, 1),2))</f>
        <v>3150</v>
      </c>
      <c r="V167" s="21" cm="1">
        <f t="array" ref="V167">M167*VLOOKUP($I167, Factor!$B$4:$G$8, 3, 0)*VLOOKUP($J167, Factor!$B$12:$G$13, 3, 0)*VLOOKUP($K167, Factor!$B$17:$G$18, 3, 0)*VLOOKUP($H167, Factor!$J$4:$O$7, 3, 0)*VLOOKUP($F167, Factor!$Q$4:$V$15, 3, 0)*IF(MOD($G167,10)=0, 10, MOD($G167, 10))*((INDEX(Factor!$X$4:$AC$13, _xlfn.XMATCH($G167, Factor!$X$4:$X$13, 1),3)*IF(MOD(G167, 10) = 0, 10, MOD(G167, 10)))+INDEX(Factor!$AE$4:$AJ$13, _xlfn.XMATCH(MonsterData!$G167, Factor!$AE$4:$AE$13, 1),3))</f>
        <v>157.5</v>
      </c>
      <c r="W167" s="21" cm="1">
        <f t="array" ref="W167">N167*VLOOKUP($I167, Factor!$B$4:$G$8, 4, 0)*VLOOKUP($J167, Factor!$B$12:$G$13, 4, 0)*VLOOKUP($K167, Factor!$B$17:$G$18, 4, 0)*VLOOKUP($H167, Factor!$J$4:$O$7, 4, 0)*VLOOKUP($F167, Factor!$Q$4:$V$15, 4, 0)*IF(MOD($G167,10)=0, 10, MOD($G167, 10))*((INDEX(Factor!$X$4:$AC$13, _xlfn.XMATCH($G167, Factor!$X$4:$X$13, 1),4)*IF(MOD(G167, 10) = 0, 10, MOD(G167, 10)))+INDEX(Factor!$AE$4:$AJ$13, _xlfn.XMATCH(MonsterData!$G167, Factor!$AE$4:$AE$13, 1),4))</f>
        <v>94.499999999999986</v>
      </c>
      <c r="X167" s="21" cm="1">
        <f t="array" ref="X167">O167*VLOOKUP($I167, Factor!$B$4:$G$8, 5, 0)*VLOOKUP($J167, Factor!$B$12:$G$13, 5, 0)*VLOOKUP($K167, Factor!$B$17:$G$18, 5, 0)*VLOOKUP($H167, Factor!$J$4:$O$7, 5, 0)*VLOOKUP($F167, Factor!$Q$4:$V$15, 5, 0)*IF(MOD($G167,10)=0, 10, MOD($G167, 10))*((INDEX(Factor!$X$4:$AC$13, _xlfn.XMATCH($G167, Factor!$X$4:$X$13, 1),5)*IF(MOD(G167, 10) = 0, 10, MOD(G167, 10)))+INDEX(Factor!$AE$4:$AJ$13, _xlfn.XMATCH(MonsterData!$G167, Factor!$AE$4:$AE$13, 1),5))</f>
        <v>31.5</v>
      </c>
      <c r="Y167" s="21" cm="1">
        <f t="array" ref="Y167">P167*VLOOKUP($I167, Factor!$B$4:$G$8, 6, 0)*VLOOKUP($J167, Factor!$B$12:$G$13, 6, 0)*VLOOKUP($K167, Factor!$B$17:$G$18, 6, 0)*VLOOKUP($H167, Factor!$J$4:$O$7, 2, 0)*VLOOKUP($F167, Factor!$Q$4:$V$15, 6, 0)*IF(MOD($G167,10)=0, 10, MOD($G167, 10))*((INDEX(Factor!$X$4:$AC$13, _xlfn.XMATCH($G167, Factor!$X$4:$X$13, 1),6)*IF(MOD(G167, 10) = 0, 10, MOD(G167, 10)))+INDEX(Factor!$AE$4:$AJ$13, _xlfn.XMATCH(MonsterData!$G167, Factor!$AE$4:$AE$13, 1),6))</f>
        <v>472.5</v>
      </c>
      <c r="Z167" s="21">
        <f>$Q167*VLOOKUP($J167, Factor!$B$12:$H$13, 7, 0)</f>
        <v>1</v>
      </c>
      <c r="AA167" s="13">
        <v>1</v>
      </c>
      <c r="AB167" s="21">
        <f t="shared" si="11"/>
        <v>0</v>
      </c>
      <c r="AC167" s="13" t="s">
        <v>139</v>
      </c>
      <c r="AD167" s="15" t="s">
        <v>142</v>
      </c>
    </row>
    <row r="168" spans="1:30" ht="15.75" customHeight="1">
      <c r="A168" s="16" t="str">
        <f>T168&amp;"_"&amp;F168&amp;VLOOKUP($C168, Factor!$AM$4:$AY$30, 7, 0)&amp;IF(COUNTIFS($C$4:C167, C168, $F$4:F167, F168)+1&gt;=100, COUNTIFS($C$4:C167, C168, $F$4:F167, F168)+1,IF(COUNTIFS($C$4:C167, C168, $F$4:F167, F168)+1&gt;=10, "0"&amp;COUNTIFS($C$4:C167, C168, $F$4:F167, F168)+1, "00"&amp;COUNTIFS($C$4:C167, C168, $F$4:F167, F168)+1))</f>
        <v>enpc_F03_B_Golem_002</v>
      </c>
      <c r="B168" s="16"/>
      <c r="C168" s="16" t="s">
        <v>40</v>
      </c>
      <c r="D168" s="17" t="str">
        <f t="shared" si="10"/>
        <v>골렘</v>
      </c>
      <c r="E168" s="17" t="str">
        <f>VLOOKUP($C168, Factor!$AM$4:$AY$30, 8, 0)</f>
        <v>B</v>
      </c>
      <c r="F168" s="17" t="s">
        <v>111</v>
      </c>
      <c r="G168" s="20">
        <v>41</v>
      </c>
      <c r="H168" s="16" t="s">
        <v>57</v>
      </c>
      <c r="I168" s="17" t="str">
        <f>VLOOKUP($C168, Factor!$AM$4:$AY$30, 11, 0)</f>
        <v>B</v>
      </c>
      <c r="J168" s="17" t="str">
        <f>VLOOKUP($C168, Factor!$AM$4:$AY$30, 12, 0)</f>
        <v>ml</v>
      </c>
      <c r="K168" s="17" t="str">
        <f>VLOOKUP($C168, Factor!$AM$4:$AY$30, 13, 0)</f>
        <v>L</v>
      </c>
      <c r="L168" s="17">
        <v>1</v>
      </c>
      <c r="M168" s="17">
        <v>1</v>
      </c>
      <c r="N168" s="17">
        <v>1</v>
      </c>
      <c r="O168" s="17">
        <v>1</v>
      </c>
      <c r="P168" s="17">
        <v>1</v>
      </c>
      <c r="Q168" s="17">
        <v>1</v>
      </c>
      <c r="R168" s="17" t="str">
        <f>VLOOKUP($C168, Factor!$AM$4:$AY$30, 9, 0)</f>
        <v>Big</v>
      </c>
      <c r="S168" s="17" t="s">
        <v>398</v>
      </c>
      <c r="T168" s="17" t="str">
        <f>VLOOKUP($C168, Factor!$AM$4:$AY$30, 10, 0)</f>
        <v>enpc</v>
      </c>
      <c r="U168" s="17" cm="1">
        <f t="array" ref="U168">L168*VLOOKUP($I168, Factor!$B$4:$G$8, 2, 0)*VLOOKUP($J168, Factor!$B$12:$G$13, 2, 0)*VLOOKUP($K168, Factor!$B$17:$G$18, 2, 0)*VLOOKUP($H168, Factor!$J$4:$O$7, 2, 0)*VLOOKUP($F168, Factor!$Q$4:$V$15, 2, 0)*IF(MOD($G168,10)=0, 10, MOD($G168, 10))*((INDEX(Factor!$X$4:$AC$13, _xlfn.XMATCH($G168, Factor!$X$4:$X$13, 1),2)*IF(MOD(G168, 10) = 0, 10, MOD(G168, 10)))+INDEX(Factor!$AE$4:$AJ$13, _xlfn.XMATCH(MonsterData!$G168, Factor!$AE$4:$AE$13, 1),2))</f>
        <v>22050</v>
      </c>
      <c r="V168" s="17" cm="1">
        <f t="array" ref="V168">M168*VLOOKUP($I168, Factor!$B$4:$G$8, 3, 0)*VLOOKUP($J168, Factor!$B$12:$G$13, 3, 0)*VLOOKUP($K168, Factor!$B$17:$G$18, 3, 0)*VLOOKUP($H168, Factor!$J$4:$O$7, 3, 0)*VLOOKUP($F168, Factor!$Q$4:$V$15, 3, 0)*IF(MOD($G168,10)=0, 10, MOD($G168, 10))*((INDEX(Factor!$X$4:$AC$13, _xlfn.XMATCH($G168, Factor!$X$4:$X$13, 1),3)*IF(MOD(G168, 10) = 0, 10, MOD(G168, 10)))+INDEX(Factor!$AE$4:$AJ$13, _xlfn.XMATCH(MonsterData!$G168, Factor!$AE$4:$AE$13, 1),3))</f>
        <v>1102.5</v>
      </c>
      <c r="W168" s="17" cm="1">
        <f t="array" ref="W168">N168*VLOOKUP($I168, Factor!$B$4:$G$8, 4, 0)*VLOOKUP($J168, Factor!$B$12:$G$13, 4, 0)*VLOOKUP($K168, Factor!$B$17:$G$18, 4, 0)*VLOOKUP($H168, Factor!$J$4:$O$7, 4, 0)*VLOOKUP($F168, Factor!$Q$4:$V$15, 4, 0)*IF(MOD($G168,10)=0, 10, MOD($G168, 10))*((INDEX(Factor!$X$4:$AC$13, _xlfn.XMATCH($G168, Factor!$X$4:$X$13, 1),4)*IF(MOD(G168, 10) = 0, 10, MOD(G168, 10)))+INDEX(Factor!$AE$4:$AJ$13, _xlfn.XMATCH(MonsterData!$G168, Factor!$AE$4:$AE$13, 1),4))</f>
        <v>55.125</v>
      </c>
      <c r="X168" s="17" cm="1">
        <f t="array" ref="X168">O168*VLOOKUP($I168, Factor!$B$4:$G$8, 5, 0)*VLOOKUP($J168, Factor!$B$12:$G$13, 5, 0)*VLOOKUP($K168, Factor!$B$17:$G$18, 5, 0)*VLOOKUP($H168, Factor!$J$4:$O$7, 5, 0)*VLOOKUP($F168, Factor!$Q$4:$V$15, 5, 0)*IF(MOD($G168,10)=0, 10, MOD($G168, 10))*((INDEX(Factor!$X$4:$AC$13, _xlfn.XMATCH($G168, Factor!$X$4:$X$13, 1),5)*IF(MOD(G168, 10) = 0, 10, MOD(G168, 10)))+INDEX(Factor!$AE$4:$AJ$13, _xlfn.XMATCH(MonsterData!$G168, Factor!$AE$4:$AE$13, 1),5))</f>
        <v>58.8</v>
      </c>
      <c r="Y168" s="17" cm="1">
        <f t="array" ref="Y168">P168*VLOOKUP($I168, Factor!$B$4:$G$8, 6, 0)*VLOOKUP($J168, Factor!$B$12:$G$13, 6, 0)*VLOOKUP($K168, Factor!$B$17:$G$18, 6, 0)*VLOOKUP($H168, Factor!$J$4:$O$7, 2, 0)*VLOOKUP($F168, Factor!$Q$4:$V$15, 6, 0)*IF(MOD($G168,10)=0, 10, MOD($G168, 10))*((INDEX(Factor!$X$4:$AC$13, _xlfn.XMATCH($G168, Factor!$X$4:$X$13, 1),6)*IF(MOD(G168, 10) = 0, 10, MOD(G168, 10)))+INDEX(Factor!$AE$4:$AJ$13, _xlfn.XMATCH(MonsterData!$G168, Factor!$AE$4:$AE$13, 1),6))</f>
        <v>117.6</v>
      </c>
      <c r="Z168" s="17">
        <f>$Q168*VLOOKUP($J168, Factor!$B$12:$H$13, 7, 0)</f>
        <v>1</v>
      </c>
      <c r="AA168" s="17">
        <v>1</v>
      </c>
      <c r="AB168" s="17">
        <f t="shared" si="11"/>
        <v>0</v>
      </c>
      <c r="AC168" s="17" t="s">
        <v>140</v>
      </c>
      <c r="AD168" s="19" t="s">
        <v>143</v>
      </c>
    </row>
    <row r="169" spans="1:30" ht="15.75" customHeight="1">
      <c r="A169" s="13" t="str">
        <f>T169&amp;"_"&amp;F169&amp;VLOOKUP($C169, Factor!$AM$4:$AY$30, 7, 0)&amp;IF(COUNTIFS($C$4:C168, C169, $F$4:F168, F169)+1&gt;=100, COUNTIFS($C$4:C168, C169, $F$4:F168, F169)+1,IF(COUNTIFS($C$4:C168, C169, $F$4:F168, F169)+1&gt;=10, "0"&amp;COUNTIFS($C$4:C168, C169, $F$4:F168, F169)+1, "00"&amp;COUNTIFS($C$4:C168, C169, $F$4:F168, F169)+1))</f>
        <v>enpc_F03_B_Banshee_002</v>
      </c>
      <c r="B169" s="13"/>
      <c r="C169" s="13" t="s">
        <v>42</v>
      </c>
      <c r="D169" s="21" t="str">
        <f t="shared" si="10"/>
        <v>밴시</v>
      </c>
      <c r="E169" s="21" t="str">
        <f>VLOOKUP($C169, Factor!$AM$4:$AY$30, 8, 0)</f>
        <v>S</v>
      </c>
      <c r="F169" s="21" t="s">
        <v>111</v>
      </c>
      <c r="G169" s="22">
        <v>41</v>
      </c>
      <c r="H169" s="13" t="s">
        <v>56</v>
      </c>
      <c r="I169" s="21" t="str">
        <f>VLOOKUP($C169, Factor!$AM$4:$AY$30, 11, 0)</f>
        <v>B</v>
      </c>
      <c r="J169" s="21" t="str">
        <f>VLOOKUP($C169, Factor!$AM$4:$AY$30, 12, 0)</f>
        <v>ra</v>
      </c>
      <c r="K169" s="21" t="str">
        <f>VLOOKUP($C169, Factor!$AM$4:$AY$30, 13, 0)</f>
        <v>L</v>
      </c>
      <c r="L169" s="13">
        <v>1</v>
      </c>
      <c r="M169" s="13">
        <v>1</v>
      </c>
      <c r="N169" s="13">
        <v>1</v>
      </c>
      <c r="O169" s="13">
        <v>1</v>
      </c>
      <c r="P169" s="13">
        <v>1</v>
      </c>
      <c r="Q169" s="13">
        <v>1</v>
      </c>
      <c r="R169" s="21" t="str">
        <f>VLOOKUP($C169, Factor!$AM$4:$AY$30, 9, 0)</f>
        <v>Midium</v>
      </c>
      <c r="S169" s="13" t="s">
        <v>410</v>
      </c>
      <c r="T169" s="21" t="str">
        <f>VLOOKUP($C169, Factor!$AM$4:$AY$30, 10, 0)</f>
        <v>enpc</v>
      </c>
      <c r="U169" s="21" cm="1">
        <f t="array" ref="U169">L169*VLOOKUP($I169, Factor!$B$4:$G$8, 2, 0)*VLOOKUP($J169, Factor!$B$12:$G$13, 2, 0)*VLOOKUP($K169, Factor!$B$17:$G$18, 2, 0)*VLOOKUP($H169, Factor!$J$4:$O$7, 2, 0)*VLOOKUP($F169, Factor!$Q$4:$V$15, 2, 0)*IF(MOD($G169,10)=0, 10, MOD($G169, 10))*((INDEX(Factor!$X$4:$AC$13, _xlfn.XMATCH($G169, Factor!$X$4:$X$13, 1),2)*IF(MOD(G169, 10) = 0, 10, MOD(G169, 10)))+INDEX(Factor!$AE$4:$AJ$13, _xlfn.XMATCH(MonsterData!$G169, Factor!$AE$4:$AE$13, 1),2))</f>
        <v>8820</v>
      </c>
      <c r="V169" s="21" cm="1">
        <f t="array" ref="V169">M169*VLOOKUP($I169, Factor!$B$4:$G$8, 3, 0)*VLOOKUP($J169, Factor!$B$12:$G$13, 3, 0)*VLOOKUP($K169, Factor!$B$17:$G$18, 3, 0)*VLOOKUP($H169, Factor!$J$4:$O$7, 3, 0)*VLOOKUP($F169, Factor!$Q$4:$V$15, 3, 0)*IF(MOD($G169,10)=0, 10, MOD($G169, 10))*((INDEX(Factor!$X$4:$AC$13, _xlfn.XMATCH($G169, Factor!$X$4:$X$13, 1),3)*IF(MOD(G169, 10) = 0, 10, MOD(G169, 10)))+INDEX(Factor!$AE$4:$AJ$13, _xlfn.XMATCH(MonsterData!$G169, Factor!$AE$4:$AE$13, 1),3))</f>
        <v>441</v>
      </c>
      <c r="W169" s="21" cm="1">
        <f t="array" ref="W169">N169*VLOOKUP($I169, Factor!$B$4:$G$8, 4, 0)*VLOOKUP($J169, Factor!$B$12:$G$13, 4, 0)*VLOOKUP($K169, Factor!$B$17:$G$18, 4, 0)*VLOOKUP($H169, Factor!$J$4:$O$7, 4, 0)*VLOOKUP($F169, Factor!$Q$4:$V$15, 4, 0)*IF(MOD($G169,10)=0, 10, MOD($G169, 10))*((INDEX(Factor!$X$4:$AC$13, _xlfn.XMATCH($G169, Factor!$X$4:$X$13, 1),4)*IF(MOD(G169, 10) = 0, 10, MOD(G169, 10)))+INDEX(Factor!$AE$4:$AJ$13, _xlfn.XMATCH(MonsterData!$G169, Factor!$AE$4:$AE$13, 1),4))</f>
        <v>1322.9999999999998</v>
      </c>
      <c r="X169" s="21" cm="1">
        <f t="array" ref="X169">O169*VLOOKUP($I169, Factor!$B$4:$G$8, 5, 0)*VLOOKUP($J169, Factor!$B$12:$G$13, 5, 0)*VLOOKUP($K169, Factor!$B$17:$G$18, 5, 0)*VLOOKUP($H169, Factor!$J$4:$O$7, 5, 0)*VLOOKUP($F169, Factor!$Q$4:$V$15, 5, 0)*IF(MOD($G169,10)=0, 10, MOD($G169, 10))*((INDEX(Factor!$X$4:$AC$13, _xlfn.XMATCH($G169, Factor!$X$4:$X$13, 1),5)*IF(MOD(G169, 10) = 0, 10, MOD(G169, 10)))+INDEX(Factor!$AE$4:$AJ$13, _xlfn.XMATCH(MonsterData!$G169, Factor!$AE$4:$AE$13, 1),5))</f>
        <v>39.69</v>
      </c>
      <c r="Y169" s="21" cm="1">
        <f t="array" ref="Y169">P169*VLOOKUP($I169, Factor!$B$4:$G$8, 6, 0)*VLOOKUP($J169, Factor!$B$12:$G$13, 6, 0)*VLOOKUP($K169, Factor!$B$17:$G$18, 6, 0)*VLOOKUP($H169, Factor!$J$4:$O$7, 2, 0)*VLOOKUP($F169, Factor!$Q$4:$V$15, 6, 0)*IF(MOD($G169,10)=0, 10, MOD($G169, 10))*((INDEX(Factor!$X$4:$AC$13, _xlfn.XMATCH($G169, Factor!$X$4:$X$13, 1),6)*IF(MOD(G169, 10) = 0, 10, MOD(G169, 10)))+INDEX(Factor!$AE$4:$AJ$13, _xlfn.XMATCH(MonsterData!$G169, Factor!$AE$4:$AE$13, 1),6))</f>
        <v>58.8</v>
      </c>
      <c r="Z169" s="21">
        <f>$Q169*VLOOKUP($J169, Factor!$B$12:$H$13, 7, 0)</f>
        <v>4</v>
      </c>
      <c r="AA169" s="13">
        <v>1</v>
      </c>
      <c r="AB169" s="21">
        <f t="shared" si="11"/>
        <v>4</v>
      </c>
      <c r="AC169" s="13" t="s">
        <v>141</v>
      </c>
      <c r="AD169" s="15" t="s">
        <v>144</v>
      </c>
    </row>
    <row r="170" spans="1:30" ht="15.75" customHeight="1">
      <c r="A170" s="16" t="str">
        <f>T170&amp;"_"&amp;F170&amp;VLOOKUP($C170, Factor!$AM$4:$AY$30, 7, 0)&amp;IF(COUNTIFS($C$4:C169, C170, $F$4:F169, F170)+1&gt;=100, COUNTIFS($C$4:C169, C170, $F$4:F169, F170)+1,IF(COUNTIFS($C$4:C169, C170, $F$4:F169, F170)+1&gt;=10, "0"&amp;COUNTIFS($C$4:C169, C170, $F$4:F169, F170)+1, "00"&amp;COUNTIFS($C$4:C169, C170, $F$4:F169, F170)+1))</f>
        <v>enpc_F03_A_Scarab_002</v>
      </c>
      <c r="B170" s="16"/>
      <c r="C170" s="16" t="s">
        <v>353</v>
      </c>
      <c r="D170" s="17" t="str">
        <f t="shared" si="10"/>
        <v>스캐럽</v>
      </c>
      <c r="E170" s="17" t="str">
        <f>VLOOKUP($C170, Factor!$AM$4:$AY$30, 8, 0)</f>
        <v>S</v>
      </c>
      <c r="F170" s="17" t="s">
        <v>111</v>
      </c>
      <c r="G170" s="20">
        <v>25</v>
      </c>
      <c r="H170" s="16" t="s">
        <v>55</v>
      </c>
      <c r="I170" s="17" t="str">
        <f>VLOOKUP($C170, Factor!$AM$4:$AY$30, 11, 0)</f>
        <v>A</v>
      </c>
      <c r="J170" s="17" t="str">
        <f>VLOOKUP($C170, Factor!$AM$4:$AY$30, 12, 0)</f>
        <v>ml</v>
      </c>
      <c r="K170" s="17" t="str">
        <f>VLOOKUP($C170, Factor!$AM$4:$AY$30, 13, 0)</f>
        <v>L</v>
      </c>
      <c r="L170" s="17">
        <v>1</v>
      </c>
      <c r="M170" s="17">
        <v>1</v>
      </c>
      <c r="N170" s="17">
        <v>1</v>
      </c>
      <c r="O170" s="17">
        <v>1</v>
      </c>
      <c r="P170" s="17">
        <v>1</v>
      </c>
      <c r="Q170" s="17">
        <v>1</v>
      </c>
      <c r="R170" s="17" t="str">
        <f>VLOOKUP($C170, Factor!$AM$4:$AY$30, 9, 0)</f>
        <v>Midium</v>
      </c>
      <c r="S170" s="17" t="s">
        <v>399</v>
      </c>
      <c r="T170" s="17" t="str">
        <f>VLOOKUP($C170, Factor!$AM$4:$AY$30, 10, 0)</f>
        <v>enpc</v>
      </c>
      <c r="U170" s="17" cm="1">
        <f t="array" ref="U170">L170*VLOOKUP($I170, Factor!$B$4:$G$8, 2, 0)*VLOOKUP($J170, Factor!$B$12:$G$13, 2, 0)*VLOOKUP($K170, Factor!$B$17:$G$18, 2, 0)*VLOOKUP($H170, Factor!$J$4:$O$7, 2, 0)*VLOOKUP($F170, Factor!$Q$4:$V$15, 2, 0)*IF(MOD($G170,10)=0, 10, MOD($G170, 10))*((INDEX(Factor!$X$4:$AC$13, _xlfn.XMATCH($G170, Factor!$X$4:$X$13, 1),2)*IF(MOD(G170, 10) = 0, 10, MOD(G170, 10)))+INDEX(Factor!$AE$4:$AJ$13, _xlfn.XMATCH(MonsterData!$G170, Factor!$AE$4:$AE$13, 1),2))</f>
        <v>4725</v>
      </c>
      <c r="V170" s="17" cm="1">
        <f t="array" ref="V170">M170*VLOOKUP($I170, Factor!$B$4:$G$8, 3, 0)*VLOOKUP($J170, Factor!$B$12:$G$13, 3, 0)*VLOOKUP($K170, Factor!$B$17:$G$18, 3, 0)*VLOOKUP($H170, Factor!$J$4:$O$7, 3, 0)*VLOOKUP($F170, Factor!$Q$4:$V$15, 3, 0)*IF(MOD($G170,10)=0, 10, MOD($G170, 10))*((INDEX(Factor!$X$4:$AC$13, _xlfn.XMATCH($G170, Factor!$X$4:$X$13, 1),3)*IF(MOD(G170, 10) = 0, 10, MOD(G170, 10)))+INDEX(Factor!$AE$4:$AJ$13, _xlfn.XMATCH(MonsterData!$G170, Factor!$AE$4:$AE$13, 1),3))</f>
        <v>236.25</v>
      </c>
      <c r="W170" s="17" cm="1">
        <f t="array" ref="W170">N170*VLOOKUP($I170, Factor!$B$4:$G$8, 4, 0)*VLOOKUP($J170, Factor!$B$12:$G$13, 4, 0)*VLOOKUP($K170, Factor!$B$17:$G$18, 4, 0)*VLOOKUP($H170, Factor!$J$4:$O$7, 4, 0)*VLOOKUP($F170, Factor!$Q$4:$V$15, 4, 0)*IF(MOD($G170,10)=0, 10, MOD($G170, 10))*((INDEX(Factor!$X$4:$AC$13, _xlfn.XMATCH($G170, Factor!$X$4:$X$13, 1),4)*IF(MOD(G170, 10) = 0, 10, MOD(G170, 10)))+INDEX(Factor!$AE$4:$AJ$13, _xlfn.XMATCH(MonsterData!$G170, Factor!$AE$4:$AE$13, 1),4))</f>
        <v>141.75</v>
      </c>
      <c r="X170" s="17" cm="1">
        <f t="array" ref="X170">O170*VLOOKUP($I170, Factor!$B$4:$G$8, 5, 0)*VLOOKUP($J170, Factor!$B$12:$G$13, 5, 0)*VLOOKUP($K170, Factor!$B$17:$G$18, 5, 0)*VLOOKUP($H170, Factor!$J$4:$O$7, 5, 0)*VLOOKUP($F170, Factor!$Q$4:$V$15, 5, 0)*IF(MOD($G170,10)=0, 10, MOD($G170, 10))*((INDEX(Factor!$X$4:$AC$13, _xlfn.XMATCH($G170, Factor!$X$4:$X$13, 1),5)*IF(MOD(G170, 10) = 0, 10, MOD(G170, 10)))+INDEX(Factor!$AE$4:$AJ$13, _xlfn.XMATCH(MonsterData!$G170, Factor!$AE$4:$AE$13, 1),5))</f>
        <v>31.5</v>
      </c>
      <c r="Y170" s="17" cm="1">
        <f t="array" ref="Y170">P170*VLOOKUP($I170, Factor!$B$4:$G$8, 6, 0)*VLOOKUP($J170, Factor!$B$12:$G$13, 6, 0)*VLOOKUP($K170, Factor!$B$17:$G$18, 6, 0)*VLOOKUP($H170, Factor!$J$4:$O$7, 2, 0)*VLOOKUP($F170, Factor!$Q$4:$V$15, 6, 0)*IF(MOD($G170,10)=0, 10, MOD($G170, 10))*((INDEX(Factor!$X$4:$AC$13, _xlfn.XMATCH($G170, Factor!$X$4:$X$13, 1),6)*IF(MOD(G170, 10) = 0, 10, MOD(G170, 10)))+INDEX(Factor!$AE$4:$AJ$13, _xlfn.XMATCH(MonsterData!$G170, Factor!$AE$4:$AE$13, 1),6))</f>
        <v>157.5</v>
      </c>
      <c r="Z170" s="17">
        <f>$Q170*VLOOKUP($J170, Factor!$B$12:$H$13, 7, 0)</f>
        <v>1</v>
      </c>
      <c r="AA170" s="17">
        <v>1</v>
      </c>
      <c r="AB170" s="17">
        <f t="shared" si="11"/>
        <v>0</v>
      </c>
      <c r="AC170" s="17" t="s">
        <v>139</v>
      </c>
      <c r="AD170" s="19" t="s">
        <v>387</v>
      </c>
    </row>
    <row r="171" spans="1:30" ht="15.75" customHeight="1">
      <c r="A171" s="13" t="str">
        <f>T171&amp;"_"&amp;F171&amp;VLOOKUP($C171, Factor!$AM$4:$AY$30, 7, 0)&amp;IF(COUNTIFS($C$4:C170, C171, $F$4:F170, F171)+1&gt;=100, COUNTIFS($C$4:C170, C171, $F$4:F170, F171)+1,IF(COUNTIFS($C$4:C170, C171, $F$4:F170, F171)+1&gt;=10, "0"&amp;COUNTIFS($C$4:C170, C171, $F$4:F170, F171)+1, "00"&amp;COUNTIFS($C$4:C170, C171, $F$4:F170, F171)+1))</f>
        <v>enpc_F03_A_Swarmlet_002</v>
      </c>
      <c r="B171" s="13"/>
      <c r="C171" s="13" t="s">
        <v>355</v>
      </c>
      <c r="D171" s="21" t="str">
        <f t="shared" si="10"/>
        <v>스웜렛</v>
      </c>
      <c r="E171" s="21" t="str">
        <f>VLOOKUP($C171, Factor!$AM$4:$AY$30, 8, 0)</f>
        <v>B</v>
      </c>
      <c r="F171" s="21" t="s">
        <v>111</v>
      </c>
      <c r="G171" s="22">
        <v>25</v>
      </c>
      <c r="H171" s="13" t="s">
        <v>56</v>
      </c>
      <c r="I171" s="21" t="str">
        <f>VLOOKUP($C171, Factor!$AM$4:$AY$30, 11, 0)</f>
        <v>A</v>
      </c>
      <c r="J171" s="21" t="str">
        <f>VLOOKUP($C171, Factor!$AM$4:$AY$30, 12, 0)</f>
        <v>ml</v>
      </c>
      <c r="K171" s="21" t="str">
        <f>VLOOKUP($C171, Factor!$AM$4:$AY$30, 13, 0)</f>
        <v>L</v>
      </c>
      <c r="L171" s="13">
        <v>1</v>
      </c>
      <c r="M171" s="13">
        <v>1</v>
      </c>
      <c r="N171" s="13">
        <v>1</v>
      </c>
      <c r="O171" s="13">
        <v>1</v>
      </c>
      <c r="P171" s="13">
        <v>1</v>
      </c>
      <c r="Q171" s="13">
        <v>1</v>
      </c>
      <c r="R171" s="21" t="str">
        <f>VLOOKUP($C171, Factor!$AM$4:$AY$30, 9, 0)</f>
        <v>Small</v>
      </c>
      <c r="S171" s="13" t="s">
        <v>405</v>
      </c>
      <c r="T171" s="21" t="str">
        <f>VLOOKUP($C171, Factor!$AM$4:$AY$30, 10, 0)</f>
        <v>enpc</v>
      </c>
      <c r="U171" s="21" cm="1">
        <f t="array" ref="U171">L171*VLOOKUP($I171, Factor!$B$4:$G$8, 2, 0)*VLOOKUP($J171, Factor!$B$12:$G$13, 2, 0)*VLOOKUP($K171, Factor!$B$17:$G$18, 2, 0)*VLOOKUP($H171, Factor!$J$4:$O$7, 2, 0)*VLOOKUP($F171, Factor!$Q$4:$V$15, 2, 0)*IF(MOD($G171,10)=0, 10, MOD($G171, 10))*((INDEX(Factor!$X$4:$AC$13, _xlfn.XMATCH($G171, Factor!$X$4:$X$13, 1),2)*IF(MOD(G171, 10) = 0, 10, MOD(G171, 10)))+INDEX(Factor!$AE$4:$AJ$13, _xlfn.XMATCH(MonsterData!$G171, Factor!$AE$4:$AE$13, 1),2))</f>
        <v>4725</v>
      </c>
      <c r="V171" s="21" cm="1">
        <f t="array" ref="V171">M171*VLOOKUP($I171, Factor!$B$4:$G$8, 3, 0)*VLOOKUP($J171, Factor!$B$12:$G$13, 3, 0)*VLOOKUP($K171, Factor!$B$17:$G$18, 3, 0)*VLOOKUP($H171, Factor!$J$4:$O$7, 3, 0)*VLOOKUP($F171, Factor!$Q$4:$V$15, 3, 0)*IF(MOD($G171,10)=0, 10, MOD($G171, 10))*((INDEX(Factor!$X$4:$AC$13, _xlfn.XMATCH($G171, Factor!$X$4:$X$13, 1),3)*IF(MOD(G171, 10) = 0, 10, MOD(G171, 10)))+INDEX(Factor!$AE$4:$AJ$13, _xlfn.XMATCH(MonsterData!$G171, Factor!$AE$4:$AE$13, 1),3))</f>
        <v>236.25</v>
      </c>
      <c r="W171" s="21" cm="1">
        <f t="array" ref="W171">N171*VLOOKUP($I171, Factor!$B$4:$G$8, 4, 0)*VLOOKUP($J171, Factor!$B$12:$G$13, 4, 0)*VLOOKUP($K171, Factor!$B$17:$G$18, 4, 0)*VLOOKUP($H171, Factor!$J$4:$O$7, 4, 0)*VLOOKUP($F171, Factor!$Q$4:$V$15, 4, 0)*IF(MOD($G171,10)=0, 10, MOD($G171, 10))*((INDEX(Factor!$X$4:$AC$13, _xlfn.XMATCH($G171, Factor!$X$4:$X$13, 1),4)*IF(MOD(G171, 10) = 0, 10, MOD(G171, 10)))+INDEX(Factor!$AE$4:$AJ$13, _xlfn.XMATCH(MonsterData!$G171, Factor!$AE$4:$AE$13, 1),4))</f>
        <v>283.5</v>
      </c>
      <c r="X171" s="21" cm="1">
        <f t="array" ref="X171">O171*VLOOKUP($I171, Factor!$B$4:$G$8, 5, 0)*VLOOKUP($J171, Factor!$B$12:$G$13, 5, 0)*VLOOKUP($K171, Factor!$B$17:$G$18, 5, 0)*VLOOKUP($H171, Factor!$J$4:$O$7, 5, 0)*VLOOKUP($F171, Factor!$Q$4:$V$15, 5, 0)*IF(MOD($G171,10)=0, 10, MOD($G171, 10))*((INDEX(Factor!$X$4:$AC$13, _xlfn.XMATCH($G171, Factor!$X$4:$X$13, 1),5)*IF(MOD(G171, 10) = 0, 10, MOD(G171, 10)))+INDEX(Factor!$AE$4:$AJ$13, _xlfn.XMATCH(MonsterData!$G171, Factor!$AE$4:$AE$13, 1),5))</f>
        <v>28.349999999999998</v>
      </c>
      <c r="Y171" s="21" cm="1">
        <f t="array" ref="Y171">P171*VLOOKUP($I171, Factor!$B$4:$G$8, 6, 0)*VLOOKUP($J171, Factor!$B$12:$G$13, 6, 0)*VLOOKUP($K171, Factor!$B$17:$G$18, 6, 0)*VLOOKUP($H171, Factor!$J$4:$O$7, 2, 0)*VLOOKUP($F171, Factor!$Q$4:$V$15, 6, 0)*IF(MOD($G171,10)=0, 10, MOD($G171, 10))*((INDEX(Factor!$X$4:$AC$13, _xlfn.XMATCH($G171, Factor!$X$4:$X$13, 1),6)*IF(MOD(G171, 10) = 0, 10, MOD(G171, 10)))+INDEX(Factor!$AE$4:$AJ$13, _xlfn.XMATCH(MonsterData!$G171, Factor!$AE$4:$AE$13, 1),6))</f>
        <v>157.5</v>
      </c>
      <c r="Z171" s="21">
        <f>$Q171*VLOOKUP($J171, Factor!$B$12:$H$13, 7, 0)</f>
        <v>1</v>
      </c>
      <c r="AA171" s="13">
        <v>1</v>
      </c>
      <c r="AB171" s="21">
        <f t="shared" si="11"/>
        <v>0</v>
      </c>
      <c r="AC171" s="13" t="s">
        <v>139</v>
      </c>
      <c r="AD171" s="15" t="s">
        <v>387</v>
      </c>
    </row>
    <row r="172" spans="1:30" ht="15.75" customHeight="1">
      <c r="A172" s="16" t="str">
        <f>T172&amp;"_"&amp;F172&amp;VLOOKUP($C172, Factor!$AM$4:$AY$30, 7, 0)&amp;IF(COUNTIFS($C$4:C171, C172, $F$4:F171, F172)+1&gt;=100, COUNTIFS($C$4:C171, C172, $F$4:F171, F172)+1,IF(COUNTIFS($C$4:C171, C172, $F$4:F171, F172)+1&gt;=10, "0"&amp;COUNTIFS($C$4:C171, C172, $F$4:F171, F172)+1, "00"&amp;COUNTIFS($C$4:C171, C172, $F$4:F171, F172)+1))</f>
        <v>enpc_F03_A_Mantis_002</v>
      </c>
      <c r="B172" s="16"/>
      <c r="C172" s="16" t="s">
        <v>357</v>
      </c>
      <c r="D172" s="17" t="str">
        <f t="shared" si="10"/>
        <v>맨티스</v>
      </c>
      <c r="E172" s="17" t="str">
        <f>VLOOKUP($C172, Factor!$AM$4:$AY$30, 8, 0)</f>
        <v>S</v>
      </c>
      <c r="F172" s="17" t="s">
        <v>111</v>
      </c>
      <c r="G172" s="20">
        <v>25</v>
      </c>
      <c r="H172" s="16" t="s">
        <v>55</v>
      </c>
      <c r="I172" s="17" t="str">
        <f>VLOOKUP($C172, Factor!$AM$4:$AY$30, 11, 0)</f>
        <v>A</v>
      </c>
      <c r="J172" s="17" t="str">
        <f>VLOOKUP($C172, Factor!$AM$4:$AY$30, 12, 0)</f>
        <v>ml</v>
      </c>
      <c r="K172" s="17" t="str">
        <f>VLOOKUP($C172, Factor!$AM$4:$AY$30, 13, 0)</f>
        <v>L</v>
      </c>
      <c r="L172" s="17">
        <v>1</v>
      </c>
      <c r="M172" s="17">
        <v>1</v>
      </c>
      <c r="N172" s="17">
        <v>1</v>
      </c>
      <c r="O172" s="17">
        <v>1</v>
      </c>
      <c r="P172" s="17">
        <v>1</v>
      </c>
      <c r="Q172" s="17">
        <v>1</v>
      </c>
      <c r="R172" s="17" t="str">
        <f>VLOOKUP($C172, Factor!$AM$4:$AY$30, 9, 0)</f>
        <v>Small</v>
      </c>
      <c r="S172" s="17" t="s">
        <v>400</v>
      </c>
      <c r="T172" s="17" t="str">
        <f>VLOOKUP($C172, Factor!$AM$4:$AY$30, 10, 0)</f>
        <v>enpc</v>
      </c>
      <c r="U172" s="17" cm="1">
        <f t="array" ref="U172">L172*VLOOKUP($I172, Factor!$B$4:$G$8, 2, 0)*VLOOKUP($J172, Factor!$B$12:$G$13, 2, 0)*VLOOKUP($K172, Factor!$B$17:$G$18, 2, 0)*VLOOKUP($H172, Factor!$J$4:$O$7, 2, 0)*VLOOKUP($F172, Factor!$Q$4:$V$15, 2, 0)*IF(MOD($G172,10)=0, 10, MOD($G172, 10))*((INDEX(Factor!$X$4:$AC$13, _xlfn.XMATCH($G172, Factor!$X$4:$X$13, 1),2)*IF(MOD(G172, 10) = 0, 10, MOD(G172, 10)))+INDEX(Factor!$AE$4:$AJ$13, _xlfn.XMATCH(MonsterData!$G172, Factor!$AE$4:$AE$13, 1),2))</f>
        <v>4725</v>
      </c>
      <c r="V172" s="17" cm="1">
        <f t="array" ref="V172">M172*VLOOKUP($I172, Factor!$B$4:$G$8, 3, 0)*VLOOKUP($J172, Factor!$B$12:$G$13, 3, 0)*VLOOKUP($K172, Factor!$B$17:$G$18, 3, 0)*VLOOKUP($H172, Factor!$J$4:$O$7, 3, 0)*VLOOKUP($F172, Factor!$Q$4:$V$15, 3, 0)*IF(MOD($G172,10)=0, 10, MOD($G172, 10))*((INDEX(Factor!$X$4:$AC$13, _xlfn.XMATCH($G172, Factor!$X$4:$X$13, 1),3)*IF(MOD(G172, 10) = 0, 10, MOD(G172, 10)))+INDEX(Factor!$AE$4:$AJ$13, _xlfn.XMATCH(MonsterData!$G172, Factor!$AE$4:$AE$13, 1),3))</f>
        <v>236.25</v>
      </c>
      <c r="W172" s="17" cm="1">
        <f t="array" ref="W172">N172*VLOOKUP($I172, Factor!$B$4:$G$8, 4, 0)*VLOOKUP($J172, Factor!$B$12:$G$13, 4, 0)*VLOOKUP($K172, Factor!$B$17:$G$18, 4, 0)*VLOOKUP($H172, Factor!$J$4:$O$7, 4, 0)*VLOOKUP($F172, Factor!$Q$4:$V$15, 4, 0)*IF(MOD($G172,10)=0, 10, MOD($G172, 10))*((INDEX(Factor!$X$4:$AC$13, _xlfn.XMATCH($G172, Factor!$X$4:$X$13, 1),4)*IF(MOD(G172, 10) = 0, 10, MOD(G172, 10)))+INDEX(Factor!$AE$4:$AJ$13, _xlfn.XMATCH(MonsterData!$G172, Factor!$AE$4:$AE$13, 1),4))</f>
        <v>141.75</v>
      </c>
      <c r="X172" s="17" cm="1">
        <f t="array" ref="X172">O172*VLOOKUP($I172, Factor!$B$4:$G$8, 5, 0)*VLOOKUP($J172, Factor!$B$12:$G$13, 5, 0)*VLOOKUP($K172, Factor!$B$17:$G$18, 5, 0)*VLOOKUP($H172, Factor!$J$4:$O$7, 5, 0)*VLOOKUP($F172, Factor!$Q$4:$V$15, 5, 0)*IF(MOD($G172,10)=0, 10, MOD($G172, 10))*((INDEX(Factor!$X$4:$AC$13, _xlfn.XMATCH($G172, Factor!$X$4:$X$13, 1),5)*IF(MOD(G172, 10) = 0, 10, MOD(G172, 10)))+INDEX(Factor!$AE$4:$AJ$13, _xlfn.XMATCH(MonsterData!$G172, Factor!$AE$4:$AE$13, 1),5))</f>
        <v>31.5</v>
      </c>
      <c r="Y172" s="17" cm="1">
        <f t="array" ref="Y172">P172*VLOOKUP($I172, Factor!$B$4:$G$8, 6, 0)*VLOOKUP($J172, Factor!$B$12:$G$13, 6, 0)*VLOOKUP($K172, Factor!$B$17:$G$18, 6, 0)*VLOOKUP($H172, Factor!$J$4:$O$7, 2, 0)*VLOOKUP($F172, Factor!$Q$4:$V$15, 6, 0)*IF(MOD($G172,10)=0, 10, MOD($G172, 10))*((INDEX(Factor!$X$4:$AC$13, _xlfn.XMATCH($G172, Factor!$X$4:$X$13, 1),6)*IF(MOD(G172, 10) = 0, 10, MOD(G172, 10)))+INDEX(Factor!$AE$4:$AJ$13, _xlfn.XMATCH(MonsterData!$G172, Factor!$AE$4:$AE$13, 1),6))</f>
        <v>157.5</v>
      </c>
      <c r="Z172" s="17">
        <f>$Q172*VLOOKUP($J172, Factor!$B$12:$H$13, 7, 0)</f>
        <v>1</v>
      </c>
      <c r="AA172" s="17">
        <v>1</v>
      </c>
      <c r="AB172" s="17">
        <f t="shared" si="11"/>
        <v>0</v>
      </c>
      <c r="AC172" s="17" t="s">
        <v>139</v>
      </c>
      <c r="AD172" s="19" t="s">
        <v>387</v>
      </c>
    </row>
    <row r="173" spans="1:30" ht="15.75" customHeight="1">
      <c r="A173" s="13" t="str">
        <f>T173&amp;"_"&amp;F173&amp;VLOOKUP($C173, Factor!$AM$4:$AY$30, 7, 0)&amp;IF(COUNTIFS($C$4:C172, C173, $F$4:F172, F173)+1&gt;=100, COUNTIFS($C$4:C172, C173, $F$4:F172, F173)+1,IF(COUNTIFS($C$4:C172, C173, $F$4:F172, F173)+1&gt;=10, "0"&amp;COUNTIFS($C$4:C172, C173, $F$4:F172, F173)+1, "00"&amp;COUNTIFS($C$4:C172, C173, $F$4:F172, F173)+1))</f>
        <v>enpc_F03_B_Kobold_002</v>
      </c>
      <c r="B173" s="13"/>
      <c r="C173" s="13" t="s">
        <v>359</v>
      </c>
      <c r="D173" s="21" t="str">
        <f t="shared" si="10"/>
        <v>코볼트</v>
      </c>
      <c r="E173" s="21" t="str">
        <f>VLOOKUP($C173, Factor!$AM$4:$AY$30, 8, 0)</f>
        <v>M</v>
      </c>
      <c r="F173" s="21" t="s">
        <v>111</v>
      </c>
      <c r="G173" s="22">
        <v>41</v>
      </c>
      <c r="H173" s="13" t="s">
        <v>56</v>
      </c>
      <c r="I173" s="21" t="str">
        <f>VLOOKUP($C173, Factor!$AM$4:$AY$30, 11, 0)</f>
        <v>B</v>
      </c>
      <c r="J173" s="21" t="str">
        <f>VLOOKUP($C173, Factor!$AM$4:$AY$30, 12, 0)</f>
        <v>ml</v>
      </c>
      <c r="K173" s="21" t="str">
        <f>VLOOKUP($C173, Factor!$AM$4:$AY$30, 13, 0)</f>
        <v>L</v>
      </c>
      <c r="L173" s="13">
        <v>1</v>
      </c>
      <c r="M173" s="13">
        <v>1</v>
      </c>
      <c r="N173" s="13">
        <v>1</v>
      </c>
      <c r="O173" s="13">
        <v>1</v>
      </c>
      <c r="P173" s="13">
        <v>1</v>
      </c>
      <c r="Q173" s="13">
        <v>1</v>
      </c>
      <c r="R173" s="21" t="str">
        <f>VLOOKUP($C173, Factor!$AM$4:$AY$30, 9, 0)</f>
        <v>Small</v>
      </c>
      <c r="S173" s="13" t="s">
        <v>406</v>
      </c>
      <c r="T173" s="21" t="str">
        <f>VLOOKUP($C173, Factor!$AM$4:$AY$30, 10, 0)</f>
        <v>enpc</v>
      </c>
      <c r="U173" s="21" cm="1">
        <f t="array" ref="U173">L173*VLOOKUP($I173, Factor!$B$4:$G$8, 2, 0)*VLOOKUP($J173, Factor!$B$12:$G$13, 2, 0)*VLOOKUP($K173, Factor!$B$17:$G$18, 2, 0)*VLOOKUP($H173, Factor!$J$4:$O$7, 2, 0)*VLOOKUP($F173, Factor!$Q$4:$V$15, 2, 0)*IF(MOD($G173,10)=0, 10, MOD($G173, 10))*((INDEX(Factor!$X$4:$AC$13, _xlfn.XMATCH($G173, Factor!$X$4:$X$13, 1),2)*IF(MOD(G173, 10) = 0, 10, MOD(G173, 10)))+INDEX(Factor!$AE$4:$AJ$13, _xlfn.XMATCH(MonsterData!$G173, Factor!$AE$4:$AE$13, 1),2))</f>
        <v>11025</v>
      </c>
      <c r="V173" s="21" cm="1">
        <f t="array" ref="V173">M173*VLOOKUP($I173, Factor!$B$4:$G$8, 3, 0)*VLOOKUP($J173, Factor!$B$12:$G$13, 3, 0)*VLOOKUP($K173, Factor!$B$17:$G$18, 3, 0)*VLOOKUP($H173, Factor!$J$4:$O$7, 3, 0)*VLOOKUP($F173, Factor!$Q$4:$V$15, 3, 0)*IF(MOD($G173,10)=0, 10, MOD($G173, 10))*((INDEX(Factor!$X$4:$AC$13, _xlfn.XMATCH($G173, Factor!$X$4:$X$13, 1),3)*IF(MOD(G173, 10) = 0, 10, MOD(G173, 10)))+INDEX(Factor!$AE$4:$AJ$13, _xlfn.XMATCH(MonsterData!$G173, Factor!$AE$4:$AE$13, 1),3))</f>
        <v>551.25</v>
      </c>
      <c r="W173" s="21" cm="1">
        <f t="array" ref="W173">N173*VLOOKUP($I173, Factor!$B$4:$G$8, 4, 0)*VLOOKUP($J173, Factor!$B$12:$G$13, 4, 0)*VLOOKUP($K173, Factor!$B$17:$G$18, 4, 0)*VLOOKUP($H173, Factor!$J$4:$O$7, 4, 0)*VLOOKUP($F173, Factor!$Q$4:$V$15, 4, 0)*IF(MOD($G173,10)=0, 10, MOD($G173, 10))*((INDEX(Factor!$X$4:$AC$13, _xlfn.XMATCH($G173, Factor!$X$4:$X$13, 1),4)*IF(MOD(G173, 10) = 0, 10, MOD(G173, 10)))+INDEX(Factor!$AE$4:$AJ$13, _xlfn.XMATCH(MonsterData!$G173, Factor!$AE$4:$AE$13, 1),4))</f>
        <v>1102.5</v>
      </c>
      <c r="X173" s="21" cm="1">
        <f t="array" ref="X173">O173*VLOOKUP($I173, Factor!$B$4:$G$8, 5, 0)*VLOOKUP($J173, Factor!$B$12:$G$13, 5, 0)*VLOOKUP($K173, Factor!$B$17:$G$18, 5, 0)*VLOOKUP($H173, Factor!$J$4:$O$7, 5, 0)*VLOOKUP($F173, Factor!$Q$4:$V$15, 5, 0)*IF(MOD($G173,10)=0, 10, MOD($G173, 10))*((INDEX(Factor!$X$4:$AC$13, _xlfn.XMATCH($G173, Factor!$X$4:$X$13, 1),5)*IF(MOD(G173, 10) = 0, 10, MOD(G173, 10)))+INDEX(Factor!$AE$4:$AJ$13, _xlfn.XMATCH(MonsterData!$G173, Factor!$AE$4:$AE$13, 1),5))</f>
        <v>26.46</v>
      </c>
      <c r="Y173" s="21" cm="1">
        <f t="array" ref="Y173">P173*VLOOKUP($I173, Factor!$B$4:$G$8, 6, 0)*VLOOKUP($J173, Factor!$B$12:$G$13, 6, 0)*VLOOKUP($K173, Factor!$B$17:$G$18, 6, 0)*VLOOKUP($H173, Factor!$J$4:$O$7, 2, 0)*VLOOKUP($F173, Factor!$Q$4:$V$15, 6, 0)*IF(MOD($G173,10)=0, 10, MOD($G173, 10))*((INDEX(Factor!$X$4:$AC$13, _xlfn.XMATCH($G173, Factor!$X$4:$X$13, 1),6)*IF(MOD(G173, 10) = 0, 10, MOD(G173, 10)))+INDEX(Factor!$AE$4:$AJ$13, _xlfn.XMATCH(MonsterData!$G173, Factor!$AE$4:$AE$13, 1),6))</f>
        <v>58.8</v>
      </c>
      <c r="Z173" s="21">
        <f>$Q173*VLOOKUP($J173, Factor!$B$12:$H$13, 7, 0)</f>
        <v>1</v>
      </c>
      <c r="AA173" s="13">
        <v>1</v>
      </c>
      <c r="AB173" s="21">
        <f t="shared" si="11"/>
        <v>0</v>
      </c>
      <c r="AC173" s="13" t="s">
        <v>393</v>
      </c>
      <c r="AD173" s="15" t="s">
        <v>388</v>
      </c>
    </row>
    <row r="174" spans="1:30" ht="15.75" customHeight="1">
      <c r="A174" s="16" t="str">
        <f>T174&amp;"_"&amp;F174&amp;VLOOKUP($C174, Factor!$AM$4:$AY$30, 7, 0)&amp;IF(COUNTIFS($C$4:C173, C174, $F$4:F173, F174)+1&gt;=100, COUNTIFS($C$4:C173, C174, $F$4:F173, F174)+1,IF(COUNTIFS($C$4:C173, C174, $F$4:F173, F174)+1&gt;=10, "0"&amp;COUNTIFS($C$4:C173, C174, $F$4:F173, F174)+1, "00"&amp;COUNTIFS($C$4:C173, C174, $F$4:F173, F174)+1))</f>
        <v>enpc_F03_B_Ghoul_002</v>
      </c>
      <c r="B174" s="16"/>
      <c r="C174" s="16" t="s">
        <v>361</v>
      </c>
      <c r="D174" s="17" t="str">
        <f t="shared" si="10"/>
        <v>구울</v>
      </c>
      <c r="E174" s="17" t="str">
        <f>VLOOKUP($C174, Factor!$AM$4:$AY$30, 8, 0)</f>
        <v>M</v>
      </c>
      <c r="F174" s="17" t="s">
        <v>111</v>
      </c>
      <c r="G174" s="20">
        <v>41</v>
      </c>
      <c r="H174" s="16" t="s">
        <v>55</v>
      </c>
      <c r="I174" s="17" t="str">
        <f>VLOOKUP($C174, Factor!$AM$4:$AY$30, 11, 0)</f>
        <v>B</v>
      </c>
      <c r="J174" s="17" t="str">
        <f>VLOOKUP($C174, Factor!$AM$4:$AY$30, 12, 0)</f>
        <v>ml</v>
      </c>
      <c r="K174" s="17" t="str">
        <f>VLOOKUP($C174, Factor!$AM$4:$AY$30, 13, 0)</f>
        <v>L</v>
      </c>
      <c r="L174" s="17">
        <v>1</v>
      </c>
      <c r="M174" s="17">
        <v>1</v>
      </c>
      <c r="N174" s="17">
        <v>1</v>
      </c>
      <c r="O174" s="17">
        <v>1</v>
      </c>
      <c r="P174" s="17">
        <v>1</v>
      </c>
      <c r="Q174" s="17">
        <v>1</v>
      </c>
      <c r="R174" s="17" t="str">
        <f>VLOOKUP($C174, Factor!$AM$4:$AY$30, 9, 0)</f>
        <v>Midium</v>
      </c>
      <c r="S174" s="17" t="s">
        <v>401</v>
      </c>
      <c r="T174" s="17" t="str">
        <f>VLOOKUP($C174, Factor!$AM$4:$AY$30, 10, 0)</f>
        <v>enpc</v>
      </c>
      <c r="U174" s="17" cm="1">
        <f t="array" ref="U174">L174*VLOOKUP($I174, Factor!$B$4:$G$8, 2, 0)*VLOOKUP($J174, Factor!$B$12:$G$13, 2, 0)*VLOOKUP($K174, Factor!$B$17:$G$18, 2, 0)*VLOOKUP($H174, Factor!$J$4:$O$7, 2, 0)*VLOOKUP($F174, Factor!$Q$4:$V$15, 2, 0)*IF(MOD($G174,10)=0, 10, MOD($G174, 10))*((INDEX(Factor!$X$4:$AC$13, _xlfn.XMATCH($G174, Factor!$X$4:$X$13, 1),2)*IF(MOD(G174, 10) = 0, 10, MOD(G174, 10)))+INDEX(Factor!$AE$4:$AJ$13, _xlfn.XMATCH(MonsterData!$G174, Factor!$AE$4:$AE$13, 1),2))</f>
        <v>11025</v>
      </c>
      <c r="V174" s="17" cm="1">
        <f t="array" ref="V174">M174*VLOOKUP($I174, Factor!$B$4:$G$8, 3, 0)*VLOOKUP($J174, Factor!$B$12:$G$13, 3, 0)*VLOOKUP($K174, Factor!$B$17:$G$18, 3, 0)*VLOOKUP($H174, Factor!$J$4:$O$7, 3, 0)*VLOOKUP($F174, Factor!$Q$4:$V$15, 3, 0)*IF(MOD($G174,10)=0, 10, MOD($G174, 10))*((INDEX(Factor!$X$4:$AC$13, _xlfn.XMATCH($G174, Factor!$X$4:$X$13, 1),3)*IF(MOD(G174, 10) = 0, 10, MOD(G174, 10)))+INDEX(Factor!$AE$4:$AJ$13, _xlfn.XMATCH(MonsterData!$G174, Factor!$AE$4:$AE$13, 1),3))</f>
        <v>551.25</v>
      </c>
      <c r="W174" s="17" cm="1">
        <f t="array" ref="W174">N174*VLOOKUP($I174, Factor!$B$4:$G$8, 4, 0)*VLOOKUP($J174, Factor!$B$12:$G$13, 4, 0)*VLOOKUP($K174, Factor!$B$17:$G$18, 4, 0)*VLOOKUP($H174, Factor!$J$4:$O$7, 4, 0)*VLOOKUP($F174, Factor!$Q$4:$V$15, 4, 0)*IF(MOD($G174,10)=0, 10, MOD($G174, 10))*((INDEX(Factor!$X$4:$AC$13, _xlfn.XMATCH($G174, Factor!$X$4:$X$13, 1),4)*IF(MOD(G174, 10) = 0, 10, MOD(G174, 10)))+INDEX(Factor!$AE$4:$AJ$13, _xlfn.XMATCH(MonsterData!$G174, Factor!$AE$4:$AE$13, 1),4))</f>
        <v>551.25</v>
      </c>
      <c r="X174" s="17" cm="1">
        <f t="array" ref="X174">O174*VLOOKUP($I174, Factor!$B$4:$G$8, 5, 0)*VLOOKUP($J174, Factor!$B$12:$G$13, 5, 0)*VLOOKUP($K174, Factor!$B$17:$G$18, 5, 0)*VLOOKUP($H174, Factor!$J$4:$O$7, 5, 0)*VLOOKUP($F174, Factor!$Q$4:$V$15, 5, 0)*IF(MOD($G174,10)=0, 10, MOD($G174, 10))*((INDEX(Factor!$X$4:$AC$13, _xlfn.XMATCH($G174, Factor!$X$4:$X$13, 1),5)*IF(MOD(G174, 10) = 0, 10, MOD(G174, 10)))+INDEX(Factor!$AE$4:$AJ$13, _xlfn.XMATCH(MonsterData!$G174, Factor!$AE$4:$AE$13, 1),5))</f>
        <v>29.4</v>
      </c>
      <c r="Y174" s="17" cm="1">
        <f t="array" ref="Y174">P174*VLOOKUP($I174, Factor!$B$4:$G$8, 6, 0)*VLOOKUP($J174, Factor!$B$12:$G$13, 6, 0)*VLOOKUP($K174, Factor!$B$17:$G$18, 6, 0)*VLOOKUP($H174, Factor!$J$4:$O$7, 2, 0)*VLOOKUP($F174, Factor!$Q$4:$V$15, 6, 0)*IF(MOD($G174,10)=0, 10, MOD($G174, 10))*((INDEX(Factor!$X$4:$AC$13, _xlfn.XMATCH($G174, Factor!$X$4:$X$13, 1),6)*IF(MOD(G174, 10) = 0, 10, MOD(G174, 10)))+INDEX(Factor!$AE$4:$AJ$13, _xlfn.XMATCH(MonsterData!$G174, Factor!$AE$4:$AE$13, 1),6))</f>
        <v>58.8</v>
      </c>
      <c r="Z174" s="17">
        <f>$Q174*VLOOKUP($J174, Factor!$B$12:$H$13, 7, 0)</f>
        <v>1</v>
      </c>
      <c r="AA174" s="17">
        <v>1</v>
      </c>
      <c r="AB174" s="17">
        <f t="shared" si="11"/>
        <v>0</v>
      </c>
      <c r="AC174" s="17" t="s">
        <v>394</v>
      </c>
      <c r="AD174" s="19" t="s">
        <v>389</v>
      </c>
    </row>
    <row r="175" spans="1:30" ht="15.75" customHeight="1">
      <c r="A175" s="13" t="str">
        <f>T175&amp;"_"&amp;F175&amp;VLOOKUP($C175, Factor!$AM$4:$AY$30, 7, 0)&amp;IF(COUNTIFS($C$4:C174, C175, $F$4:F174, F175)+1&gt;=100, COUNTIFS($C$4:C174, C175, $F$4:F174, F175)+1,IF(COUNTIFS($C$4:C174, C175, $F$4:F174, F175)+1&gt;=10, "0"&amp;COUNTIFS($C$4:C174, C175, $F$4:F174, F175)+1, "00"&amp;COUNTIFS($C$4:C174, C175, $F$4:F174, F175)+1))</f>
        <v>enpc_F03_B_Gorgon_002</v>
      </c>
      <c r="B175" s="13"/>
      <c r="C175" s="13" t="s">
        <v>363</v>
      </c>
      <c r="D175" s="21" t="str">
        <f t="shared" si="10"/>
        <v>고르곤</v>
      </c>
      <c r="E175" s="21" t="str">
        <f>VLOOKUP($C175, Factor!$AM$4:$AY$30, 8, 0)</f>
        <v>B</v>
      </c>
      <c r="F175" s="21" t="s">
        <v>111</v>
      </c>
      <c r="G175" s="22">
        <v>41</v>
      </c>
      <c r="H175" s="13" t="s">
        <v>56</v>
      </c>
      <c r="I175" s="21" t="str">
        <f>VLOOKUP($C175, Factor!$AM$4:$AY$30, 11, 0)</f>
        <v>B</v>
      </c>
      <c r="J175" s="21" t="str">
        <f>VLOOKUP($C175, Factor!$AM$4:$AY$30, 12, 0)</f>
        <v>ml</v>
      </c>
      <c r="K175" s="21" t="str">
        <f>VLOOKUP($C175, Factor!$AM$4:$AY$30, 13, 0)</f>
        <v>L</v>
      </c>
      <c r="L175" s="13">
        <v>1</v>
      </c>
      <c r="M175" s="13">
        <v>1</v>
      </c>
      <c r="N175" s="13">
        <v>1</v>
      </c>
      <c r="O175" s="13">
        <v>1</v>
      </c>
      <c r="P175" s="13">
        <v>1</v>
      </c>
      <c r="Q175" s="13">
        <v>1</v>
      </c>
      <c r="R175" s="21" t="str">
        <f>VLOOKUP($C175, Factor!$AM$4:$AY$30, 9, 0)</f>
        <v>Midium</v>
      </c>
      <c r="S175" s="13" t="s">
        <v>407</v>
      </c>
      <c r="T175" s="21" t="str">
        <f>VLOOKUP($C175, Factor!$AM$4:$AY$30, 10, 0)</f>
        <v>enpc</v>
      </c>
      <c r="U175" s="21" cm="1">
        <f t="array" ref="U175">L175*VLOOKUP($I175, Factor!$B$4:$G$8, 2, 0)*VLOOKUP($J175, Factor!$B$12:$G$13, 2, 0)*VLOOKUP($K175, Factor!$B$17:$G$18, 2, 0)*VLOOKUP($H175, Factor!$J$4:$O$7, 2, 0)*VLOOKUP($F175, Factor!$Q$4:$V$15, 2, 0)*IF(MOD($G175,10)=0, 10, MOD($G175, 10))*((INDEX(Factor!$X$4:$AC$13, _xlfn.XMATCH($G175, Factor!$X$4:$X$13, 1),2)*IF(MOD(G175, 10) = 0, 10, MOD(G175, 10)))+INDEX(Factor!$AE$4:$AJ$13, _xlfn.XMATCH(MonsterData!$G175, Factor!$AE$4:$AE$13, 1),2))</f>
        <v>11025</v>
      </c>
      <c r="V175" s="21" cm="1">
        <f t="array" ref="V175">M175*VLOOKUP($I175, Factor!$B$4:$G$8, 3, 0)*VLOOKUP($J175, Factor!$B$12:$G$13, 3, 0)*VLOOKUP($K175, Factor!$B$17:$G$18, 3, 0)*VLOOKUP($H175, Factor!$J$4:$O$7, 3, 0)*VLOOKUP($F175, Factor!$Q$4:$V$15, 3, 0)*IF(MOD($G175,10)=0, 10, MOD($G175, 10))*((INDEX(Factor!$X$4:$AC$13, _xlfn.XMATCH($G175, Factor!$X$4:$X$13, 1),3)*IF(MOD(G175, 10) = 0, 10, MOD(G175, 10)))+INDEX(Factor!$AE$4:$AJ$13, _xlfn.XMATCH(MonsterData!$G175, Factor!$AE$4:$AE$13, 1),3))</f>
        <v>551.25</v>
      </c>
      <c r="W175" s="21" cm="1">
        <f t="array" ref="W175">N175*VLOOKUP($I175, Factor!$B$4:$G$8, 4, 0)*VLOOKUP($J175, Factor!$B$12:$G$13, 4, 0)*VLOOKUP($K175, Factor!$B$17:$G$18, 4, 0)*VLOOKUP($H175, Factor!$J$4:$O$7, 4, 0)*VLOOKUP($F175, Factor!$Q$4:$V$15, 4, 0)*IF(MOD($G175,10)=0, 10, MOD($G175, 10))*((INDEX(Factor!$X$4:$AC$13, _xlfn.XMATCH($G175, Factor!$X$4:$X$13, 1),4)*IF(MOD(G175, 10) = 0, 10, MOD(G175, 10)))+INDEX(Factor!$AE$4:$AJ$13, _xlfn.XMATCH(MonsterData!$G175, Factor!$AE$4:$AE$13, 1),4))</f>
        <v>1102.5</v>
      </c>
      <c r="X175" s="21" cm="1">
        <f t="array" ref="X175">O175*VLOOKUP($I175, Factor!$B$4:$G$8, 5, 0)*VLOOKUP($J175, Factor!$B$12:$G$13, 5, 0)*VLOOKUP($K175, Factor!$B$17:$G$18, 5, 0)*VLOOKUP($H175, Factor!$J$4:$O$7, 5, 0)*VLOOKUP($F175, Factor!$Q$4:$V$15, 5, 0)*IF(MOD($G175,10)=0, 10, MOD($G175, 10))*((INDEX(Factor!$X$4:$AC$13, _xlfn.XMATCH($G175, Factor!$X$4:$X$13, 1),5)*IF(MOD(G175, 10) = 0, 10, MOD(G175, 10)))+INDEX(Factor!$AE$4:$AJ$13, _xlfn.XMATCH(MonsterData!$G175, Factor!$AE$4:$AE$13, 1),5))</f>
        <v>26.46</v>
      </c>
      <c r="Y175" s="21" cm="1">
        <f t="array" ref="Y175">P175*VLOOKUP($I175, Factor!$B$4:$G$8, 6, 0)*VLOOKUP($J175, Factor!$B$12:$G$13, 6, 0)*VLOOKUP($K175, Factor!$B$17:$G$18, 6, 0)*VLOOKUP($H175, Factor!$J$4:$O$7, 2, 0)*VLOOKUP($F175, Factor!$Q$4:$V$15, 6, 0)*IF(MOD($G175,10)=0, 10, MOD($G175, 10))*((INDEX(Factor!$X$4:$AC$13, _xlfn.XMATCH($G175, Factor!$X$4:$X$13, 1),6)*IF(MOD(G175, 10) = 0, 10, MOD(G175, 10)))+INDEX(Factor!$AE$4:$AJ$13, _xlfn.XMATCH(MonsterData!$G175, Factor!$AE$4:$AE$13, 1),6))</f>
        <v>58.8</v>
      </c>
      <c r="Z175" s="21">
        <f>$Q175*VLOOKUP($J175, Factor!$B$12:$H$13, 7, 0)</f>
        <v>1</v>
      </c>
      <c r="AA175" s="13">
        <v>1</v>
      </c>
      <c r="AB175" s="21">
        <f t="shared" si="11"/>
        <v>0</v>
      </c>
      <c r="AC175" s="13" t="s">
        <v>395</v>
      </c>
      <c r="AD175" s="15" t="s">
        <v>390</v>
      </c>
    </row>
    <row r="176" spans="1:30" ht="15.75" customHeight="1">
      <c r="A176" s="16" t="str">
        <f>T176&amp;"_"&amp;F176&amp;VLOOKUP($C176, Factor!$AM$4:$AY$30, 7, 0)&amp;IF(COUNTIFS($C$4:C175, C176, $F$4:F175, F176)+1&gt;=100, COUNTIFS($C$4:C175, C176, $F$4:F175, F176)+1,IF(COUNTIFS($C$4:C175, C176, $F$4:F175, F176)+1&gt;=10, "0"&amp;COUNTIFS($C$4:C175, C176, $F$4:F175, F176)+1, "00"&amp;COUNTIFS($C$4:C175, C176, $F$4:F175, F176)+1))</f>
        <v>enpc_F03_B_Gargoyle_002</v>
      </c>
      <c r="B176" s="16"/>
      <c r="C176" s="16" t="s">
        <v>365</v>
      </c>
      <c r="D176" s="17" t="str">
        <f t="shared" si="10"/>
        <v>가고일</v>
      </c>
      <c r="E176" s="17" t="str">
        <f>VLOOKUP($C176, Factor!$AM$4:$AY$30, 8, 0)</f>
        <v>B</v>
      </c>
      <c r="F176" s="17" t="s">
        <v>111</v>
      </c>
      <c r="G176" s="20">
        <v>41</v>
      </c>
      <c r="H176" s="16" t="s">
        <v>55</v>
      </c>
      <c r="I176" s="17" t="str">
        <f>VLOOKUP($C176, Factor!$AM$4:$AY$30, 11, 0)</f>
        <v>B</v>
      </c>
      <c r="J176" s="17" t="str">
        <f>VLOOKUP($C176, Factor!$AM$4:$AY$30, 12, 0)</f>
        <v>ml</v>
      </c>
      <c r="K176" s="17" t="str">
        <f>VLOOKUP($C176, Factor!$AM$4:$AY$30, 13, 0)</f>
        <v>F</v>
      </c>
      <c r="L176" s="17">
        <v>1</v>
      </c>
      <c r="M176" s="17">
        <v>1</v>
      </c>
      <c r="N176" s="17">
        <v>1</v>
      </c>
      <c r="O176" s="17">
        <v>1</v>
      </c>
      <c r="P176" s="17">
        <v>1</v>
      </c>
      <c r="Q176" s="17">
        <v>1</v>
      </c>
      <c r="R176" s="17" t="str">
        <f>VLOOKUP($C176, Factor!$AM$4:$AY$30, 9, 0)</f>
        <v>Big</v>
      </c>
      <c r="S176" s="17" t="s">
        <v>402</v>
      </c>
      <c r="T176" s="17" t="str">
        <f>VLOOKUP($C176, Factor!$AM$4:$AY$30, 10, 0)</f>
        <v>enpc</v>
      </c>
      <c r="U176" s="17" cm="1">
        <f t="array" ref="U176">L176*VLOOKUP($I176, Factor!$B$4:$G$8, 2, 0)*VLOOKUP($J176, Factor!$B$12:$G$13, 2, 0)*VLOOKUP($K176, Factor!$B$17:$G$18, 2, 0)*VLOOKUP($H176, Factor!$J$4:$O$7, 2, 0)*VLOOKUP($F176, Factor!$Q$4:$V$15, 2, 0)*IF(MOD($G176,10)=0, 10, MOD($G176, 10))*((INDEX(Factor!$X$4:$AC$13, _xlfn.XMATCH($G176, Factor!$X$4:$X$13, 1),2)*IF(MOD(G176, 10) = 0, 10, MOD(G176, 10)))+INDEX(Factor!$AE$4:$AJ$13, _xlfn.XMATCH(MonsterData!$G176, Factor!$AE$4:$AE$13, 1),2))</f>
        <v>7350</v>
      </c>
      <c r="V176" s="17" cm="1">
        <f t="array" ref="V176">M176*VLOOKUP($I176, Factor!$B$4:$G$8, 3, 0)*VLOOKUP($J176, Factor!$B$12:$G$13, 3, 0)*VLOOKUP($K176, Factor!$B$17:$G$18, 3, 0)*VLOOKUP($H176, Factor!$J$4:$O$7, 3, 0)*VLOOKUP($F176, Factor!$Q$4:$V$15, 3, 0)*IF(MOD($G176,10)=0, 10, MOD($G176, 10))*((INDEX(Factor!$X$4:$AC$13, _xlfn.XMATCH($G176, Factor!$X$4:$X$13, 1),3)*IF(MOD(G176, 10) = 0, 10, MOD(G176, 10)))+INDEX(Factor!$AE$4:$AJ$13, _xlfn.XMATCH(MonsterData!$G176, Factor!$AE$4:$AE$13, 1),3))</f>
        <v>367.5</v>
      </c>
      <c r="W176" s="17" cm="1">
        <f t="array" ref="W176">N176*VLOOKUP($I176, Factor!$B$4:$G$8, 4, 0)*VLOOKUP($J176, Factor!$B$12:$G$13, 4, 0)*VLOOKUP($K176, Factor!$B$17:$G$18, 4, 0)*VLOOKUP($H176, Factor!$J$4:$O$7, 4, 0)*VLOOKUP($F176, Factor!$Q$4:$V$15, 4, 0)*IF(MOD($G176,10)=0, 10, MOD($G176, 10))*((INDEX(Factor!$X$4:$AC$13, _xlfn.XMATCH($G176, Factor!$X$4:$X$13, 1),4)*IF(MOD(G176, 10) = 0, 10, MOD(G176, 10)))+INDEX(Factor!$AE$4:$AJ$13, _xlfn.XMATCH(MonsterData!$G176, Factor!$AE$4:$AE$13, 1),4))</f>
        <v>367.5</v>
      </c>
      <c r="X176" s="17" cm="1">
        <f t="array" ref="X176">O176*VLOOKUP($I176, Factor!$B$4:$G$8, 5, 0)*VLOOKUP($J176, Factor!$B$12:$G$13, 5, 0)*VLOOKUP($K176, Factor!$B$17:$G$18, 5, 0)*VLOOKUP($H176, Factor!$J$4:$O$7, 5, 0)*VLOOKUP($F176, Factor!$Q$4:$V$15, 5, 0)*IF(MOD($G176,10)=0, 10, MOD($G176, 10))*((INDEX(Factor!$X$4:$AC$13, _xlfn.XMATCH($G176, Factor!$X$4:$X$13, 1),5)*IF(MOD(G176, 10) = 0, 10, MOD(G176, 10)))+INDEX(Factor!$AE$4:$AJ$13, _xlfn.XMATCH(MonsterData!$G176, Factor!$AE$4:$AE$13, 1),5))</f>
        <v>29.4</v>
      </c>
      <c r="Y176" s="17" cm="1">
        <f t="array" ref="Y176">P176*VLOOKUP($I176, Factor!$B$4:$G$8, 6, 0)*VLOOKUP($J176, Factor!$B$12:$G$13, 6, 0)*VLOOKUP($K176, Factor!$B$17:$G$18, 6, 0)*VLOOKUP($H176, Factor!$J$4:$O$7, 2, 0)*VLOOKUP($F176, Factor!$Q$4:$V$15, 6, 0)*IF(MOD($G176,10)=0, 10, MOD($G176, 10))*((INDEX(Factor!$X$4:$AC$13, _xlfn.XMATCH($G176, Factor!$X$4:$X$13, 1),6)*IF(MOD(G176, 10) = 0, 10, MOD(G176, 10)))+INDEX(Factor!$AE$4:$AJ$13, _xlfn.XMATCH(MonsterData!$G176, Factor!$AE$4:$AE$13, 1),6))</f>
        <v>176.39999999999998</v>
      </c>
      <c r="Z176" s="17">
        <f>$Q176*VLOOKUP($J176, Factor!$B$12:$H$13, 7, 0)</f>
        <v>1</v>
      </c>
      <c r="AA176" s="17">
        <v>1</v>
      </c>
      <c r="AB176" s="17">
        <f t="shared" si="11"/>
        <v>0</v>
      </c>
      <c r="AC176" s="17" t="s">
        <v>396</v>
      </c>
      <c r="AD176" s="19" t="s">
        <v>391</v>
      </c>
    </row>
    <row r="177" spans="1:30" ht="15.75" customHeight="1">
      <c r="A177" s="13" t="str">
        <f>T177&amp;"_"&amp;F177&amp;VLOOKUP($C177, Factor!$AM$4:$AY$30, 7, 0)&amp;IF(COUNTIFS($C$4:C176, C177, $F$4:F176, F177)+1&gt;=100, COUNTIFS($C$4:C176, C177, $F$4:F176, F177)+1,IF(COUNTIFS($C$4:C176, C177, $F$4:F176, F177)+1&gt;=10, "0"&amp;COUNTIFS($C$4:C176, C177, $F$4:F176, F177)+1, "00"&amp;COUNTIFS($C$4:C176, C177, $F$4:F176, F177)+1))</f>
        <v>enpc_F03_A_Lava_003</v>
      </c>
      <c r="B177" s="13"/>
      <c r="C177" s="13" t="s">
        <v>35</v>
      </c>
      <c r="D177" s="21" t="str">
        <f t="shared" si="10"/>
        <v>라바</v>
      </c>
      <c r="E177" s="21" t="str">
        <f>VLOOKUP($C177, Factor!$AM$4:$AY$30, 8, 0)</f>
        <v>S</v>
      </c>
      <c r="F177" s="21" t="s">
        <v>111</v>
      </c>
      <c r="G177" s="22">
        <v>27</v>
      </c>
      <c r="H177" s="13" t="s">
        <v>54</v>
      </c>
      <c r="I177" s="21" t="str">
        <f>VLOOKUP($C177, Factor!$AM$4:$AY$30, 11, 0)</f>
        <v>A</v>
      </c>
      <c r="J177" s="21" t="str">
        <f>VLOOKUP($C177, Factor!$AM$4:$AY$30, 12, 0)</f>
        <v>ml</v>
      </c>
      <c r="K177" s="21" t="str">
        <f>VLOOKUP($C177, Factor!$AM$4:$AY$30, 13, 0)</f>
        <v>L</v>
      </c>
      <c r="L177" s="13">
        <v>1</v>
      </c>
      <c r="M177" s="13">
        <v>1</v>
      </c>
      <c r="N177" s="13">
        <v>1</v>
      </c>
      <c r="O177" s="13">
        <v>1</v>
      </c>
      <c r="P177" s="13">
        <v>1</v>
      </c>
      <c r="Q177" s="13">
        <v>1</v>
      </c>
      <c r="R177" s="21" t="str">
        <f>VLOOKUP($C177, Factor!$AM$4:$AY$30, 9, 0)</f>
        <v>Small</v>
      </c>
      <c r="S177" s="13" t="s">
        <v>88</v>
      </c>
      <c r="T177" s="21" t="str">
        <f>VLOOKUP($C177, Factor!$AM$4:$AY$30, 10, 0)</f>
        <v>enpc</v>
      </c>
      <c r="U177" s="21" cm="1">
        <f t="array" ref="U177">L177*VLOOKUP($I177, Factor!$B$4:$G$8, 2, 0)*VLOOKUP($J177, Factor!$B$12:$G$13, 2, 0)*VLOOKUP($K177, Factor!$B$17:$G$18, 2, 0)*VLOOKUP($H177, Factor!$J$4:$O$7, 2, 0)*VLOOKUP($F177, Factor!$Q$4:$V$15, 2, 0)*IF(MOD($G177,10)=0, 10, MOD($G177, 10))*((INDEX(Factor!$X$4:$AC$13, _xlfn.XMATCH($G177, Factor!$X$4:$X$13, 1),2)*IF(MOD(G177, 10) = 0, 10, MOD(G177, 10)))+INDEX(Factor!$AE$4:$AJ$13, _xlfn.XMATCH(MonsterData!$G177, Factor!$AE$4:$AE$13, 1),2))</f>
        <v>5997.5999999999995</v>
      </c>
      <c r="V177" s="21" cm="1">
        <f t="array" ref="V177">M177*VLOOKUP($I177, Factor!$B$4:$G$8, 3, 0)*VLOOKUP($J177, Factor!$B$12:$G$13, 3, 0)*VLOOKUP($K177, Factor!$B$17:$G$18, 3, 0)*VLOOKUP($H177, Factor!$J$4:$O$7, 3, 0)*VLOOKUP($F177, Factor!$Q$4:$V$15, 3, 0)*IF(MOD($G177,10)=0, 10, MOD($G177, 10))*((INDEX(Factor!$X$4:$AC$13, _xlfn.XMATCH($G177, Factor!$X$4:$X$13, 1),3)*IF(MOD(G177, 10) = 0, 10, MOD(G177, 10)))+INDEX(Factor!$AE$4:$AJ$13, _xlfn.XMATCH(MonsterData!$G177, Factor!$AE$4:$AE$13, 1),3))</f>
        <v>299.87999999999994</v>
      </c>
      <c r="W177" s="21" cm="1">
        <f t="array" ref="W177">N177*VLOOKUP($I177, Factor!$B$4:$G$8, 4, 0)*VLOOKUP($J177, Factor!$B$12:$G$13, 4, 0)*VLOOKUP($K177, Factor!$B$17:$G$18, 4, 0)*VLOOKUP($H177, Factor!$J$4:$O$7, 4, 0)*VLOOKUP($F177, Factor!$Q$4:$V$15, 4, 0)*IF(MOD($G177,10)=0, 10, MOD($G177, 10))*((INDEX(Factor!$X$4:$AC$13, _xlfn.XMATCH($G177, Factor!$X$4:$X$13, 1),4)*IF(MOD(G177, 10) = 0, 10, MOD(G177, 10)))+INDEX(Factor!$AE$4:$AJ$13, _xlfn.XMATCH(MonsterData!$G177, Factor!$AE$4:$AE$13, 1),4))</f>
        <v>179.928</v>
      </c>
      <c r="X177" s="21" cm="1">
        <f t="array" ref="X177">O177*VLOOKUP($I177, Factor!$B$4:$G$8, 5, 0)*VLOOKUP($J177, Factor!$B$12:$G$13, 5, 0)*VLOOKUP($K177, Factor!$B$17:$G$18, 5, 0)*VLOOKUP($H177, Factor!$J$4:$O$7, 5, 0)*VLOOKUP($F177, Factor!$Q$4:$V$15, 5, 0)*IF(MOD($G177,10)=0, 10, MOD($G177, 10))*((INDEX(Factor!$X$4:$AC$13, _xlfn.XMATCH($G177, Factor!$X$4:$X$13, 1),5)*IF(MOD(G177, 10) = 0, 10, MOD(G177, 10)))+INDEX(Factor!$AE$4:$AJ$13, _xlfn.XMATCH(MonsterData!$G177, Factor!$AE$4:$AE$13, 1),5))</f>
        <v>49.97999999999999</v>
      </c>
      <c r="Y177" s="21" cm="1">
        <f t="array" ref="Y177">P177*VLOOKUP($I177, Factor!$B$4:$G$8, 6, 0)*VLOOKUP($J177, Factor!$B$12:$G$13, 6, 0)*VLOOKUP($K177, Factor!$B$17:$G$18, 6, 0)*VLOOKUP($H177, Factor!$J$4:$O$7, 2, 0)*VLOOKUP($F177, Factor!$Q$4:$V$15, 6, 0)*IF(MOD($G177,10)=0, 10, MOD($G177, 10))*((INDEX(Factor!$X$4:$AC$13, _xlfn.XMATCH($G177, Factor!$X$4:$X$13, 1),6)*IF(MOD(G177, 10) = 0, 10, MOD(G177, 10)))+INDEX(Factor!$AE$4:$AJ$13, _xlfn.XMATCH(MonsterData!$G177, Factor!$AE$4:$AE$13, 1),6))</f>
        <v>199.91999999999996</v>
      </c>
      <c r="Z177" s="21">
        <f>$Q177*VLOOKUP($J177, Factor!$B$12:$H$13, 7, 0)</f>
        <v>1</v>
      </c>
      <c r="AA177" s="13">
        <v>1</v>
      </c>
      <c r="AB177" s="21">
        <f t="shared" si="11"/>
        <v>0</v>
      </c>
      <c r="AC177" s="13" t="s">
        <v>139</v>
      </c>
      <c r="AD177" s="15" t="s">
        <v>142</v>
      </c>
    </row>
    <row r="178" spans="1:30" ht="15.75" customHeight="1">
      <c r="A178" s="16" t="str">
        <f>T178&amp;"_"&amp;F178&amp;VLOOKUP($C178, Factor!$AM$4:$AY$30, 7, 0)&amp;IF(COUNTIFS($C$4:C177, C178, $F$4:F177, F178)+1&gt;=100, COUNTIFS($C$4:C177, C178, $F$4:F177, F178)+1,IF(COUNTIFS($C$4:C177, C178, $F$4:F177, F178)+1&gt;=10, "0"&amp;COUNTIFS($C$4:C177, C178, $F$4:F177, F178)+1, "00"&amp;COUNTIFS($C$4:C177, C178, $F$4:F177, F178)+1))</f>
        <v>enpc_F03_A_Cocoon_003</v>
      </c>
      <c r="B178" s="16"/>
      <c r="C178" s="16" t="s">
        <v>270</v>
      </c>
      <c r="D178" s="17" t="str">
        <f t="shared" si="10"/>
        <v>코쿤</v>
      </c>
      <c r="E178" s="17" t="str">
        <f>VLOOKUP($C178, Factor!$AM$4:$AY$30, 8, 0)</f>
        <v>M</v>
      </c>
      <c r="F178" s="17" t="s">
        <v>111</v>
      </c>
      <c r="G178" s="20">
        <v>27</v>
      </c>
      <c r="H178" s="16" t="s">
        <v>55</v>
      </c>
      <c r="I178" s="17" t="str">
        <f>VLOOKUP($C178, Factor!$AM$4:$AY$30, 11, 0)</f>
        <v>A</v>
      </c>
      <c r="J178" s="17" t="str">
        <f>VLOOKUP($C178, Factor!$AM$4:$AY$30, 12, 0)</f>
        <v>ml</v>
      </c>
      <c r="K178" s="17" t="str">
        <f>VLOOKUP($C178, Factor!$AM$4:$AY$30, 13, 0)</f>
        <v>L</v>
      </c>
      <c r="L178" s="17">
        <v>1</v>
      </c>
      <c r="M178" s="17">
        <v>1</v>
      </c>
      <c r="N178" s="17">
        <v>1</v>
      </c>
      <c r="O178" s="17">
        <v>1</v>
      </c>
      <c r="P178" s="17">
        <v>1</v>
      </c>
      <c r="Q178" s="17">
        <v>1</v>
      </c>
      <c r="R178" s="17" t="str">
        <f>VLOOKUP($C178, Factor!$AM$4:$AY$30, 9, 0)</f>
        <v>Midium</v>
      </c>
      <c r="S178" s="17" t="s">
        <v>196</v>
      </c>
      <c r="T178" s="17" t="str">
        <f>VLOOKUP($C178, Factor!$AM$4:$AY$30, 10, 0)</f>
        <v>enpc</v>
      </c>
      <c r="U178" s="17" cm="1">
        <f t="array" ref="U178">L178*VLOOKUP($I178, Factor!$B$4:$G$8, 2, 0)*VLOOKUP($J178, Factor!$B$12:$G$13, 2, 0)*VLOOKUP($K178, Factor!$B$17:$G$18, 2, 0)*VLOOKUP($H178, Factor!$J$4:$O$7, 2, 0)*VLOOKUP($F178, Factor!$Q$4:$V$15, 2, 0)*IF(MOD($G178,10)=0, 10, MOD($G178, 10))*((INDEX(Factor!$X$4:$AC$13, _xlfn.XMATCH($G178, Factor!$X$4:$X$13, 1),2)*IF(MOD(G178, 10) = 0, 10, MOD(G178, 10)))+INDEX(Factor!$AE$4:$AJ$13, _xlfn.XMATCH(MonsterData!$G178, Factor!$AE$4:$AE$13, 1),2))</f>
        <v>7496.9999999999991</v>
      </c>
      <c r="V178" s="17" cm="1">
        <f t="array" ref="V178">M178*VLOOKUP($I178, Factor!$B$4:$G$8, 3, 0)*VLOOKUP($J178, Factor!$B$12:$G$13, 3, 0)*VLOOKUP($K178, Factor!$B$17:$G$18, 3, 0)*VLOOKUP($H178, Factor!$J$4:$O$7, 3, 0)*VLOOKUP($F178, Factor!$Q$4:$V$15, 3, 0)*IF(MOD($G178,10)=0, 10, MOD($G178, 10))*((INDEX(Factor!$X$4:$AC$13, _xlfn.XMATCH($G178, Factor!$X$4:$X$13, 1),3)*IF(MOD(G178, 10) = 0, 10, MOD(G178, 10)))+INDEX(Factor!$AE$4:$AJ$13, _xlfn.XMATCH(MonsterData!$G178, Factor!$AE$4:$AE$13, 1),3))</f>
        <v>374.84999999999997</v>
      </c>
      <c r="W178" s="17" cm="1">
        <f t="array" ref="W178">N178*VLOOKUP($I178, Factor!$B$4:$G$8, 4, 0)*VLOOKUP($J178, Factor!$B$12:$G$13, 4, 0)*VLOOKUP($K178, Factor!$B$17:$G$18, 4, 0)*VLOOKUP($H178, Factor!$J$4:$O$7, 4, 0)*VLOOKUP($F178, Factor!$Q$4:$V$15, 4, 0)*IF(MOD($G178,10)=0, 10, MOD($G178, 10))*((INDEX(Factor!$X$4:$AC$13, _xlfn.XMATCH($G178, Factor!$X$4:$X$13, 1),4)*IF(MOD(G178, 10) = 0, 10, MOD(G178, 10)))+INDEX(Factor!$AE$4:$AJ$13, _xlfn.XMATCH(MonsterData!$G178, Factor!$AE$4:$AE$13, 1),4))</f>
        <v>224.91</v>
      </c>
      <c r="X178" s="17" cm="1">
        <f t="array" ref="X178">O178*VLOOKUP($I178, Factor!$B$4:$G$8, 5, 0)*VLOOKUP($J178, Factor!$B$12:$G$13, 5, 0)*VLOOKUP($K178, Factor!$B$17:$G$18, 5, 0)*VLOOKUP($H178, Factor!$J$4:$O$7, 5, 0)*VLOOKUP($F178, Factor!$Q$4:$V$15, 5, 0)*IF(MOD($G178,10)=0, 10, MOD($G178, 10))*((INDEX(Factor!$X$4:$AC$13, _xlfn.XMATCH($G178, Factor!$X$4:$X$13, 1),5)*IF(MOD(G178, 10) = 0, 10, MOD(G178, 10)))+INDEX(Factor!$AE$4:$AJ$13, _xlfn.XMATCH(MonsterData!$G178, Factor!$AE$4:$AE$13, 1),5))</f>
        <v>49.97999999999999</v>
      </c>
      <c r="Y178" s="17" cm="1">
        <f t="array" ref="Y178">P178*VLOOKUP($I178, Factor!$B$4:$G$8, 6, 0)*VLOOKUP($J178, Factor!$B$12:$G$13, 6, 0)*VLOOKUP($K178, Factor!$B$17:$G$18, 6, 0)*VLOOKUP($H178, Factor!$J$4:$O$7, 2, 0)*VLOOKUP($F178, Factor!$Q$4:$V$15, 6, 0)*IF(MOD($G178,10)=0, 10, MOD($G178, 10))*((INDEX(Factor!$X$4:$AC$13, _xlfn.XMATCH($G178, Factor!$X$4:$X$13, 1),6)*IF(MOD(G178, 10) = 0, 10, MOD(G178, 10)))+INDEX(Factor!$AE$4:$AJ$13, _xlfn.XMATCH(MonsterData!$G178, Factor!$AE$4:$AE$13, 1),6))</f>
        <v>249.89999999999998</v>
      </c>
      <c r="Z178" s="17">
        <f>$Q178*VLOOKUP($J178, Factor!$B$12:$H$13, 7, 0)</f>
        <v>1</v>
      </c>
      <c r="AA178" s="17">
        <v>1</v>
      </c>
      <c r="AB178" s="17">
        <f t="shared" si="11"/>
        <v>0</v>
      </c>
      <c r="AC178" s="17" t="s">
        <v>139</v>
      </c>
      <c r="AD178" s="19" t="s">
        <v>142</v>
      </c>
    </row>
    <row r="179" spans="1:30" ht="15.75" customHeight="1">
      <c r="A179" s="13" t="str">
        <f>T179&amp;"_"&amp;F179&amp;VLOOKUP($C179, Factor!$AM$4:$AY$30, 7, 0)&amp;IF(COUNTIFS($C$4:C178, C179, $F$4:F178, F179)+1&gt;=100, COUNTIFS($C$4:C178, C179, $F$4:F178, F179)+1,IF(COUNTIFS($C$4:C178, C179, $F$4:F178, F179)+1&gt;=10, "0"&amp;COUNTIFS($C$4:C178, C179, $F$4:F178, F179)+1, "00"&amp;COUNTIFS($C$4:C178, C179, $F$4:F178, F179)+1))</f>
        <v>enpc_F03_A_Antlion_003</v>
      </c>
      <c r="B179" s="13"/>
      <c r="C179" s="13" t="s">
        <v>38</v>
      </c>
      <c r="D179" s="21" t="str">
        <f t="shared" si="10"/>
        <v>앤틸리온</v>
      </c>
      <c r="E179" s="21" t="str">
        <f>VLOOKUP($C179, Factor!$AM$4:$AY$30, 8, 0)</f>
        <v>M</v>
      </c>
      <c r="F179" s="21" t="s">
        <v>111</v>
      </c>
      <c r="G179" s="22">
        <v>27</v>
      </c>
      <c r="H179" s="13" t="s">
        <v>55</v>
      </c>
      <c r="I179" s="21" t="str">
        <f>VLOOKUP($C179, Factor!$AM$4:$AY$30, 11, 0)</f>
        <v>A</v>
      </c>
      <c r="J179" s="21" t="str">
        <f>VLOOKUP($C179, Factor!$AM$4:$AY$30, 12, 0)</f>
        <v>ra</v>
      </c>
      <c r="K179" s="21" t="str">
        <f>VLOOKUP($C179, Factor!$AM$4:$AY$30, 13, 0)</f>
        <v>L</v>
      </c>
      <c r="L179" s="13">
        <v>1</v>
      </c>
      <c r="M179" s="13">
        <v>1</v>
      </c>
      <c r="N179" s="13">
        <v>1</v>
      </c>
      <c r="O179" s="13">
        <v>1</v>
      </c>
      <c r="P179" s="13">
        <v>1</v>
      </c>
      <c r="Q179" s="13">
        <v>1</v>
      </c>
      <c r="R179" s="21" t="str">
        <f>VLOOKUP($C179, Factor!$AM$4:$AY$30, 9, 0)</f>
        <v>Midium</v>
      </c>
      <c r="S179" s="13" t="s">
        <v>397</v>
      </c>
      <c r="T179" s="21" t="str">
        <f>VLOOKUP($C179, Factor!$AM$4:$AY$30, 10, 0)</f>
        <v>enpc</v>
      </c>
      <c r="U179" s="21" cm="1">
        <f t="array" ref="U179">L179*VLOOKUP($I179, Factor!$B$4:$G$8, 2, 0)*VLOOKUP($J179, Factor!$B$12:$G$13, 2, 0)*VLOOKUP($K179, Factor!$B$17:$G$18, 2, 0)*VLOOKUP($H179, Factor!$J$4:$O$7, 2, 0)*VLOOKUP($F179, Factor!$Q$4:$V$15, 2, 0)*IF(MOD($G179,10)=0, 10, MOD($G179, 10))*((INDEX(Factor!$X$4:$AC$13, _xlfn.XMATCH($G179, Factor!$X$4:$X$13, 1),2)*IF(MOD(G179, 10) = 0, 10, MOD(G179, 10)))+INDEX(Factor!$AE$4:$AJ$13, _xlfn.XMATCH(MonsterData!$G179, Factor!$AE$4:$AE$13, 1),2))</f>
        <v>5997.5999999999995</v>
      </c>
      <c r="V179" s="21" cm="1">
        <f t="array" ref="V179">M179*VLOOKUP($I179, Factor!$B$4:$G$8, 3, 0)*VLOOKUP($J179, Factor!$B$12:$G$13, 3, 0)*VLOOKUP($K179, Factor!$B$17:$G$18, 3, 0)*VLOOKUP($H179, Factor!$J$4:$O$7, 3, 0)*VLOOKUP($F179, Factor!$Q$4:$V$15, 3, 0)*IF(MOD($G179,10)=0, 10, MOD($G179, 10))*((INDEX(Factor!$X$4:$AC$13, _xlfn.XMATCH($G179, Factor!$X$4:$X$13, 1),3)*IF(MOD(G179, 10) = 0, 10, MOD(G179, 10)))+INDEX(Factor!$AE$4:$AJ$13, _xlfn.XMATCH(MonsterData!$G179, Factor!$AE$4:$AE$13, 1),3))</f>
        <v>299.87999999999994</v>
      </c>
      <c r="W179" s="21" cm="1">
        <f t="array" ref="W179">N179*VLOOKUP($I179, Factor!$B$4:$G$8, 4, 0)*VLOOKUP($J179, Factor!$B$12:$G$13, 4, 0)*VLOOKUP($K179, Factor!$B$17:$G$18, 4, 0)*VLOOKUP($H179, Factor!$J$4:$O$7, 4, 0)*VLOOKUP($F179, Factor!$Q$4:$V$15, 4, 0)*IF(MOD($G179,10)=0, 10, MOD($G179, 10))*((INDEX(Factor!$X$4:$AC$13, _xlfn.XMATCH($G179, Factor!$X$4:$X$13, 1),4)*IF(MOD(G179, 10) = 0, 10, MOD(G179, 10)))+INDEX(Factor!$AE$4:$AJ$13, _xlfn.XMATCH(MonsterData!$G179, Factor!$AE$4:$AE$13, 1),4))</f>
        <v>269.89199999999994</v>
      </c>
      <c r="X179" s="21" cm="1">
        <f t="array" ref="X179">O179*VLOOKUP($I179, Factor!$B$4:$G$8, 5, 0)*VLOOKUP($J179, Factor!$B$12:$G$13, 5, 0)*VLOOKUP($K179, Factor!$B$17:$G$18, 5, 0)*VLOOKUP($H179, Factor!$J$4:$O$7, 5, 0)*VLOOKUP($F179, Factor!$Q$4:$V$15, 5, 0)*IF(MOD($G179,10)=0, 10, MOD($G179, 10))*((INDEX(Factor!$X$4:$AC$13, _xlfn.XMATCH($G179, Factor!$X$4:$X$13, 1),5)*IF(MOD(G179, 10) = 0, 10, MOD(G179, 10)))+INDEX(Factor!$AE$4:$AJ$13, _xlfn.XMATCH(MonsterData!$G179, Factor!$AE$4:$AE$13, 1),5))</f>
        <v>74.969999999999985</v>
      </c>
      <c r="Y179" s="21" cm="1">
        <f t="array" ref="Y179">P179*VLOOKUP($I179, Factor!$B$4:$G$8, 6, 0)*VLOOKUP($J179, Factor!$B$12:$G$13, 6, 0)*VLOOKUP($K179, Factor!$B$17:$G$18, 6, 0)*VLOOKUP($H179, Factor!$J$4:$O$7, 2, 0)*VLOOKUP($F179, Factor!$Q$4:$V$15, 6, 0)*IF(MOD($G179,10)=0, 10, MOD($G179, 10))*((INDEX(Factor!$X$4:$AC$13, _xlfn.XMATCH($G179, Factor!$X$4:$X$13, 1),6)*IF(MOD(G179, 10) = 0, 10, MOD(G179, 10)))+INDEX(Factor!$AE$4:$AJ$13, _xlfn.XMATCH(MonsterData!$G179, Factor!$AE$4:$AE$13, 1),6))</f>
        <v>249.89999999999998</v>
      </c>
      <c r="Z179" s="21">
        <f>$Q179*VLOOKUP($J179, Factor!$B$12:$H$13, 7, 0)</f>
        <v>4</v>
      </c>
      <c r="AA179" s="13">
        <v>1</v>
      </c>
      <c r="AB179" s="21">
        <f t="shared" si="11"/>
        <v>4</v>
      </c>
      <c r="AC179" s="13" t="s">
        <v>139</v>
      </c>
      <c r="AD179" s="15" t="s">
        <v>142</v>
      </c>
    </row>
    <row r="180" spans="1:30" ht="15.75" customHeight="1">
      <c r="A180" s="16" t="str">
        <f>T180&amp;"_"&amp;F180&amp;VLOOKUP($C180, Factor!$AM$4:$AY$30, 7, 0)&amp;IF(COUNTIFS($C$4:C179, C180, $F$4:F179, F180)+1&gt;=100, COUNTIFS($C$4:C179, C180, $F$4:F179, F180)+1,IF(COUNTIFS($C$4:C179, C180, $F$4:F179, F180)+1&gt;=10, "0"&amp;COUNTIFS($C$4:C179, C180, $F$4:F179, F180)+1, "00"&amp;COUNTIFS($C$4:C179, C180, $F$4:F179, F180)+1))</f>
        <v>enpc_F03_A_Nymphe_003</v>
      </c>
      <c r="B180" s="16"/>
      <c r="C180" s="16" t="s">
        <v>39</v>
      </c>
      <c r="D180" s="17" t="str">
        <f t="shared" si="10"/>
        <v>님프</v>
      </c>
      <c r="E180" s="17" t="str">
        <f>VLOOKUP($C180, Factor!$AM$4:$AY$30, 8, 0)</f>
        <v>S</v>
      </c>
      <c r="F180" s="17" t="s">
        <v>111</v>
      </c>
      <c r="G180" s="20">
        <v>27</v>
      </c>
      <c r="H180" s="16" t="s">
        <v>55</v>
      </c>
      <c r="I180" s="17" t="str">
        <f>VLOOKUP($C180, Factor!$AM$4:$AY$30, 11, 0)</f>
        <v>A</v>
      </c>
      <c r="J180" s="17" t="str">
        <f>VLOOKUP($C180, Factor!$AM$4:$AY$30, 12, 0)</f>
        <v>ml</v>
      </c>
      <c r="K180" s="17" t="str">
        <f>VLOOKUP($C180, Factor!$AM$4:$AY$30, 13, 0)</f>
        <v>F</v>
      </c>
      <c r="L180" s="17">
        <v>1</v>
      </c>
      <c r="M180" s="17">
        <v>1</v>
      </c>
      <c r="N180" s="17">
        <v>1</v>
      </c>
      <c r="O180" s="17">
        <v>1</v>
      </c>
      <c r="P180" s="17">
        <v>1</v>
      </c>
      <c r="Q180" s="17">
        <v>1</v>
      </c>
      <c r="R180" s="17" t="str">
        <f>VLOOKUP($C180, Factor!$AM$4:$AY$30, 9, 0)</f>
        <v>Small</v>
      </c>
      <c r="S180" s="17" t="s">
        <v>197</v>
      </c>
      <c r="T180" s="17" t="str">
        <f>VLOOKUP($C180, Factor!$AM$4:$AY$30, 10, 0)</f>
        <v>enpc</v>
      </c>
      <c r="U180" s="17" cm="1">
        <f t="array" ref="U180">L180*VLOOKUP($I180, Factor!$B$4:$G$8, 2, 0)*VLOOKUP($J180, Factor!$B$12:$G$13, 2, 0)*VLOOKUP($K180, Factor!$B$17:$G$18, 2, 0)*VLOOKUP($H180, Factor!$J$4:$O$7, 2, 0)*VLOOKUP($F180, Factor!$Q$4:$V$15, 2, 0)*IF(MOD($G180,10)=0, 10, MOD($G180, 10))*((INDEX(Factor!$X$4:$AC$13, _xlfn.XMATCH($G180, Factor!$X$4:$X$13, 1),2)*IF(MOD(G180, 10) = 0, 10, MOD(G180, 10)))+INDEX(Factor!$AE$4:$AJ$13, _xlfn.XMATCH(MonsterData!$G180, Factor!$AE$4:$AE$13, 1),2))</f>
        <v>4998</v>
      </c>
      <c r="V180" s="17" cm="1">
        <f t="array" ref="V180">M180*VLOOKUP($I180, Factor!$B$4:$G$8, 3, 0)*VLOOKUP($J180, Factor!$B$12:$G$13, 3, 0)*VLOOKUP($K180, Factor!$B$17:$G$18, 3, 0)*VLOOKUP($H180, Factor!$J$4:$O$7, 3, 0)*VLOOKUP($F180, Factor!$Q$4:$V$15, 3, 0)*IF(MOD($G180,10)=0, 10, MOD($G180, 10))*((INDEX(Factor!$X$4:$AC$13, _xlfn.XMATCH($G180, Factor!$X$4:$X$13, 1),3)*IF(MOD(G180, 10) = 0, 10, MOD(G180, 10)))+INDEX(Factor!$AE$4:$AJ$13, _xlfn.XMATCH(MonsterData!$G180, Factor!$AE$4:$AE$13, 1),3))</f>
        <v>249.89999999999998</v>
      </c>
      <c r="W180" s="17" cm="1">
        <f t="array" ref="W180">N180*VLOOKUP($I180, Factor!$B$4:$G$8, 4, 0)*VLOOKUP($J180, Factor!$B$12:$G$13, 4, 0)*VLOOKUP($K180, Factor!$B$17:$G$18, 4, 0)*VLOOKUP($H180, Factor!$J$4:$O$7, 4, 0)*VLOOKUP($F180, Factor!$Q$4:$V$15, 4, 0)*IF(MOD($G180,10)=0, 10, MOD($G180, 10))*((INDEX(Factor!$X$4:$AC$13, _xlfn.XMATCH($G180, Factor!$X$4:$X$13, 1),4)*IF(MOD(G180, 10) = 0, 10, MOD(G180, 10)))+INDEX(Factor!$AE$4:$AJ$13, _xlfn.XMATCH(MonsterData!$G180, Factor!$AE$4:$AE$13, 1),4))</f>
        <v>149.93999999999997</v>
      </c>
      <c r="X180" s="17" cm="1">
        <f t="array" ref="X180">O180*VLOOKUP($I180, Factor!$B$4:$G$8, 5, 0)*VLOOKUP($J180, Factor!$B$12:$G$13, 5, 0)*VLOOKUP($K180, Factor!$B$17:$G$18, 5, 0)*VLOOKUP($H180, Factor!$J$4:$O$7, 5, 0)*VLOOKUP($F180, Factor!$Q$4:$V$15, 5, 0)*IF(MOD($G180,10)=0, 10, MOD($G180, 10))*((INDEX(Factor!$X$4:$AC$13, _xlfn.XMATCH($G180, Factor!$X$4:$X$13, 1),5)*IF(MOD(G180, 10) = 0, 10, MOD(G180, 10)))+INDEX(Factor!$AE$4:$AJ$13, _xlfn.XMATCH(MonsterData!$G180, Factor!$AE$4:$AE$13, 1),5))</f>
        <v>49.97999999999999</v>
      </c>
      <c r="Y180" s="17" cm="1">
        <f t="array" ref="Y180">P180*VLOOKUP($I180, Factor!$B$4:$G$8, 6, 0)*VLOOKUP($J180, Factor!$B$12:$G$13, 6, 0)*VLOOKUP($K180, Factor!$B$17:$G$18, 6, 0)*VLOOKUP($H180, Factor!$J$4:$O$7, 2, 0)*VLOOKUP($F180, Factor!$Q$4:$V$15, 6, 0)*IF(MOD($G180,10)=0, 10, MOD($G180, 10))*((INDEX(Factor!$X$4:$AC$13, _xlfn.XMATCH($G180, Factor!$X$4:$X$13, 1),6)*IF(MOD(G180, 10) = 0, 10, MOD(G180, 10)))+INDEX(Factor!$AE$4:$AJ$13, _xlfn.XMATCH(MonsterData!$G180, Factor!$AE$4:$AE$13, 1),6))</f>
        <v>749.69999999999993</v>
      </c>
      <c r="Z180" s="17">
        <f>$Q180*VLOOKUP($J180, Factor!$B$12:$H$13, 7, 0)</f>
        <v>1</v>
      </c>
      <c r="AA180" s="17">
        <v>1</v>
      </c>
      <c r="AB180" s="17">
        <f t="shared" si="11"/>
        <v>0</v>
      </c>
      <c r="AC180" s="17" t="s">
        <v>139</v>
      </c>
      <c r="AD180" s="19" t="s">
        <v>142</v>
      </c>
    </row>
    <row r="181" spans="1:30" ht="15.75" customHeight="1">
      <c r="A181" s="13" t="str">
        <f>T181&amp;"_"&amp;F181&amp;VLOOKUP($C181, Factor!$AM$4:$AY$30, 7, 0)&amp;IF(COUNTIFS($C$4:C180, C181, $F$4:F180, F181)+1&gt;=100, COUNTIFS($C$4:C180, C181, $F$4:F180, F181)+1,IF(COUNTIFS($C$4:C180, C181, $F$4:F180, F181)+1&gt;=10, "0"&amp;COUNTIFS($C$4:C180, C181, $F$4:F180, F181)+1, "00"&amp;COUNTIFS($C$4:C180, C181, $F$4:F180, F181)+1))</f>
        <v>enpc_F03_B_Golem_003</v>
      </c>
      <c r="B181" s="13"/>
      <c r="C181" s="13" t="s">
        <v>40</v>
      </c>
      <c r="D181" s="21" t="str">
        <f t="shared" si="10"/>
        <v>골렘</v>
      </c>
      <c r="E181" s="21" t="str">
        <f>VLOOKUP($C181, Factor!$AM$4:$AY$30, 8, 0)</f>
        <v>B</v>
      </c>
      <c r="F181" s="21" t="s">
        <v>111</v>
      </c>
      <c r="G181" s="22">
        <v>44</v>
      </c>
      <c r="H181" s="13" t="s">
        <v>57</v>
      </c>
      <c r="I181" s="21" t="str">
        <f>VLOOKUP($C181, Factor!$AM$4:$AY$30, 11, 0)</f>
        <v>B</v>
      </c>
      <c r="J181" s="21" t="str">
        <f>VLOOKUP($C181, Factor!$AM$4:$AY$30, 12, 0)</f>
        <v>ml</v>
      </c>
      <c r="K181" s="21" t="str">
        <f>VLOOKUP($C181, Factor!$AM$4:$AY$30, 13, 0)</f>
        <v>L</v>
      </c>
      <c r="L181" s="13">
        <v>1</v>
      </c>
      <c r="M181" s="13">
        <v>1</v>
      </c>
      <c r="N181" s="13">
        <v>1</v>
      </c>
      <c r="O181" s="13">
        <v>1</v>
      </c>
      <c r="P181" s="13">
        <v>1</v>
      </c>
      <c r="Q181" s="13">
        <v>1</v>
      </c>
      <c r="R181" s="21" t="str">
        <f>VLOOKUP($C181, Factor!$AM$4:$AY$30, 9, 0)</f>
        <v>Big</v>
      </c>
      <c r="S181" s="13" t="s">
        <v>398</v>
      </c>
      <c r="T181" s="21" t="str">
        <f>VLOOKUP($C181, Factor!$AM$4:$AY$30, 10, 0)</f>
        <v>enpc</v>
      </c>
      <c r="U181" s="21" cm="1">
        <f t="array" ref="U181">L181*VLOOKUP($I181, Factor!$B$4:$G$8, 2, 0)*VLOOKUP($J181, Factor!$B$12:$G$13, 2, 0)*VLOOKUP($K181, Factor!$B$17:$G$18, 2, 0)*VLOOKUP($H181, Factor!$J$4:$O$7, 2, 0)*VLOOKUP($F181, Factor!$Q$4:$V$15, 2, 0)*IF(MOD($G181,10)=0, 10, MOD($G181, 10))*((INDEX(Factor!$X$4:$AC$13, _xlfn.XMATCH($G181, Factor!$X$4:$X$13, 1),2)*IF(MOD(G181, 10) = 0, 10, MOD(G181, 10)))+INDEX(Factor!$AE$4:$AJ$13, _xlfn.XMATCH(MonsterData!$G181, Factor!$AE$4:$AE$13, 1),2))</f>
        <v>100800</v>
      </c>
      <c r="V181" s="21" cm="1">
        <f t="array" ref="V181">M181*VLOOKUP($I181, Factor!$B$4:$G$8, 3, 0)*VLOOKUP($J181, Factor!$B$12:$G$13, 3, 0)*VLOOKUP($K181, Factor!$B$17:$G$18, 3, 0)*VLOOKUP($H181, Factor!$J$4:$O$7, 3, 0)*VLOOKUP($F181, Factor!$Q$4:$V$15, 3, 0)*IF(MOD($G181,10)=0, 10, MOD($G181, 10))*((INDEX(Factor!$X$4:$AC$13, _xlfn.XMATCH($G181, Factor!$X$4:$X$13, 1),3)*IF(MOD(G181, 10) = 0, 10, MOD(G181, 10)))+INDEX(Factor!$AE$4:$AJ$13, _xlfn.XMATCH(MonsterData!$G181, Factor!$AE$4:$AE$13, 1),3))</f>
        <v>5040</v>
      </c>
      <c r="W181" s="21" cm="1">
        <f t="array" ref="W181">N181*VLOOKUP($I181, Factor!$B$4:$G$8, 4, 0)*VLOOKUP($J181, Factor!$B$12:$G$13, 4, 0)*VLOOKUP($K181, Factor!$B$17:$G$18, 4, 0)*VLOOKUP($H181, Factor!$J$4:$O$7, 4, 0)*VLOOKUP($F181, Factor!$Q$4:$V$15, 4, 0)*IF(MOD($G181,10)=0, 10, MOD($G181, 10))*((INDEX(Factor!$X$4:$AC$13, _xlfn.XMATCH($G181, Factor!$X$4:$X$13, 1),4)*IF(MOD(G181, 10) = 0, 10, MOD(G181, 10)))+INDEX(Factor!$AE$4:$AJ$13, _xlfn.XMATCH(MonsterData!$G181, Factor!$AE$4:$AE$13, 1),4))</f>
        <v>252</v>
      </c>
      <c r="X181" s="21" cm="1">
        <f t="array" ref="X181">O181*VLOOKUP($I181, Factor!$B$4:$G$8, 5, 0)*VLOOKUP($J181, Factor!$B$12:$G$13, 5, 0)*VLOOKUP($K181, Factor!$B$17:$G$18, 5, 0)*VLOOKUP($H181, Factor!$J$4:$O$7, 5, 0)*VLOOKUP($F181, Factor!$Q$4:$V$15, 5, 0)*IF(MOD($G181,10)=0, 10, MOD($G181, 10))*((INDEX(Factor!$X$4:$AC$13, _xlfn.XMATCH($G181, Factor!$X$4:$X$13, 1),5)*IF(MOD(G181, 10) = 0, 10, MOD(G181, 10)))+INDEX(Factor!$AE$4:$AJ$13, _xlfn.XMATCH(MonsterData!$G181, Factor!$AE$4:$AE$13, 1),5))</f>
        <v>268.79999999999995</v>
      </c>
      <c r="Y181" s="21" cm="1">
        <f t="array" ref="Y181">P181*VLOOKUP($I181, Factor!$B$4:$G$8, 6, 0)*VLOOKUP($J181, Factor!$B$12:$G$13, 6, 0)*VLOOKUP($K181, Factor!$B$17:$G$18, 6, 0)*VLOOKUP($H181, Factor!$J$4:$O$7, 2, 0)*VLOOKUP($F181, Factor!$Q$4:$V$15, 6, 0)*IF(MOD($G181,10)=0, 10, MOD($G181, 10))*((INDEX(Factor!$X$4:$AC$13, _xlfn.XMATCH($G181, Factor!$X$4:$X$13, 1),6)*IF(MOD(G181, 10) = 0, 10, MOD(G181, 10)))+INDEX(Factor!$AE$4:$AJ$13, _xlfn.XMATCH(MonsterData!$G181, Factor!$AE$4:$AE$13, 1),6))</f>
        <v>537.59999999999991</v>
      </c>
      <c r="Z181" s="21">
        <f>$Q181*VLOOKUP($J181, Factor!$B$12:$H$13, 7, 0)</f>
        <v>1</v>
      </c>
      <c r="AA181" s="13">
        <v>1</v>
      </c>
      <c r="AB181" s="21">
        <f t="shared" si="11"/>
        <v>0</v>
      </c>
      <c r="AC181" s="13" t="s">
        <v>140</v>
      </c>
      <c r="AD181" s="15" t="s">
        <v>143</v>
      </c>
    </row>
    <row r="182" spans="1:30" ht="15.75" customHeight="1">
      <c r="A182" s="16" t="str">
        <f>T182&amp;"_"&amp;F182&amp;VLOOKUP($C182, Factor!$AM$4:$AY$30, 7, 0)&amp;IF(COUNTIFS($C$4:C181, C182, $F$4:F181, F182)+1&gt;=100, COUNTIFS($C$4:C181, C182, $F$4:F181, F182)+1,IF(COUNTIFS($C$4:C181, C182, $F$4:F181, F182)+1&gt;=10, "0"&amp;COUNTIFS($C$4:C181, C182, $F$4:F181, F182)+1, "00"&amp;COUNTIFS($C$4:C181, C182, $F$4:F181, F182)+1))</f>
        <v>enpc_F03_B_Banshee_003</v>
      </c>
      <c r="B182" s="16"/>
      <c r="C182" s="16" t="s">
        <v>42</v>
      </c>
      <c r="D182" s="17" t="str">
        <f t="shared" si="10"/>
        <v>밴시</v>
      </c>
      <c r="E182" s="17" t="str">
        <f>VLOOKUP($C182, Factor!$AM$4:$AY$30, 8, 0)</f>
        <v>S</v>
      </c>
      <c r="F182" s="17" t="s">
        <v>111</v>
      </c>
      <c r="G182" s="20">
        <v>44</v>
      </c>
      <c r="H182" s="16" t="s">
        <v>56</v>
      </c>
      <c r="I182" s="17" t="str">
        <f>VLOOKUP($C182, Factor!$AM$4:$AY$30, 11, 0)</f>
        <v>B</v>
      </c>
      <c r="J182" s="17" t="str">
        <f>VLOOKUP($C182, Factor!$AM$4:$AY$30, 12, 0)</f>
        <v>ra</v>
      </c>
      <c r="K182" s="17" t="str">
        <f>VLOOKUP($C182, Factor!$AM$4:$AY$30, 13, 0)</f>
        <v>L</v>
      </c>
      <c r="L182" s="17">
        <v>1</v>
      </c>
      <c r="M182" s="17">
        <v>1</v>
      </c>
      <c r="N182" s="17">
        <v>1</v>
      </c>
      <c r="O182" s="17">
        <v>1</v>
      </c>
      <c r="P182" s="17">
        <v>1</v>
      </c>
      <c r="Q182" s="17">
        <v>1</v>
      </c>
      <c r="R182" s="17" t="str">
        <f>VLOOKUP($C182, Factor!$AM$4:$AY$30, 9, 0)</f>
        <v>Midium</v>
      </c>
      <c r="S182" s="17" t="s">
        <v>198</v>
      </c>
      <c r="T182" s="17" t="str">
        <f>VLOOKUP($C182, Factor!$AM$4:$AY$30, 10, 0)</f>
        <v>enpc</v>
      </c>
      <c r="U182" s="17" cm="1">
        <f t="array" ref="U182">L182*VLOOKUP($I182, Factor!$B$4:$G$8, 2, 0)*VLOOKUP($J182, Factor!$B$12:$G$13, 2, 0)*VLOOKUP($K182, Factor!$B$17:$G$18, 2, 0)*VLOOKUP($H182, Factor!$J$4:$O$7, 2, 0)*VLOOKUP($F182, Factor!$Q$4:$V$15, 2, 0)*IF(MOD($G182,10)=0, 10, MOD($G182, 10))*((INDEX(Factor!$X$4:$AC$13, _xlfn.XMATCH($G182, Factor!$X$4:$X$13, 1),2)*IF(MOD(G182, 10) = 0, 10, MOD(G182, 10)))+INDEX(Factor!$AE$4:$AJ$13, _xlfn.XMATCH(MonsterData!$G182, Factor!$AE$4:$AE$13, 1),2))</f>
        <v>40320</v>
      </c>
      <c r="V182" s="17" cm="1">
        <f t="array" ref="V182">M182*VLOOKUP($I182, Factor!$B$4:$G$8, 3, 0)*VLOOKUP($J182, Factor!$B$12:$G$13, 3, 0)*VLOOKUP($K182, Factor!$B$17:$G$18, 3, 0)*VLOOKUP($H182, Factor!$J$4:$O$7, 3, 0)*VLOOKUP($F182, Factor!$Q$4:$V$15, 3, 0)*IF(MOD($G182,10)=0, 10, MOD($G182, 10))*((INDEX(Factor!$X$4:$AC$13, _xlfn.XMATCH($G182, Factor!$X$4:$X$13, 1),3)*IF(MOD(G182, 10) = 0, 10, MOD(G182, 10)))+INDEX(Factor!$AE$4:$AJ$13, _xlfn.XMATCH(MonsterData!$G182, Factor!$AE$4:$AE$13, 1),3))</f>
        <v>2016</v>
      </c>
      <c r="W182" s="17" cm="1">
        <f t="array" ref="W182">N182*VLOOKUP($I182, Factor!$B$4:$G$8, 4, 0)*VLOOKUP($J182, Factor!$B$12:$G$13, 4, 0)*VLOOKUP($K182, Factor!$B$17:$G$18, 4, 0)*VLOOKUP($H182, Factor!$J$4:$O$7, 4, 0)*VLOOKUP($F182, Factor!$Q$4:$V$15, 4, 0)*IF(MOD($G182,10)=0, 10, MOD($G182, 10))*((INDEX(Factor!$X$4:$AC$13, _xlfn.XMATCH($G182, Factor!$X$4:$X$13, 1),4)*IF(MOD(G182, 10) = 0, 10, MOD(G182, 10)))+INDEX(Factor!$AE$4:$AJ$13, _xlfn.XMATCH(MonsterData!$G182, Factor!$AE$4:$AE$13, 1),4))</f>
        <v>6047.9999999999991</v>
      </c>
      <c r="X182" s="17" cm="1">
        <f t="array" ref="X182">O182*VLOOKUP($I182, Factor!$B$4:$G$8, 5, 0)*VLOOKUP($J182, Factor!$B$12:$G$13, 5, 0)*VLOOKUP($K182, Factor!$B$17:$G$18, 5, 0)*VLOOKUP($H182, Factor!$J$4:$O$7, 5, 0)*VLOOKUP($F182, Factor!$Q$4:$V$15, 5, 0)*IF(MOD($G182,10)=0, 10, MOD($G182, 10))*((INDEX(Factor!$X$4:$AC$13, _xlfn.XMATCH($G182, Factor!$X$4:$X$13, 1),5)*IF(MOD(G182, 10) = 0, 10, MOD(G182, 10)))+INDEX(Factor!$AE$4:$AJ$13, _xlfn.XMATCH(MonsterData!$G182, Factor!$AE$4:$AE$13, 1),5))</f>
        <v>181.44</v>
      </c>
      <c r="Y182" s="17" cm="1">
        <f t="array" ref="Y182">P182*VLOOKUP($I182, Factor!$B$4:$G$8, 6, 0)*VLOOKUP($J182, Factor!$B$12:$G$13, 6, 0)*VLOOKUP($K182, Factor!$B$17:$G$18, 6, 0)*VLOOKUP($H182, Factor!$J$4:$O$7, 2, 0)*VLOOKUP($F182, Factor!$Q$4:$V$15, 6, 0)*IF(MOD($G182,10)=0, 10, MOD($G182, 10))*((INDEX(Factor!$X$4:$AC$13, _xlfn.XMATCH($G182, Factor!$X$4:$X$13, 1),6)*IF(MOD(G182, 10) = 0, 10, MOD(G182, 10)))+INDEX(Factor!$AE$4:$AJ$13, _xlfn.XMATCH(MonsterData!$G182, Factor!$AE$4:$AE$13, 1),6))</f>
        <v>268.79999999999995</v>
      </c>
      <c r="Z182" s="17">
        <f>$Q182*VLOOKUP($J182, Factor!$B$12:$H$13, 7, 0)</f>
        <v>4</v>
      </c>
      <c r="AA182" s="17">
        <v>1</v>
      </c>
      <c r="AB182" s="17">
        <f t="shared" si="11"/>
        <v>4</v>
      </c>
      <c r="AC182" s="17" t="s">
        <v>141</v>
      </c>
      <c r="AD182" s="19" t="s">
        <v>144</v>
      </c>
    </row>
    <row r="183" spans="1:30" ht="15.75" customHeight="1">
      <c r="A183" s="13" t="str">
        <f>T183&amp;"_"&amp;F183&amp;VLOOKUP($C183, Factor!$AM$4:$AY$30, 7, 0)&amp;IF(COUNTIFS($C$4:C182, C183, $F$4:F182, F183)+1&gt;=100, COUNTIFS($C$4:C182, C183, $F$4:F182, F183)+1,IF(COUNTIFS($C$4:C182, C183, $F$4:F182, F183)+1&gt;=10, "0"&amp;COUNTIFS($C$4:C182, C183, $F$4:F182, F183)+1, "00"&amp;COUNTIFS($C$4:C182, C183, $F$4:F182, F183)+1))</f>
        <v>enpc_F03_A_Scarab_003</v>
      </c>
      <c r="B183" s="13"/>
      <c r="C183" s="13" t="s">
        <v>353</v>
      </c>
      <c r="D183" s="21" t="str">
        <f t="shared" si="10"/>
        <v>스캐럽</v>
      </c>
      <c r="E183" s="21" t="str">
        <f>VLOOKUP($C183, Factor!$AM$4:$AY$30, 8, 0)</f>
        <v>S</v>
      </c>
      <c r="F183" s="21" t="s">
        <v>111</v>
      </c>
      <c r="G183" s="22">
        <v>27</v>
      </c>
      <c r="H183" s="13" t="s">
        <v>55</v>
      </c>
      <c r="I183" s="21" t="str">
        <f>VLOOKUP($C183, Factor!$AM$4:$AY$30, 11, 0)</f>
        <v>A</v>
      </c>
      <c r="J183" s="21" t="str">
        <f>VLOOKUP($C183, Factor!$AM$4:$AY$30, 12, 0)</f>
        <v>ml</v>
      </c>
      <c r="K183" s="21" t="str">
        <f>VLOOKUP($C183, Factor!$AM$4:$AY$30, 13, 0)</f>
        <v>L</v>
      </c>
      <c r="L183" s="13">
        <v>1</v>
      </c>
      <c r="M183" s="13">
        <v>1</v>
      </c>
      <c r="N183" s="13">
        <v>1</v>
      </c>
      <c r="O183" s="13">
        <v>1</v>
      </c>
      <c r="P183" s="13">
        <v>1</v>
      </c>
      <c r="Q183" s="13">
        <v>1</v>
      </c>
      <c r="R183" s="21" t="str">
        <f>VLOOKUP($C183, Factor!$AM$4:$AY$30, 9, 0)</f>
        <v>Midium</v>
      </c>
      <c r="S183" s="13" t="s">
        <v>399</v>
      </c>
      <c r="T183" s="21" t="str">
        <f>VLOOKUP($C183, Factor!$AM$4:$AY$30, 10, 0)</f>
        <v>enpc</v>
      </c>
      <c r="U183" s="21" cm="1">
        <f t="array" ref="U183">L183*VLOOKUP($I183, Factor!$B$4:$G$8, 2, 0)*VLOOKUP($J183, Factor!$B$12:$G$13, 2, 0)*VLOOKUP($K183, Factor!$B$17:$G$18, 2, 0)*VLOOKUP($H183, Factor!$J$4:$O$7, 2, 0)*VLOOKUP($F183, Factor!$Q$4:$V$15, 2, 0)*IF(MOD($G183,10)=0, 10, MOD($G183, 10))*((INDEX(Factor!$X$4:$AC$13, _xlfn.XMATCH($G183, Factor!$X$4:$X$13, 1),2)*IF(MOD(G183, 10) = 0, 10, MOD(G183, 10)))+INDEX(Factor!$AE$4:$AJ$13, _xlfn.XMATCH(MonsterData!$G183, Factor!$AE$4:$AE$13, 1),2))</f>
        <v>7496.9999999999991</v>
      </c>
      <c r="V183" s="21" cm="1">
        <f t="array" ref="V183">M183*VLOOKUP($I183, Factor!$B$4:$G$8, 3, 0)*VLOOKUP($J183, Factor!$B$12:$G$13, 3, 0)*VLOOKUP($K183, Factor!$B$17:$G$18, 3, 0)*VLOOKUP($H183, Factor!$J$4:$O$7, 3, 0)*VLOOKUP($F183, Factor!$Q$4:$V$15, 3, 0)*IF(MOD($G183,10)=0, 10, MOD($G183, 10))*((INDEX(Factor!$X$4:$AC$13, _xlfn.XMATCH($G183, Factor!$X$4:$X$13, 1),3)*IF(MOD(G183, 10) = 0, 10, MOD(G183, 10)))+INDEX(Factor!$AE$4:$AJ$13, _xlfn.XMATCH(MonsterData!$G183, Factor!$AE$4:$AE$13, 1),3))</f>
        <v>374.84999999999997</v>
      </c>
      <c r="W183" s="21" cm="1">
        <f t="array" ref="W183">N183*VLOOKUP($I183, Factor!$B$4:$G$8, 4, 0)*VLOOKUP($J183, Factor!$B$12:$G$13, 4, 0)*VLOOKUP($K183, Factor!$B$17:$G$18, 4, 0)*VLOOKUP($H183, Factor!$J$4:$O$7, 4, 0)*VLOOKUP($F183, Factor!$Q$4:$V$15, 4, 0)*IF(MOD($G183,10)=0, 10, MOD($G183, 10))*((INDEX(Factor!$X$4:$AC$13, _xlfn.XMATCH($G183, Factor!$X$4:$X$13, 1),4)*IF(MOD(G183, 10) = 0, 10, MOD(G183, 10)))+INDEX(Factor!$AE$4:$AJ$13, _xlfn.XMATCH(MonsterData!$G183, Factor!$AE$4:$AE$13, 1),4))</f>
        <v>224.91</v>
      </c>
      <c r="X183" s="21" cm="1">
        <f t="array" ref="X183">O183*VLOOKUP($I183, Factor!$B$4:$G$8, 5, 0)*VLOOKUP($J183, Factor!$B$12:$G$13, 5, 0)*VLOOKUP($K183, Factor!$B$17:$G$18, 5, 0)*VLOOKUP($H183, Factor!$J$4:$O$7, 5, 0)*VLOOKUP($F183, Factor!$Q$4:$V$15, 5, 0)*IF(MOD($G183,10)=0, 10, MOD($G183, 10))*((INDEX(Factor!$X$4:$AC$13, _xlfn.XMATCH($G183, Factor!$X$4:$X$13, 1),5)*IF(MOD(G183, 10) = 0, 10, MOD(G183, 10)))+INDEX(Factor!$AE$4:$AJ$13, _xlfn.XMATCH(MonsterData!$G183, Factor!$AE$4:$AE$13, 1),5))</f>
        <v>49.97999999999999</v>
      </c>
      <c r="Y183" s="21" cm="1">
        <f t="array" ref="Y183">P183*VLOOKUP($I183, Factor!$B$4:$G$8, 6, 0)*VLOOKUP($J183, Factor!$B$12:$G$13, 6, 0)*VLOOKUP($K183, Factor!$B$17:$G$18, 6, 0)*VLOOKUP($H183, Factor!$J$4:$O$7, 2, 0)*VLOOKUP($F183, Factor!$Q$4:$V$15, 6, 0)*IF(MOD($G183,10)=0, 10, MOD($G183, 10))*((INDEX(Factor!$X$4:$AC$13, _xlfn.XMATCH($G183, Factor!$X$4:$X$13, 1),6)*IF(MOD(G183, 10) = 0, 10, MOD(G183, 10)))+INDEX(Factor!$AE$4:$AJ$13, _xlfn.XMATCH(MonsterData!$G183, Factor!$AE$4:$AE$13, 1),6))</f>
        <v>249.89999999999998</v>
      </c>
      <c r="Z183" s="21">
        <f>$Q183*VLOOKUP($J183, Factor!$B$12:$H$13, 7, 0)</f>
        <v>1</v>
      </c>
      <c r="AA183" s="13">
        <v>1</v>
      </c>
      <c r="AB183" s="21">
        <f t="shared" si="11"/>
        <v>0</v>
      </c>
      <c r="AC183" s="13" t="s">
        <v>139</v>
      </c>
      <c r="AD183" s="15" t="s">
        <v>387</v>
      </c>
    </row>
    <row r="184" spans="1:30" ht="15.75" customHeight="1">
      <c r="A184" s="16" t="str">
        <f>T184&amp;"_"&amp;F184&amp;VLOOKUP($C184, Factor!$AM$4:$AY$30, 7, 0)&amp;IF(COUNTIFS($C$4:C183, C184, $F$4:F183, F184)+1&gt;=100, COUNTIFS($C$4:C183, C184, $F$4:F183, F184)+1,IF(COUNTIFS($C$4:C183, C184, $F$4:F183, F184)+1&gt;=10, "0"&amp;COUNTIFS($C$4:C183, C184, $F$4:F183, F184)+1, "00"&amp;COUNTIFS($C$4:C183, C184, $F$4:F183, F184)+1))</f>
        <v>enpc_F03_A_Swarmlet_003</v>
      </c>
      <c r="B184" s="16"/>
      <c r="C184" s="16" t="s">
        <v>355</v>
      </c>
      <c r="D184" s="17" t="str">
        <f t="shared" si="10"/>
        <v>스웜렛</v>
      </c>
      <c r="E184" s="17" t="str">
        <f>VLOOKUP($C184, Factor!$AM$4:$AY$30, 8, 0)</f>
        <v>B</v>
      </c>
      <c r="F184" s="17" t="s">
        <v>111</v>
      </c>
      <c r="G184" s="20">
        <v>27</v>
      </c>
      <c r="H184" s="16" t="s">
        <v>56</v>
      </c>
      <c r="I184" s="17" t="str">
        <f>VLOOKUP($C184, Factor!$AM$4:$AY$30, 11, 0)</f>
        <v>A</v>
      </c>
      <c r="J184" s="17" t="str">
        <f>VLOOKUP($C184, Factor!$AM$4:$AY$30, 12, 0)</f>
        <v>ml</v>
      </c>
      <c r="K184" s="17" t="str">
        <f>VLOOKUP($C184, Factor!$AM$4:$AY$30, 13, 0)</f>
        <v>L</v>
      </c>
      <c r="L184" s="17">
        <v>1</v>
      </c>
      <c r="M184" s="17">
        <v>1</v>
      </c>
      <c r="N184" s="17">
        <v>1</v>
      </c>
      <c r="O184" s="17">
        <v>1</v>
      </c>
      <c r="P184" s="17">
        <v>1</v>
      </c>
      <c r="Q184" s="17">
        <v>1</v>
      </c>
      <c r="R184" s="17" t="str">
        <f>VLOOKUP($C184, Factor!$AM$4:$AY$30, 9, 0)</f>
        <v>Small</v>
      </c>
      <c r="S184" s="17" t="s">
        <v>376</v>
      </c>
      <c r="T184" s="17" t="str">
        <f>VLOOKUP($C184, Factor!$AM$4:$AY$30, 10, 0)</f>
        <v>enpc</v>
      </c>
      <c r="U184" s="17" cm="1">
        <f t="array" ref="U184">L184*VLOOKUP($I184, Factor!$B$4:$G$8, 2, 0)*VLOOKUP($J184, Factor!$B$12:$G$13, 2, 0)*VLOOKUP($K184, Factor!$B$17:$G$18, 2, 0)*VLOOKUP($H184, Factor!$J$4:$O$7, 2, 0)*VLOOKUP($F184, Factor!$Q$4:$V$15, 2, 0)*IF(MOD($G184,10)=0, 10, MOD($G184, 10))*((INDEX(Factor!$X$4:$AC$13, _xlfn.XMATCH($G184, Factor!$X$4:$X$13, 1),2)*IF(MOD(G184, 10) = 0, 10, MOD(G184, 10)))+INDEX(Factor!$AE$4:$AJ$13, _xlfn.XMATCH(MonsterData!$G184, Factor!$AE$4:$AE$13, 1),2))</f>
        <v>7496.9999999999991</v>
      </c>
      <c r="V184" s="17" cm="1">
        <f t="array" ref="V184">M184*VLOOKUP($I184, Factor!$B$4:$G$8, 3, 0)*VLOOKUP($J184, Factor!$B$12:$G$13, 3, 0)*VLOOKUP($K184, Factor!$B$17:$G$18, 3, 0)*VLOOKUP($H184, Factor!$J$4:$O$7, 3, 0)*VLOOKUP($F184, Factor!$Q$4:$V$15, 3, 0)*IF(MOD($G184,10)=0, 10, MOD($G184, 10))*((INDEX(Factor!$X$4:$AC$13, _xlfn.XMATCH($G184, Factor!$X$4:$X$13, 1),3)*IF(MOD(G184, 10) = 0, 10, MOD(G184, 10)))+INDEX(Factor!$AE$4:$AJ$13, _xlfn.XMATCH(MonsterData!$G184, Factor!$AE$4:$AE$13, 1),3))</f>
        <v>374.84999999999997</v>
      </c>
      <c r="W184" s="17" cm="1">
        <f t="array" ref="W184">N184*VLOOKUP($I184, Factor!$B$4:$G$8, 4, 0)*VLOOKUP($J184, Factor!$B$12:$G$13, 4, 0)*VLOOKUP($K184, Factor!$B$17:$G$18, 4, 0)*VLOOKUP($H184, Factor!$J$4:$O$7, 4, 0)*VLOOKUP($F184, Factor!$Q$4:$V$15, 4, 0)*IF(MOD($G184,10)=0, 10, MOD($G184, 10))*((INDEX(Factor!$X$4:$AC$13, _xlfn.XMATCH($G184, Factor!$X$4:$X$13, 1),4)*IF(MOD(G184, 10) = 0, 10, MOD(G184, 10)))+INDEX(Factor!$AE$4:$AJ$13, _xlfn.XMATCH(MonsterData!$G184, Factor!$AE$4:$AE$13, 1),4))</f>
        <v>449.82</v>
      </c>
      <c r="X184" s="17" cm="1">
        <f t="array" ref="X184">O184*VLOOKUP($I184, Factor!$B$4:$G$8, 5, 0)*VLOOKUP($J184, Factor!$B$12:$G$13, 5, 0)*VLOOKUP($K184, Factor!$B$17:$G$18, 5, 0)*VLOOKUP($H184, Factor!$J$4:$O$7, 5, 0)*VLOOKUP($F184, Factor!$Q$4:$V$15, 5, 0)*IF(MOD($G184,10)=0, 10, MOD($G184, 10))*((INDEX(Factor!$X$4:$AC$13, _xlfn.XMATCH($G184, Factor!$X$4:$X$13, 1),5)*IF(MOD(G184, 10) = 0, 10, MOD(G184, 10)))+INDEX(Factor!$AE$4:$AJ$13, _xlfn.XMATCH(MonsterData!$G184, Factor!$AE$4:$AE$13, 1),5))</f>
        <v>44.981999999999999</v>
      </c>
      <c r="Y184" s="17" cm="1">
        <f t="array" ref="Y184">P184*VLOOKUP($I184, Factor!$B$4:$G$8, 6, 0)*VLOOKUP($J184, Factor!$B$12:$G$13, 6, 0)*VLOOKUP($K184, Factor!$B$17:$G$18, 6, 0)*VLOOKUP($H184, Factor!$J$4:$O$7, 2, 0)*VLOOKUP($F184, Factor!$Q$4:$V$15, 6, 0)*IF(MOD($G184,10)=0, 10, MOD($G184, 10))*((INDEX(Factor!$X$4:$AC$13, _xlfn.XMATCH($G184, Factor!$X$4:$X$13, 1),6)*IF(MOD(G184, 10) = 0, 10, MOD(G184, 10)))+INDEX(Factor!$AE$4:$AJ$13, _xlfn.XMATCH(MonsterData!$G184, Factor!$AE$4:$AE$13, 1),6))</f>
        <v>249.89999999999998</v>
      </c>
      <c r="Z184" s="17">
        <f>$Q184*VLOOKUP($J184, Factor!$B$12:$H$13, 7, 0)</f>
        <v>1</v>
      </c>
      <c r="AA184" s="17">
        <v>1</v>
      </c>
      <c r="AB184" s="17">
        <f t="shared" si="11"/>
        <v>0</v>
      </c>
      <c r="AC184" s="17" t="s">
        <v>139</v>
      </c>
      <c r="AD184" s="19" t="s">
        <v>387</v>
      </c>
    </row>
    <row r="185" spans="1:30" ht="15.75" customHeight="1">
      <c r="A185" s="13" t="str">
        <f>T185&amp;"_"&amp;F185&amp;VLOOKUP($C185, Factor!$AM$4:$AY$30, 7, 0)&amp;IF(COUNTIFS($C$4:C184, C185, $F$4:F184, F185)+1&gt;=100, COUNTIFS($C$4:C184, C185, $F$4:F184, F185)+1,IF(COUNTIFS($C$4:C184, C185, $F$4:F184, F185)+1&gt;=10, "0"&amp;COUNTIFS($C$4:C184, C185, $F$4:F184, F185)+1, "00"&amp;COUNTIFS($C$4:C184, C185, $F$4:F184, F185)+1))</f>
        <v>enpc_F03_A_Mantis_003</v>
      </c>
      <c r="B185" s="13"/>
      <c r="C185" s="13" t="s">
        <v>357</v>
      </c>
      <c r="D185" s="21" t="str">
        <f t="shared" si="10"/>
        <v>맨티스</v>
      </c>
      <c r="E185" s="21" t="str">
        <f>VLOOKUP($C185, Factor!$AM$4:$AY$30, 8, 0)</f>
        <v>S</v>
      </c>
      <c r="F185" s="21" t="s">
        <v>111</v>
      </c>
      <c r="G185" s="22">
        <v>27</v>
      </c>
      <c r="H185" s="13" t="s">
        <v>55</v>
      </c>
      <c r="I185" s="21" t="str">
        <f>VLOOKUP($C185, Factor!$AM$4:$AY$30, 11, 0)</f>
        <v>A</v>
      </c>
      <c r="J185" s="21" t="str">
        <f>VLOOKUP($C185, Factor!$AM$4:$AY$30, 12, 0)</f>
        <v>ml</v>
      </c>
      <c r="K185" s="21" t="str">
        <f>VLOOKUP($C185, Factor!$AM$4:$AY$30, 13, 0)</f>
        <v>L</v>
      </c>
      <c r="L185" s="13">
        <v>1</v>
      </c>
      <c r="M185" s="13">
        <v>1</v>
      </c>
      <c r="N185" s="13">
        <v>1</v>
      </c>
      <c r="O185" s="13">
        <v>1</v>
      </c>
      <c r="P185" s="13">
        <v>1</v>
      </c>
      <c r="Q185" s="13">
        <v>1</v>
      </c>
      <c r="R185" s="21" t="str">
        <f>VLOOKUP($C185, Factor!$AM$4:$AY$30, 9, 0)</f>
        <v>Small</v>
      </c>
      <c r="S185" s="13" t="s">
        <v>400</v>
      </c>
      <c r="T185" s="21" t="str">
        <f>VLOOKUP($C185, Factor!$AM$4:$AY$30, 10, 0)</f>
        <v>enpc</v>
      </c>
      <c r="U185" s="21" cm="1">
        <f t="array" ref="U185">L185*VLOOKUP($I185, Factor!$B$4:$G$8, 2, 0)*VLOOKUP($J185, Factor!$B$12:$G$13, 2, 0)*VLOOKUP($K185, Factor!$B$17:$G$18, 2, 0)*VLOOKUP($H185, Factor!$J$4:$O$7, 2, 0)*VLOOKUP($F185, Factor!$Q$4:$V$15, 2, 0)*IF(MOD($G185,10)=0, 10, MOD($G185, 10))*((INDEX(Factor!$X$4:$AC$13, _xlfn.XMATCH($G185, Factor!$X$4:$X$13, 1),2)*IF(MOD(G185, 10) = 0, 10, MOD(G185, 10)))+INDEX(Factor!$AE$4:$AJ$13, _xlfn.XMATCH(MonsterData!$G185, Factor!$AE$4:$AE$13, 1),2))</f>
        <v>7496.9999999999991</v>
      </c>
      <c r="V185" s="21" cm="1">
        <f t="array" ref="V185">M185*VLOOKUP($I185, Factor!$B$4:$G$8, 3, 0)*VLOOKUP($J185, Factor!$B$12:$G$13, 3, 0)*VLOOKUP($K185, Factor!$B$17:$G$18, 3, 0)*VLOOKUP($H185, Factor!$J$4:$O$7, 3, 0)*VLOOKUP($F185, Factor!$Q$4:$V$15, 3, 0)*IF(MOD($G185,10)=0, 10, MOD($G185, 10))*((INDEX(Factor!$X$4:$AC$13, _xlfn.XMATCH($G185, Factor!$X$4:$X$13, 1),3)*IF(MOD(G185, 10) = 0, 10, MOD(G185, 10)))+INDEX(Factor!$AE$4:$AJ$13, _xlfn.XMATCH(MonsterData!$G185, Factor!$AE$4:$AE$13, 1),3))</f>
        <v>374.84999999999997</v>
      </c>
      <c r="W185" s="21" cm="1">
        <f t="array" ref="W185">N185*VLOOKUP($I185, Factor!$B$4:$G$8, 4, 0)*VLOOKUP($J185, Factor!$B$12:$G$13, 4, 0)*VLOOKUP($K185, Factor!$B$17:$G$18, 4, 0)*VLOOKUP($H185, Factor!$J$4:$O$7, 4, 0)*VLOOKUP($F185, Factor!$Q$4:$V$15, 4, 0)*IF(MOD($G185,10)=0, 10, MOD($G185, 10))*((INDEX(Factor!$X$4:$AC$13, _xlfn.XMATCH($G185, Factor!$X$4:$X$13, 1),4)*IF(MOD(G185, 10) = 0, 10, MOD(G185, 10)))+INDEX(Factor!$AE$4:$AJ$13, _xlfn.XMATCH(MonsterData!$G185, Factor!$AE$4:$AE$13, 1),4))</f>
        <v>224.91</v>
      </c>
      <c r="X185" s="21" cm="1">
        <f t="array" ref="X185">O185*VLOOKUP($I185, Factor!$B$4:$G$8, 5, 0)*VLOOKUP($J185, Factor!$B$12:$G$13, 5, 0)*VLOOKUP($K185, Factor!$B$17:$G$18, 5, 0)*VLOOKUP($H185, Factor!$J$4:$O$7, 5, 0)*VLOOKUP($F185, Factor!$Q$4:$V$15, 5, 0)*IF(MOD($G185,10)=0, 10, MOD($G185, 10))*((INDEX(Factor!$X$4:$AC$13, _xlfn.XMATCH($G185, Factor!$X$4:$X$13, 1),5)*IF(MOD(G185, 10) = 0, 10, MOD(G185, 10)))+INDEX(Factor!$AE$4:$AJ$13, _xlfn.XMATCH(MonsterData!$G185, Factor!$AE$4:$AE$13, 1),5))</f>
        <v>49.97999999999999</v>
      </c>
      <c r="Y185" s="21" cm="1">
        <f t="array" ref="Y185">P185*VLOOKUP($I185, Factor!$B$4:$G$8, 6, 0)*VLOOKUP($J185, Factor!$B$12:$G$13, 6, 0)*VLOOKUP($K185, Factor!$B$17:$G$18, 6, 0)*VLOOKUP($H185, Factor!$J$4:$O$7, 2, 0)*VLOOKUP($F185, Factor!$Q$4:$V$15, 6, 0)*IF(MOD($G185,10)=0, 10, MOD($G185, 10))*((INDEX(Factor!$X$4:$AC$13, _xlfn.XMATCH($G185, Factor!$X$4:$X$13, 1),6)*IF(MOD(G185, 10) = 0, 10, MOD(G185, 10)))+INDEX(Factor!$AE$4:$AJ$13, _xlfn.XMATCH(MonsterData!$G185, Factor!$AE$4:$AE$13, 1),6))</f>
        <v>249.89999999999998</v>
      </c>
      <c r="Z185" s="21">
        <f>$Q185*VLOOKUP($J185, Factor!$B$12:$H$13, 7, 0)</f>
        <v>1</v>
      </c>
      <c r="AA185" s="13">
        <v>1</v>
      </c>
      <c r="AB185" s="21">
        <f t="shared" si="11"/>
        <v>0</v>
      </c>
      <c r="AC185" s="13" t="s">
        <v>139</v>
      </c>
      <c r="AD185" s="15" t="s">
        <v>387</v>
      </c>
    </row>
    <row r="186" spans="1:30" ht="15.75" customHeight="1">
      <c r="A186" s="16" t="str">
        <f>T186&amp;"_"&amp;F186&amp;VLOOKUP($C186, Factor!$AM$4:$AY$30, 7, 0)&amp;IF(COUNTIFS($C$4:C185, C186, $F$4:F185, F186)+1&gt;=100, COUNTIFS($C$4:C185, C186, $F$4:F185, F186)+1,IF(COUNTIFS($C$4:C185, C186, $F$4:F185, F186)+1&gt;=10, "0"&amp;COUNTIFS($C$4:C185, C186, $F$4:F185, F186)+1, "00"&amp;COUNTIFS($C$4:C185, C186, $F$4:F185, F186)+1))</f>
        <v>enpc_F03_B_Kobold_003</v>
      </c>
      <c r="B186" s="16"/>
      <c r="C186" s="16" t="s">
        <v>359</v>
      </c>
      <c r="D186" s="17" t="str">
        <f t="shared" si="10"/>
        <v>코볼트</v>
      </c>
      <c r="E186" s="17" t="str">
        <f>VLOOKUP($C186, Factor!$AM$4:$AY$30, 8, 0)</f>
        <v>M</v>
      </c>
      <c r="F186" s="17" t="s">
        <v>111</v>
      </c>
      <c r="G186" s="20">
        <v>44</v>
      </c>
      <c r="H186" s="16" t="s">
        <v>56</v>
      </c>
      <c r="I186" s="17" t="str">
        <f>VLOOKUP($C186, Factor!$AM$4:$AY$30, 11, 0)</f>
        <v>B</v>
      </c>
      <c r="J186" s="17" t="str">
        <f>VLOOKUP($C186, Factor!$AM$4:$AY$30, 12, 0)</f>
        <v>ml</v>
      </c>
      <c r="K186" s="17" t="str">
        <f>VLOOKUP($C186, Factor!$AM$4:$AY$30, 13, 0)</f>
        <v>L</v>
      </c>
      <c r="L186" s="17">
        <v>1</v>
      </c>
      <c r="M186" s="17">
        <v>1</v>
      </c>
      <c r="N186" s="17">
        <v>1</v>
      </c>
      <c r="O186" s="17">
        <v>1</v>
      </c>
      <c r="P186" s="17">
        <v>1</v>
      </c>
      <c r="Q186" s="17">
        <v>1</v>
      </c>
      <c r="R186" s="17" t="str">
        <f>VLOOKUP($C186, Factor!$AM$4:$AY$30, 9, 0)</f>
        <v>Small</v>
      </c>
      <c r="S186" s="17" t="s">
        <v>378</v>
      </c>
      <c r="T186" s="17" t="str">
        <f>VLOOKUP($C186, Factor!$AM$4:$AY$30, 10, 0)</f>
        <v>enpc</v>
      </c>
      <c r="U186" s="17" cm="1">
        <f t="array" ref="U186">L186*VLOOKUP($I186, Factor!$B$4:$G$8, 2, 0)*VLOOKUP($J186, Factor!$B$12:$G$13, 2, 0)*VLOOKUP($K186, Factor!$B$17:$G$18, 2, 0)*VLOOKUP($H186, Factor!$J$4:$O$7, 2, 0)*VLOOKUP($F186, Factor!$Q$4:$V$15, 2, 0)*IF(MOD($G186,10)=0, 10, MOD($G186, 10))*((INDEX(Factor!$X$4:$AC$13, _xlfn.XMATCH($G186, Factor!$X$4:$X$13, 1),2)*IF(MOD(G186, 10) = 0, 10, MOD(G186, 10)))+INDEX(Factor!$AE$4:$AJ$13, _xlfn.XMATCH(MonsterData!$G186, Factor!$AE$4:$AE$13, 1),2))</f>
        <v>50400</v>
      </c>
      <c r="V186" s="17" cm="1">
        <f t="array" ref="V186">M186*VLOOKUP($I186, Factor!$B$4:$G$8, 3, 0)*VLOOKUP($J186, Factor!$B$12:$G$13, 3, 0)*VLOOKUP($K186, Factor!$B$17:$G$18, 3, 0)*VLOOKUP($H186, Factor!$J$4:$O$7, 3, 0)*VLOOKUP($F186, Factor!$Q$4:$V$15, 3, 0)*IF(MOD($G186,10)=0, 10, MOD($G186, 10))*((INDEX(Factor!$X$4:$AC$13, _xlfn.XMATCH($G186, Factor!$X$4:$X$13, 1),3)*IF(MOD(G186, 10) = 0, 10, MOD(G186, 10)))+INDEX(Factor!$AE$4:$AJ$13, _xlfn.XMATCH(MonsterData!$G186, Factor!$AE$4:$AE$13, 1),3))</f>
        <v>2520</v>
      </c>
      <c r="W186" s="17" cm="1">
        <f t="array" ref="W186">N186*VLOOKUP($I186, Factor!$B$4:$G$8, 4, 0)*VLOOKUP($J186, Factor!$B$12:$G$13, 4, 0)*VLOOKUP($K186, Factor!$B$17:$G$18, 4, 0)*VLOOKUP($H186, Factor!$J$4:$O$7, 4, 0)*VLOOKUP($F186, Factor!$Q$4:$V$15, 4, 0)*IF(MOD($G186,10)=0, 10, MOD($G186, 10))*((INDEX(Factor!$X$4:$AC$13, _xlfn.XMATCH($G186, Factor!$X$4:$X$13, 1),4)*IF(MOD(G186, 10) = 0, 10, MOD(G186, 10)))+INDEX(Factor!$AE$4:$AJ$13, _xlfn.XMATCH(MonsterData!$G186, Factor!$AE$4:$AE$13, 1),4))</f>
        <v>5040</v>
      </c>
      <c r="X186" s="17" cm="1">
        <f t="array" ref="X186">O186*VLOOKUP($I186, Factor!$B$4:$G$8, 5, 0)*VLOOKUP($J186, Factor!$B$12:$G$13, 5, 0)*VLOOKUP($K186, Factor!$B$17:$G$18, 5, 0)*VLOOKUP($H186, Factor!$J$4:$O$7, 5, 0)*VLOOKUP($F186, Factor!$Q$4:$V$15, 5, 0)*IF(MOD($G186,10)=0, 10, MOD($G186, 10))*((INDEX(Factor!$X$4:$AC$13, _xlfn.XMATCH($G186, Factor!$X$4:$X$13, 1),5)*IF(MOD(G186, 10) = 0, 10, MOD(G186, 10)))+INDEX(Factor!$AE$4:$AJ$13, _xlfn.XMATCH(MonsterData!$G186, Factor!$AE$4:$AE$13, 1),5))</f>
        <v>120.96000000000001</v>
      </c>
      <c r="Y186" s="17" cm="1">
        <f t="array" ref="Y186">P186*VLOOKUP($I186, Factor!$B$4:$G$8, 6, 0)*VLOOKUP($J186, Factor!$B$12:$G$13, 6, 0)*VLOOKUP($K186, Factor!$B$17:$G$18, 6, 0)*VLOOKUP($H186, Factor!$J$4:$O$7, 2, 0)*VLOOKUP($F186, Factor!$Q$4:$V$15, 6, 0)*IF(MOD($G186,10)=0, 10, MOD($G186, 10))*((INDEX(Factor!$X$4:$AC$13, _xlfn.XMATCH($G186, Factor!$X$4:$X$13, 1),6)*IF(MOD(G186, 10) = 0, 10, MOD(G186, 10)))+INDEX(Factor!$AE$4:$AJ$13, _xlfn.XMATCH(MonsterData!$G186, Factor!$AE$4:$AE$13, 1),6))</f>
        <v>268.79999999999995</v>
      </c>
      <c r="Z186" s="17">
        <f>$Q186*VLOOKUP($J186, Factor!$B$12:$H$13, 7, 0)</f>
        <v>1</v>
      </c>
      <c r="AA186" s="17">
        <v>1</v>
      </c>
      <c r="AB186" s="17">
        <f t="shared" si="11"/>
        <v>0</v>
      </c>
      <c r="AC186" s="17" t="s">
        <v>393</v>
      </c>
      <c r="AD186" s="19" t="s">
        <v>388</v>
      </c>
    </row>
    <row r="187" spans="1:30" ht="15.75" customHeight="1">
      <c r="A187" s="13" t="str">
        <f>T187&amp;"_"&amp;F187&amp;VLOOKUP($C187, Factor!$AM$4:$AY$30, 7, 0)&amp;IF(COUNTIFS($C$4:C186, C187, $F$4:F186, F187)+1&gt;=100, COUNTIFS($C$4:C186, C187, $F$4:F186, F187)+1,IF(COUNTIFS($C$4:C186, C187, $F$4:F186, F187)+1&gt;=10, "0"&amp;COUNTIFS($C$4:C186, C187, $F$4:F186, F187)+1, "00"&amp;COUNTIFS($C$4:C186, C187, $F$4:F186, F187)+1))</f>
        <v>enpc_F03_B_Ghoul_003</v>
      </c>
      <c r="B187" s="13"/>
      <c r="C187" s="13" t="s">
        <v>361</v>
      </c>
      <c r="D187" s="21" t="str">
        <f t="shared" si="10"/>
        <v>구울</v>
      </c>
      <c r="E187" s="21" t="str">
        <f>VLOOKUP($C187, Factor!$AM$4:$AY$30, 8, 0)</f>
        <v>M</v>
      </c>
      <c r="F187" s="21" t="s">
        <v>111</v>
      </c>
      <c r="G187" s="22">
        <v>44</v>
      </c>
      <c r="H187" s="13" t="s">
        <v>55</v>
      </c>
      <c r="I187" s="21" t="str">
        <f>VLOOKUP($C187, Factor!$AM$4:$AY$30, 11, 0)</f>
        <v>B</v>
      </c>
      <c r="J187" s="21" t="str">
        <f>VLOOKUP($C187, Factor!$AM$4:$AY$30, 12, 0)</f>
        <v>ml</v>
      </c>
      <c r="K187" s="21" t="str">
        <f>VLOOKUP($C187, Factor!$AM$4:$AY$30, 13, 0)</f>
        <v>L</v>
      </c>
      <c r="L187" s="13">
        <v>1</v>
      </c>
      <c r="M187" s="13">
        <v>1</v>
      </c>
      <c r="N187" s="13">
        <v>1</v>
      </c>
      <c r="O187" s="13">
        <v>1</v>
      </c>
      <c r="P187" s="13">
        <v>1</v>
      </c>
      <c r="Q187" s="13">
        <v>1</v>
      </c>
      <c r="R187" s="21" t="str">
        <f>VLOOKUP($C187, Factor!$AM$4:$AY$30, 9, 0)</f>
        <v>Midium</v>
      </c>
      <c r="S187" s="13" t="s">
        <v>401</v>
      </c>
      <c r="T187" s="21" t="str">
        <f>VLOOKUP($C187, Factor!$AM$4:$AY$30, 10, 0)</f>
        <v>enpc</v>
      </c>
      <c r="U187" s="21" cm="1">
        <f t="array" ref="U187">L187*VLOOKUP($I187, Factor!$B$4:$G$8, 2, 0)*VLOOKUP($J187, Factor!$B$12:$G$13, 2, 0)*VLOOKUP($K187, Factor!$B$17:$G$18, 2, 0)*VLOOKUP($H187, Factor!$J$4:$O$7, 2, 0)*VLOOKUP($F187, Factor!$Q$4:$V$15, 2, 0)*IF(MOD($G187,10)=0, 10, MOD($G187, 10))*((INDEX(Factor!$X$4:$AC$13, _xlfn.XMATCH($G187, Factor!$X$4:$X$13, 1),2)*IF(MOD(G187, 10) = 0, 10, MOD(G187, 10)))+INDEX(Factor!$AE$4:$AJ$13, _xlfn.XMATCH(MonsterData!$G187, Factor!$AE$4:$AE$13, 1),2))</f>
        <v>50400</v>
      </c>
      <c r="V187" s="21" cm="1">
        <f t="array" ref="V187">M187*VLOOKUP($I187, Factor!$B$4:$G$8, 3, 0)*VLOOKUP($J187, Factor!$B$12:$G$13, 3, 0)*VLOOKUP($K187, Factor!$B$17:$G$18, 3, 0)*VLOOKUP($H187, Factor!$J$4:$O$7, 3, 0)*VLOOKUP($F187, Factor!$Q$4:$V$15, 3, 0)*IF(MOD($G187,10)=0, 10, MOD($G187, 10))*((INDEX(Factor!$X$4:$AC$13, _xlfn.XMATCH($G187, Factor!$X$4:$X$13, 1),3)*IF(MOD(G187, 10) = 0, 10, MOD(G187, 10)))+INDEX(Factor!$AE$4:$AJ$13, _xlfn.XMATCH(MonsterData!$G187, Factor!$AE$4:$AE$13, 1),3))</f>
        <v>2520</v>
      </c>
      <c r="W187" s="21" cm="1">
        <f t="array" ref="W187">N187*VLOOKUP($I187, Factor!$B$4:$G$8, 4, 0)*VLOOKUP($J187, Factor!$B$12:$G$13, 4, 0)*VLOOKUP($K187, Factor!$B$17:$G$18, 4, 0)*VLOOKUP($H187, Factor!$J$4:$O$7, 4, 0)*VLOOKUP($F187, Factor!$Q$4:$V$15, 4, 0)*IF(MOD($G187,10)=0, 10, MOD($G187, 10))*((INDEX(Factor!$X$4:$AC$13, _xlfn.XMATCH($G187, Factor!$X$4:$X$13, 1),4)*IF(MOD(G187, 10) = 0, 10, MOD(G187, 10)))+INDEX(Factor!$AE$4:$AJ$13, _xlfn.XMATCH(MonsterData!$G187, Factor!$AE$4:$AE$13, 1),4))</f>
        <v>2520</v>
      </c>
      <c r="X187" s="21" cm="1">
        <f t="array" ref="X187">O187*VLOOKUP($I187, Factor!$B$4:$G$8, 5, 0)*VLOOKUP($J187, Factor!$B$12:$G$13, 5, 0)*VLOOKUP($K187, Factor!$B$17:$G$18, 5, 0)*VLOOKUP($H187, Factor!$J$4:$O$7, 5, 0)*VLOOKUP($F187, Factor!$Q$4:$V$15, 5, 0)*IF(MOD($G187,10)=0, 10, MOD($G187, 10))*((INDEX(Factor!$X$4:$AC$13, _xlfn.XMATCH($G187, Factor!$X$4:$X$13, 1),5)*IF(MOD(G187, 10) = 0, 10, MOD(G187, 10)))+INDEX(Factor!$AE$4:$AJ$13, _xlfn.XMATCH(MonsterData!$G187, Factor!$AE$4:$AE$13, 1),5))</f>
        <v>134.39999999999998</v>
      </c>
      <c r="Y187" s="21" cm="1">
        <f t="array" ref="Y187">P187*VLOOKUP($I187, Factor!$B$4:$G$8, 6, 0)*VLOOKUP($J187, Factor!$B$12:$G$13, 6, 0)*VLOOKUP($K187, Factor!$B$17:$G$18, 6, 0)*VLOOKUP($H187, Factor!$J$4:$O$7, 2, 0)*VLOOKUP($F187, Factor!$Q$4:$V$15, 6, 0)*IF(MOD($G187,10)=0, 10, MOD($G187, 10))*((INDEX(Factor!$X$4:$AC$13, _xlfn.XMATCH($G187, Factor!$X$4:$X$13, 1),6)*IF(MOD(G187, 10) = 0, 10, MOD(G187, 10)))+INDEX(Factor!$AE$4:$AJ$13, _xlfn.XMATCH(MonsterData!$G187, Factor!$AE$4:$AE$13, 1),6))</f>
        <v>268.79999999999995</v>
      </c>
      <c r="Z187" s="21">
        <f>$Q187*VLOOKUP($J187, Factor!$B$12:$H$13, 7, 0)</f>
        <v>1</v>
      </c>
      <c r="AA187" s="13">
        <v>1</v>
      </c>
      <c r="AB187" s="21">
        <f t="shared" si="11"/>
        <v>0</v>
      </c>
      <c r="AC187" s="13" t="s">
        <v>394</v>
      </c>
      <c r="AD187" s="15" t="s">
        <v>389</v>
      </c>
    </row>
    <row r="188" spans="1:30" ht="15.75" customHeight="1">
      <c r="A188" s="16" t="str">
        <f>T188&amp;"_"&amp;F188&amp;VLOOKUP($C188, Factor!$AM$4:$AY$30, 7, 0)&amp;IF(COUNTIFS($C$4:C187, C188, $F$4:F187, F188)+1&gt;=100, COUNTIFS($C$4:C187, C188, $F$4:F187, F188)+1,IF(COUNTIFS($C$4:C187, C188, $F$4:F187, F188)+1&gt;=10, "0"&amp;COUNTIFS($C$4:C187, C188, $F$4:F187, F188)+1, "00"&amp;COUNTIFS($C$4:C187, C188, $F$4:F187, F188)+1))</f>
        <v>enpc_F03_B_Gorgon_003</v>
      </c>
      <c r="B188" s="16"/>
      <c r="C188" s="16" t="s">
        <v>363</v>
      </c>
      <c r="D188" s="17" t="str">
        <f t="shared" si="10"/>
        <v>고르곤</v>
      </c>
      <c r="E188" s="17" t="str">
        <f>VLOOKUP($C188, Factor!$AM$4:$AY$30, 8, 0)</f>
        <v>B</v>
      </c>
      <c r="F188" s="17" t="s">
        <v>111</v>
      </c>
      <c r="G188" s="20">
        <v>44</v>
      </c>
      <c r="H188" s="16" t="s">
        <v>56</v>
      </c>
      <c r="I188" s="17" t="str">
        <f>VLOOKUP($C188, Factor!$AM$4:$AY$30, 11, 0)</f>
        <v>B</v>
      </c>
      <c r="J188" s="17" t="str">
        <f>VLOOKUP($C188, Factor!$AM$4:$AY$30, 12, 0)</f>
        <v>ml</v>
      </c>
      <c r="K188" s="17" t="str">
        <f>VLOOKUP($C188, Factor!$AM$4:$AY$30, 13, 0)</f>
        <v>L</v>
      </c>
      <c r="L188" s="17">
        <v>1</v>
      </c>
      <c r="M188" s="17">
        <v>1</v>
      </c>
      <c r="N188" s="17">
        <v>1</v>
      </c>
      <c r="O188" s="17">
        <v>1</v>
      </c>
      <c r="P188" s="17">
        <v>1</v>
      </c>
      <c r="Q188" s="17">
        <v>1</v>
      </c>
      <c r="R188" s="17" t="str">
        <f>VLOOKUP($C188, Factor!$AM$4:$AY$30, 9, 0)</f>
        <v>Midium</v>
      </c>
      <c r="S188" s="17" t="s">
        <v>380</v>
      </c>
      <c r="T188" s="17" t="str">
        <f>VLOOKUP($C188, Factor!$AM$4:$AY$30, 10, 0)</f>
        <v>enpc</v>
      </c>
      <c r="U188" s="17" cm="1">
        <f t="array" ref="U188">L188*VLOOKUP($I188, Factor!$B$4:$G$8, 2, 0)*VLOOKUP($J188, Factor!$B$12:$G$13, 2, 0)*VLOOKUP($K188, Factor!$B$17:$G$18, 2, 0)*VLOOKUP($H188, Factor!$J$4:$O$7, 2, 0)*VLOOKUP($F188, Factor!$Q$4:$V$15, 2, 0)*IF(MOD($G188,10)=0, 10, MOD($G188, 10))*((INDEX(Factor!$X$4:$AC$13, _xlfn.XMATCH($G188, Factor!$X$4:$X$13, 1),2)*IF(MOD(G188, 10) = 0, 10, MOD(G188, 10)))+INDEX(Factor!$AE$4:$AJ$13, _xlfn.XMATCH(MonsterData!$G188, Factor!$AE$4:$AE$13, 1),2))</f>
        <v>50400</v>
      </c>
      <c r="V188" s="17" cm="1">
        <f t="array" ref="V188">M188*VLOOKUP($I188, Factor!$B$4:$G$8, 3, 0)*VLOOKUP($J188, Factor!$B$12:$G$13, 3, 0)*VLOOKUP($K188, Factor!$B$17:$G$18, 3, 0)*VLOOKUP($H188, Factor!$J$4:$O$7, 3, 0)*VLOOKUP($F188, Factor!$Q$4:$V$15, 3, 0)*IF(MOD($G188,10)=0, 10, MOD($G188, 10))*((INDEX(Factor!$X$4:$AC$13, _xlfn.XMATCH($G188, Factor!$X$4:$X$13, 1),3)*IF(MOD(G188, 10) = 0, 10, MOD(G188, 10)))+INDEX(Factor!$AE$4:$AJ$13, _xlfn.XMATCH(MonsterData!$G188, Factor!$AE$4:$AE$13, 1),3))</f>
        <v>2520</v>
      </c>
      <c r="W188" s="17" cm="1">
        <f t="array" ref="W188">N188*VLOOKUP($I188, Factor!$B$4:$G$8, 4, 0)*VLOOKUP($J188, Factor!$B$12:$G$13, 4, 0)*VLOOKUP($K188, Factor!$B$17:$G$18, 4, 0)*VLOOKUP($H188, Factor!$J$4:$O$7, 4, 0)*VLOOKUP($F188, Factor!$Q$4:$V$15, 4, 0)*IF(MOD($G188,10)=0, 10, MOD($G188, 10))*((INDEX(Factor!$X$4:$AC$13, _xlfn.XMATCH($G188, Factor!$X$4:$X$13, 1),4)*IF(MOD(G188, 10) = 0, 10, MOD(G188, 10)))+INDEX(Factor!$AE$4:$AJ$13, _xlfn.XMATCH(MonsterData!$G188, Factor!$AE$4:$AE$13, 1),4))</f>
        <v>5040</v>
      </c>
      <c r="X188" s="17" cm="1">
        <f t="array" ref="X188">O188*VLOOKUP($I188, Factor!$B$4:$G$8, 5, 0)*VLOOKUP($J188, Factor!$B$12:$G$13, 5, 0)*VLOOKUP($K188, Factor!$B$17:$G$18, 5, 0)*VLOOKUP($H188, Factor!$J$4:$O$7, 5, 0)*VLOOKUP($F188, Factor!$Q$4:$V$15, 5, 0)*IF(MOD($G188,10)=0, 10, MOD($G188, 10))*((INDEX(Factor!$X$4:$AC$13, _xlfn.XMATCH($G188, Factor!$X$4:$X$13, 1),5)*IF(MOD(G188, 10) = 0, 10, MOD(G188, 10)))+INDEX(Factor!$AE$4:$AJ$13, _xlfn.XMATCH(MonsterData!$G188, Factor!$AE$4:$AE$13, 1),5))</f>
        <v>120.96000000000001</v>
      </c>
      <c r="Y188" s="17" cm="1">
        <f t="array" ref="Y188">P188*VLOOKUP($I188, Factor!$B$4:$G$8, 6, 0)*VLOOKUP($J188, Factor!$B$12:$G$13, 6, 0)*VLOOKUP($K188, Factor!$B$17:$G$18, 6, 0)*VLOOKUP($H188, Factor!$J$4:$O$7, 2, 0)*VLOOKUP($F188, Factor!$Q$4:$V$15, 6, 0)*IF(MOD($G188,10)=0, 10, MOD($G188, 10))*((INDEX(Factor!$X$4:$AC$13, _xlfn.XMATCH($G188, Factor!$X$4:$X$13, 1),6)*IF(MOD(G188, 10) = 0, 10, MOD(G188, 10)))+INDEX(Factor!$AE$4:$AJ$13, _xlfn.XMATCH(MonsterData!$G188, Factor!$AE$4:$AE$13, 1),6))</f>
        <v>268.79999999999995</v>
      </c>
      <c r="Z188" s="17">
        <f>$Q188*VLOOKUP($J188, Factor!$B$12:$H$13, 7, 0)</f>
        <v>1</v>
      </c>
      <c r="AA188" s="17">
        <v>1</v>
      </c>
      <c r="AB188" s="17">
        <f t="shared" si="11"/>
        <v>0</v>
      </c>
      <c r="AC188" s="17" t="s">
        <v>395</v>
      </c>
      <c r="AD188" s="19" t="s">
        <v>390</v>
      </c>
    </row>
    <row r="189" spans="1:30" ht="15.75" customHeight="1">
      <c r="A189" s="13" t="str">
        <f>T189&amp;"_"&amp;F189&amp;VLOOKUP($C189, Factor!$AM$4:$AY$30, 7, 0)&amp;IF(COUNTIFS($C$4:C188, C189, $F$4:F188, F189)+1&gt;=100, COUNTIFS($C$4:C188, C189, $F$4:F188, F189)+1,IF(COUNTIFS($C$4:C188, C189, $F$4:F188, F189)+1&gt;=10, "0"&amp;COUNTIFS($C$4:C188, C189, $F$4:F188, F189)+1, "00"&amp;COUNTIFS($C$4:C188, C189, $F$4:F188, F189)+1))</f>
        <v>enpc_F03_B_Gargoyle_003</v>
      </c>
      <c r="B189" s="13"/>
      <c r="C189" s="13" t="s">
        <v>365</v>
      </c>
      <c r="D189" s="21" t="str">
        <f t="shared" si="10"/>
        <v>가고일</v>
      </c>
      <c r="E189" s="21" t="str">
        <f>VLOOKUP($C189, Factor!$AM$4:$AY$30, 8, 0)</f>
        <v>B</v>
      </c>
      <c r="F189" s="21" t="s">
        <v>111</v>
      </c>
      <c r="G189" s="22">
        <v>44</v>
      </c>
      <c r="H189" s="13" t="s">
        <v>55</v>
      </c>
      <c r="I189" s="21" t="str">
        <f>VLOOKUP($C189, Factor!$AM$4:$AY$30, 11, 0)</f>
        <v>B</v>
      </c>
      <c r="J189" s="21" t="str">
        <f>VLOOKUP($C189, Factor!$AM$4:$AY$30, 12, 0)</f>
        <v>ml</v>
      </c>
      <c r="K189" s="21" t="str">
        <f>VLOOKUP($C189, Factor!$AM$4:$AY$30, 13, 0)</f>
        <v>F</v>
      </c>
      <c r="L189" s="13">
        <v>1</v>
      </c>
      <c r="M189" s="13">
        <v>1</v>
      </c>
      <c r="N189" s="13">
        <v>1</v>
      </c>
      <c r="O189" s="13">
        <v>1</v>
      </c>
      <c r="P189" s="13">
        <v>1</v>
      </c>
      <c r="Q189" s="13">
        <v>1</v>
      </c>
      <c r="R189" s="21" t="str">
        <f>VLOOKUP($C189, Factor!$AM$4:$AY$30, 9, 0)</f>
        <v>Big</v>
      </c>
      <c r="S189" s="13" t="s">
        <v>402</v>
      </c>
      <c r="T189" s="21" t="str">
        <f>VLOOKUP($C189, Factor!$AM$4:$AY$30, 10, 0)</f>
        <v>enpc</v>
      </c>
      <c r="U189" s="21" cm="1">
        <f t="array" ref="U189">L189*VLOOKUP($I189, Factor!$B$4:$G$8, 2, 0)*VLOOKUP($J189, Factor!$B$12:$G$13, 2, 0)*VLOOKUP($K189, Factor!$B$17:$G$18, 2, 0)*VLOOKUP($H189, Factor!$J$4:$O$7, 2, 0)*VLOOKUP($F189, Factor!$Q$4:$V$15, 2, 0)*IF(MOD($G189,10)=0, 10, MOD($G189, 10))*((INDEX(Factor!$X$4:$AC$13, _xlfn.XMATCH($G189, Factor!$X$4:$X$13, 1),2)*IF(MOD(G189, 10) = 0, 10, MOD(G189, 10)))+INDEX(Factor!$AE$4:$AJ$13, _xlfn.XMATCH(MonsterData!$G189, Factor!$AE$4:$AE$13, 1),2))</f>
        <v>33600</v>
      </c>
      <c r="V189" s="21" cm="1">
        <f t="array" ref="V189">M189*VLOOKUP($I189, Factor!$B$4:$G$8, 3, 0)*VLOOKUP($J189, Factor!$B$12:$G$13, 3, 0)*VLOOKUP($K189, Factor!$B$17:$G$18, 3, 0)*VLOOKUP($H189, Factor!$J$4:$O$7, 3, 0)*VLOOKUP($F189, Factor!$Q$4:$V$15, 3, 0)*IF(MOD($G189,10)=0, 10, MOD($G189, 10))*((INDEX(Factor!$X$4:$AC$13, _xlfn.XMATCH($G189, Factor!$X$4:$X$13, 1),3)*IF(MOD(G189, 10) = 0, 10, MOD(G189, 10)))+INDEX(Factor!$AE$4:$AJ$13, _xlfn.XMATCH(MonsterData!$G189, Factor!$AE$4:$AE$13, 1),3))</f>
        <v>1680</v>
      </c>
      <c r="W189" s="21" cm="1">
        <f t="array" ref="W189">N189*VLOOKUP($I189, Factor!$B$4:$G$8, 4, 0)*VLOOKUP($J189, Factor!$B$12:$G$13, 4, 0)*VLOOKUP($K189, Factor!$B$17:$G$18, 4, 0)*VLOOKUP($H189, Factor!$J$4:$O$7, 4, 0)*VLOOKUP($F189, Factor!$Q$4:$V$15, 4, 0)*IF(MOD($G189,10)=0, 10, MOD($G189, 10))*((INDEX(Factor!$X$4:$AC$13, _xlfn.XMATCH($G189, Factor!$X$4:$X$13, 1),4)*IF(MOD(G189, 10) = 0, 10, MOD(G189, 10)))+INDEX(Factor!$AE$4:$AJ$13, _xlfn.XMATCH(MonsterData!$G189, Factor!$AE$4:$AE$13, 1),4))</f>
        <v>1680</v>
      </c>
      <c r="X189" s="21" cm="1">
        <f t="array" ref="X189">O189*VLOOKUP($I189, Factor!$B$4:$G$8, 5, 0)*VLOOKUP($J189, Factor!$B$12:$G$13, 5, 0)*VLOOKUP($K189, Factor!$B$17:$G$18, 5, 0)*VLOOKUP($H189, Factor!$J$4:$O$7, 5, 0)*VLOOKUP($F189, Factor!$Q$4:$V$15, 5, 0)*IF(MOD($G189,10)=0, 10, MOD($G189, 10))*((INDEX(Factor!$X$4:$AC$13, _xlfn.XMATCH($G189, Factor!$X$4:$X$13, 1),5)*IF(MOD(G189, 10) = 0, 10, MOD(G189, 10)))+INDEX(Factor!$AE$4:$AJ$13, _xlfn.XMATCH(MonsterData!$G189, Factor!$AE$4:$AE$13, 1),5))</f>
        <v>134.39999999999998</v>
      </c>
      <c r="Y189" s="21" cm="1">
        <f t="array" ref="Y189">P189*VLOOKUP($I189, Factor!$B$4:$G$8, 6, 0)*VLOOKUP($J189, Factor!$B$12:$G$13, 6, 0)*VLOOKUP($K189, Factor!$B$17:$G$18, 6, 0)*VLOOKUP($H189, Factor!$J$4:$O$7, 2, 0)*VLOOKUP($F189, Factor!$Q$4:$V$15, 6, 0)*IF(MOD($G189,10)=0, 10, MOD($G189, 10))*((INDEX(Factor!$X$4:$AC$13, _xlfn.XMATCH($G189, Factor!$X$4:$X$13, 1),6)*IF(MOD(G189, 10) = 0, 10, MOD(G189, 10)))+INDEX(Factor!$AE$4:$AJ$13, _xlfn.XMATCH(MonsterData!$G189, Factor!$AE$4:$AE$13, 1),6))</f>
        <v>806.39999999999986</v>
      </c>
      <c r="Z189" s="21">
        <f>$Q189*VLOOKUP($J189, Factor!$B$12:$H$13, 7, 0)</f>
        <v>1</v>
      </c>
      <c r="AA189" s="13">
        <v>1</v>
      </c>
      <c r="AB189" s="21">
        <f t="shared" si="11"/>
        <v>0</v>
      </c>
      <c r="AC189" s="13" t="s">
        <v>396</v>
      </c>
      <c r="AD189" s="15" t="s">
        <v>391</v>
      </c>
    </row>
    <row r="190" spans="1:30" ht="15.75" customHeight="1">
      <c r="A190" s="16" t="str">
        <f>T190&amp;"_"&amp;F190&amp;VLOOKUP($C190, Factor!$AM$4:$AY$30, 7, 0)&amp;IF(COUNTIFS($C$4:C189, C190, $F$4:F189, F190)+1&gt;=100, COUNTIFS($C$4:C189, C190, $F$4:F189, F190)+1,IF(COUNTIFS($C$4:C189, C190, $F$4:F189, F190)+1&gt;=10, "0"&amp;COUNTIFS($C$4:C189, C190, $F$4:F189, F190)+1, "00"&amp;COUNTIFS($C$4:C189, C190, $F$4:F189, F190)+1))</f>
        <v>enpc_F03_A_Lava_004</v>
      </c>
      <c r="B190" s="16"/>
      <c r="C190" s="16" t="s">
        <v>35</v>
      </c>
      <c r="D190" s="17" t="str">
        <f t="shared" si="10"/>
        <v>라바</v>
      </c>
      <c r="E190" s="17" t="str">
        <f>VLOOKUP($C190, Factor!$AM$4:$AY$30, 8, 0)</f>
        <v>S</v>
      </c>
      <c r="F190" s="17" t="s">
        <v>111</v>
      </c>
      <c r="G190" s="20">
        <v>29</v>
      </c>
      <c r="H190" s="16" t="s">
        <v>54</v>
      </c>
      <c r="I190" s="17" t="str">
        <f>VLOOKUP($C190, Factor!$AM$4:$AY$30, 11, 0)</f>
        <v>A</v>
      </c>
      <c r="J190" s="17" t="str">
        <f>VLOOKUP($C190, Factor!$AM$4:$AY$30, 12, 0)</f>
        <v>ml</v>
      </c>
      <c r="K190" s="17" t="str">
        <f>VLOOKUP($C190, Factor!$AM$4:$AY$30, 13, 0)</f>
        <v>L</v>
      </c>
      <c r="L190" s="17">
        <v>1</v>
      </c>
      <c r="M190" s="17">
        <v>1</v>
      </c>
      <c r="N190" s="17">
        <v>1</v>
      </c>
      <c r="O190" s="17">
        <v>1</v>
      </c>
      <c r="P190" s="17">
        <v>1</v>
      </c>
      <c r="Q190" s="17">
        <v>1</v>
      </c>
      <c r="R190" s="17" t="str">
        <f>VLOOKUP($C190, Factor!$AM$4:$AY$30, 9, 0)</f>
        <v>Small</v>
      </c>
      <c r="S190" s="17" t="s">
        <v>88</v>
      </c>
      <c r="T190" s="17" t="str">
        <f>VLOOKUP($C190, Factor!$AM$4:$AY$30, 10, 0)</f>
        <v>enpc</v>
      </c>
      <c r="U190" s="17" cm="1">
        <f t="array" ref="U190">L190*VLOOKUP($I190, Factor!$B$4:$G$8, 2, 0)*VLOOKUP($J190, Factor!$B$12:$G$13, 2, 0)*VLOOKUP($K190, Factor!$B$17:$G$18, 2, 0)*VLOOKUP($H190, Factor!$J$4:$O$7, 2, 0)*VLOOKUP($F190, Factor!$Q$4:$V$15, 2, 0)*IF(MOD($G190,10)=0, 10, MOD($G190, 10))*((INDEX(Factor!$X$4:$AC$13, _xlfn.XMATCH($G190, Factor!$X$4:$X$13, 1),2)*IF(MOD(G190, 10) = 0, 10, MOD(G190, 10)))+INDEX(Factor!$AE$4:$AJ$13, _xlfn.XMATCH(MonsterData!$G190, Factor!$AE$4:$AE$13, 1),2))</f>
        <v>8618.4</v>
      </c>
      <c r="V190" s="17" cm="1">
        <f t="array" ref="V190">M190*VLOOKUP($I190, Factor!$B$4:$G$8, 3, 0)*VLOOKUP($J190, Factor!$B$12:$G$13, 3, 0)*VLOOKUP($K190, Factor!$B$17:$G$18, 3, 0)*VLOOKUP($H190, Factor!$J$4:$O$7, 3, 0)*VLOOKUP($F190, Factor!$Q$4:$V$15, 3, 0)*IF(MOD($G190,10)=0, 10, MOD($G190, 10))*((INDEX(Factor!$X$4:$AC$13, _xlfn.XMATCH($G190, Factor!$X$4:$X$13, 1),3)*IF(MOD(G190, 10) = 0, 10, MOD(G190, 10)))+INDEX(Factor!$AE$4:$AJ$13, _xlfn.XMATCH(MonsterData!$G190, Factor!$AE$4:$AE$13, 1),3))</f>
        <v>430.9199999999999</v>
      </c>
      <c r="W190" s="17" cm="1">
        <f t="array" ref="W190">N190*VLOOKUP($I190, Factor!$B$4:$G$8, 4, 0)*VLOOKUP($J190, Factor!$B$12:$G$13, 4, 0)*VLOOKUP($K190, Factor!$B$17:$G$18, 4, 0)*VLOOKUP($H190, Factor!$J$4:$O$7, 4, 0)*VLOOKUP($F190, Factor!$Q$4:$V$15, 4, 0)*IF(MOD($G190,10)=0, 10, MOD($G190, 10))*((INDEX(Factor!$X$4:$AC$13, _xlfn.XMATCH($G190, Factor!$X$4:$X$13, 1),4)*IF(MOD(G190, 10) = 0, 10, MOD(G190, 10)))+INDEX(Factor!$AE$4:$AJ$13, _xlfn.XMATCH(MonsterData!$G190, Factor!$AE$4:$AE$13, 1),4))</f>
        <v>258.55199999999996</v>
      </c>
      <c r="X190" s="17" cm="1">
        <f t="array" ref="X190">O190*VLOOKUP($I190, Factor!$B$4:$G$8, 5, 0)*VLOOKUP($J190, Factor!$B$12:$G$13, 5, 0)*VLOOKUP($K190, Factor!$B$17:$G$18, 5, 0)*VLOOKUP($H190, Factor!$J$4:$O$7, 5, 0)*VLOOKUP($F190, Factor!$Q$4:$V$15, 5, 0)*IF(MOD($G190,10)=0, 10, MOD($G190, 10))*((INDEX(Factor!$X$4:$AC$13, _xlfn.XMATCH($G190, Factor!$X$4:$X$13, 1),5)*IF(MOD(G190, 10) = 0, 10, MOD(G190, 10)))+INDEX(Factor!$AE$4:$AJ$13, _xlfn.XMATCH(MonsterData!$G190, Factor!$AE$4:$AE$13, 1),5))</f>
        <v>71.819999999999993</v>
      </c>
      <c r="Y190" s="17" cm="1">
        <f t="array" ref="Y190">P190*VLOOKUP($I190, Factor!$B$4:$G$8, 6, 0)*VLOOKUP($J190, Factor!$B$12:$G$13, 6, 0)*VLOOKUP($K190, Factor!$B$17:$G$18, 6, 0)*VLOOKUP($H190, Factor!$J$4:$O$7, 2, 0)*VLOOKUP($F190, Factor!$Q$4:$V$15, 6, 0)*IF(MOD($G190,10)=0, 10, MOD($G190, 10))*((INDEX(Factor!$X$4:$AC$13, _xlfn.XMATCH($G190, Factor!$X$4:$X$13, 1),6)*IF(MOD(G190, 10) = 0, 10, MOD(G190, 10)))+INDEX(Factor!$AE$4:$AJ$13, _xlfn.XMATCH(MonsterData!$G190, Factor!$AE$4:$AE$13, 1),6))</f>
        <v>287.27999999999997</v>
      </c>
      <c r="Z190" s="17">
        <f>$Q190*VLOOKUP($J190, Factor!$B$12:$H$13, 7, 0)</f>
        <v>1</v>
      </c>
      <c r="AA190" s="17">
        <v>1</v>
      </c>
      <c r="AB190" s="17">
        <f t="shared" si="11"/>
        <v>0</v>
      </c>
      <c r="AC190" s="17" t="s">
        <v>139</v>
      </c>
      <c r="AD190" s="19" t="s">
        <v>142</v>
      </c>
    </row>
    <row r="191" spans="1:30" ht="15.75" customHeight="1">
      <c r="A191" s="13" t="str">
        <f>T191&amp;"_"&amp;F191&amp;VLOOKUP($C191, Factor!$AM$4:$AY$30, 7, 0)&amp;IF(COUNTIFS($C$4:C190, C191, $F$4:F190, F191)+1&gt;=100, COUNTIFS($C$4:C190, C191, $F$4:F190, F191)+1,IF(COUNTIFS($C$4:C190, C191, $F$4:F190, F191)+1&gt;=10, "0"&amp;COUNTIFS($C$4:C190, C191, $F$4:F190, F191)+1, "00"&amp;COUNTIFS($C$4:C190, C191, $F$4:F190, F191)+1))</f>
        <v>enpc_F03_A_Cocoon_004</v>
      </c>
      <c r="B191" s="13"/>
      <c r="C191" s="13" t="s">
        <v>270</v>
      </c>
      <c r="D191" s="21" t="str">
        <f t="shared" si="10"/>
        <v>코쿤</v>
      </c>
      <c r="E191" s="21" t="str">
        <f>VLOOKUP($C191, Factor!$AM$4:$AY$30, 8, 0)</f>
        <v>M</v>
      </c>
      <c r="F191" s="21" t="s">
        <v>111</v>
      </c>
      <c r="G191" s="22">
        <v>29</v>
      </c>
      <c r="H191" s="13" t="s">
        <v>55</v>
      </c>
      <c r="I191" s="21" t="str">
        <f>VLOOKUP($C191, Factor!$AM$4:$AY$30, 11, 0)</f>
        <v>A</v>
      </c>
      <c r="J191" s="21" t="str">
        <f>VLOOKUP($C191, Factor!$AM$4:$AY$30, 12, 0)</f>
        <v>ml</v>
      </c>
      <c r="K191" s="21" t="str">
        <f>VLOOKUP($C191, Factor!$AM$4:$AY$30, 13, 0)</f>
        <v>L</v>
      </c>
      <c r="L191" s="13">
        <v>1</v>
      </c>
      <c r="M191" s="13">
        <v>1</v>
      </c>
      <c r="N191" s="13">
        <v>1</v>
      </c>
      <c r="O191" s="13">
        <v>1</v>
      </c>
      <c r="P191" s="13">
        <v>1</v>
      </c>
      <c r="Q191" s="13">
        <v>1</v>
      </c>
      <c r="R191" s="21" t="str">
        <f>VLOOKUP($C191, Factor!$AM$4:$AY$30, 9, 0)</f>
        <v>Midium</v>
      </c>
      <c r="S191" s="13" t="s">
        <v>408</v>
      </c>
      <c r="T191" s="21" t="str">
        <f>VLOOKUP($C191, Factor!$AM$4:$AY$30, 10, 0)</f>
        <v>enpc</v>
      </c>
      <c r="U191" s="21" cm="1">
        <f t="array" ref="U191">L191*VLOOKUP($I191, Factor!$B$4:$G$8, 2, 0)*VLOOKUP($J191, Factor!$B$12:$G$13, 2, 0)*VLOOKUP($K191, Factor!$B$17:$G$18, 2, 0)*VLOOKUP($H191, Factor!$J$4:$O$7, 2, 0)*VLOOKUP($F191, Factor!$Q$4:$V$15, 2, 0)*IF(MOD($G191,10)=0, 10, MOD($G191, 10))*((INDEX(Factor!$X$4:$AC$13, _xlfn.XMATCH($G191, Factor!$X$4:$X$13, 1),2)*IF(MOD(G191, 10) = 0, 10, MOD(G191, 10)))+INDEX(Factor!$AE$4:$AJ$13, _xlfn.XMATCH(MonsterData!$G191, Factor!$AE$4:$AE$13, 1),2))</f>
        <v>10772.999999999998</v>
      </c>
      <c r="V191" s="21" cm="1">
        <f t="array" ref="V191">M191*VLOOKUP($I191, Factor!$B$4:$G$8, 3, 0)*VLOOKUP($J191, Factor!$B$12:$G$13, 3, 0)*VLOOKUP($K191, Factor!$B$17:$G$18, 3, 0)*VLOOKUP($H191, Factor!$J$4:$O$7, 3, 0)*VLOOKUP($F191, Factor!$Q$4:$V$15, 3, 0)*IF(MOD($G191,10)=0, 10, MOD($G191, 10))*((INDEX(Factor!$X$4:$AC$13, _xlfn.XMATCH($G191, Factor!$X$4:$X$13, 1),3)*IF(MOD(G191, 10) = 0, 10, MOD(G191, 10)))+INDEX(Factor!$AE$4:$AJ$13, _xlfn.XMATCH(MonsterData!$G191, Factor!$AE$4:$AE$13, 1),3))</f>
        <v>538.65</v>
      </c>
      <c r="W191" s="21" cm="1">
        <f t="array" ref="W191">N191*VLOOKUP($I191, Factor!$B$4:$G$8, 4, 0)*VLOOKUP($J191, Factor!$B$12:$G$13, 4, 0)*VLOOKUP($K191, Factor!$B$17:$G$18, 4, 0)*VLOOKUP($H191, Factor!$J$4:$O$7, 4, 0)*VLOOKUP($F191, Factor!$Q$4:$V$15, 4, 0)*IF(MOD($G191,10)=0, 10, MOD($G191, 10))*((INDEX(Factor!$X$4:$AC$13, _xlfn.XMATCH($G191, Factor!$X$4:$X$13, 1),4)*IF(MOD(G191, 10) = 0, 10, MOD(G191, 10)))+INDEX(Factor!$AE$4:$AJ$13, _xlfn.XMATCH(MonsterData!$G191, Factor!$AE$4:$AE$13, 1),4))</f>
        <v>323.18999999999994</v>
      </c>
      <c r="X191" s="21" cm="1">
        <f t="array" ref="X191">O191*VLOOKUP($I191, Factor!$B$4:$G$8, 5, 0)*VLOOKUP($J191, Factor!$B$12:$G$13, 5, 0)*VLOOKUP($K191, Factor!$B$17:$G$18, 5, 0)*VLOOKUP($H191, Factor!$J$4:$O$7, 5, 0)*VLOOKUP($F191, Factor!$Q$4:$V$15, 5, 0)*IF(MOD($G191,10)=0, 10, MOD($G191, 10))*((INDEX(Factor!$X$4:$AC$13, _xlfn.XMATCH($G191, Factor!$X$4:$X$13, 1),5)*IF(MOD(G191, 10) = 0, 10, MOD(G191, 10)))+INDEX(Factor!$AE$4:$AJ$13, _xlfn.XMATCH(MonsterData!$G191, Factor!$AE$4:$AE$13, 1),5))</f>
        <v>71.819999999999993</v>
      </c>
      <c r="Y191" s="21" cm="1">
        <f t="array" ref="Y191">P191*VLOOKUP($I191, Factor!$B$4:$G$8, 6, 0)*VLOOKUP($J191, Factor!$B$12:$G$13, 6, 0)*VLOOKUP($K191, Factor!$B$17:$G$18, 6, 0)*VLOOKUP($H191, Factor!$J$4:$O$7, 2, 0)*VLOOKUP($F191, Factor!$Q$4:$V$15, 6, 0)*IF(MOD($G191,10)=0, 10, MOD($G191, 10))*((INDEX(Factor!$X$4:$AC$13, _xlfn.XMATCH($G191, Factor!$X$4:$X$13, 1),6)*IF(MOD(G191, 10) = 0, 10, MOD(G191, 10)))+INDEX(Factor!$AE$4:$AJ$13, _xlfn.XMATCH(MonsterData!$G191, Factor!$AE$4:$AE$13, 1),6))</f>
        <v>359.09999999999997</v>
      </c>
      <c r="Z191" s="21">
        <f>$Q191*VLOOKUP($J191, Factor!$B$12:$H$13, 7, 0)</f>
        <v>1</v>
      </c>
      <c r="AA191" s="13">
        <v>1</v>
      </c>
      <c r="AB191" s="21">
        <f t="shared" si="11"/>
        <v>0</v>
      </c>
      <c r="AC191" s="13" t="s">
        <v>139</v>
      </c>
      <c r="AD191" s="15" t="s">
        <v>142</v>
      </c>
    </row>
    <row r="192" spans="1:30" ht="15.75" customHeight="1">
      <c r="A192" s="16" t="str">
        <f>T192&amp;"_"&amp;F192&amp;VLOOKUP($C192, Factor!$AM$4:$AY$30, 7, 0)&amp;IF(COUNTIFS($C$4:C191, C192, $F$4:F191, F192)+1&gt;=100, COUNTIFS($C$4:C191, C192, $F$4:F191, F192)+1,IF(COUNTIFS($C$4:C191, C192, $F$4:F191, F192)+1&gt;=10, "0"&amp;COUNTIFS($C$4:C191, C192, $F$4:F191, F192)+1, "00"&amp;COUNTIFS($C$4:C191, C192, $F$4:F191, F192)+1))</f>
        <v>enpc_F03_A_Antlion_004</v>
      </c>
      <c r="B192" s="16"/>
      <c r="C192" s="16" t="s">
        <v>38</v>
      </c>
      <c r="D192" s="17" t="str">
        <f t="shared" si="10"/>
        <v>앤틸리온</v>
      </c>
      <c r="E192" s="17" t="str">
        <f>VLOOKUP($C192, Factor!$AM$4:$AY$30, 8, 0)</f>
        <v>M</v>
      </c>
      <c r="F192" s="17" t="s">
        <v>111</v>
      </c>
      <c r="G192" s="20">
        <v>29</v>
      </c>
      <c r="H192" s="16" t="s">
        <v>55</v>
      </c>
      <c r="I192" s="17" t="str">
        <f>VLOOKUP($C192, Factor!$AM$4:$AY$30, 11, 0)</f>
        <v>A</v>
      </c>
      <c r="J192" s="17" t="str">
        <f>VLOOKUP($C192, Factor!$AM$4:$AY$30, 12, 0)</f>
        <v>ra</v>
      </c>
      <c r="K192" s="17" t="str">
        <f>VLOOKUP($C192, Factor!$AM$4:$AY$30, 13, 0)</f>
        <v>L</v>
      </c>
      <c r="L192" s="17">
        <v>1</v>
      </c>
      <c r="M192" s="17">
        <v>1</v>
      </c>
      <c r="N192" s="17">
        <v>1</v>
      </c>
      <c r="O192" s="17">
        <v>1</v>
      </c>
      <c r="P192" s="17">
        <v>1</v>
      </c>
      <c r="Q192" s="17">
        <v>1</v>
      </c>
      <c r="R192" s="17" t="str">
        <f>VLOOKUP($C192, Factor!$AM$4:$AY$30, 9, 0)</f>
        <v>Midium</v>
      </c>
      <c r="S192" s="17" t="s">
        <v>397</v>
      </c>
      <c r="T192" s="17" t="str">
        <f>VLOOKUP($C192, Factor!$AM$4:$AY$30, 10, 0)</f>
        <v>enpc</v>
      </c>
      <c r="U192" s="17" cm="1">
        <f t="array" ref="U192">L192*VLOOKUP($I192, Factor!$B$4:$G$8, 2, 0)*VLOOKUP($J192, Factor!$B$12:$G$13, 2, 0)*VLOOKUP($K192, Factor!$B$17:$G$18, 2, 0)*VLOOKUP($H192, Factor!$J$4:$O$7, 2, 0)*VLOOKUP($F192, Factor!$Q$4:$V$15, 2, 0)*IF(MOD($G192,10)=0, 10, MOD($G192, 10))*((INDEX(Factor!$X$4:$AC$13, _xlfn.XMATCH($G192, Factor!$X$4:$X$13, 1),2)*IF(MOD(G192, 10) = 0, 10, MOD(G192, 10)))+INDEX(Factor!$AE$4:$AJ$13, _xlfn.XMATCH(MonsterData!$G192, Factor!$AE$4:$AE$13, 1),2))</f>
        <v>8618.4</v>
      </c>
      <c r="V192" s="17" cm="1">
        <f t="array" ref="V192">M192*VLOOKUP($I192, Factor!$B$4:$G$8, 3, 0)*VLOOKUP($J192, Factor!$B$12:$G$13, 3, 0)*VLOOKUP($K192, Factor!$B$17:$G$18, 3, 0)*VLOOKUP($H192, Factor!$J$4:$O$7, 3, 0)*VLOOKUP($F192, Factor!$Q$4:$V$15, 3, 0)*IF(MOD($G192,10)=0, 10, MOD($G192, 10))*((INDEX(Factor!$X$4:$AC$13, _xlfn.XMATCH($G192, Factor!$X$4:$X$13, 1),3)*IF(MOD(G192, 10) = 0, 10, MOD(G192, 10)))+INDEX(Factor!$AE$4:$AJ$13, _xlfn.XMATCH(MonsterData!$G192, Factor!$AE$4:$AE$13, 1),3))</f>
        <v>430.9199999999999</v>
      </c>
      <c r="W192" s="17" cm="1">
        <f t="array" ref="W192">N192*VLOOKUP($I192, Factor!$B$4:$G$8, 4, 0)*VLOOKUP($J192, Factor!$B$12:$G$13, 4, 0)*VLOOKUP($K192, Factor!$B$17:$G$18, 4, 0)*VLOOKUP($H192, Factor!$J$4:$O$7, 4, 0)*VLOOKUP($F192, Factor!$Q$4:$V$15, 4, 0)*IF(MOD($G192,10)=0, 10, MOD($G192, 10))*((INDEX(Factor!$X$4:$AC$13, _xlfn.XMATCH($G192, Factor!$X$4:$X$13, 1),4)*IF(MOD(G192, 10) = 0, 10, MOD(G192, 10)))+INDEX(Factor!$AE$4:$AJ$13, _xlfn.XMATCH(MonsterData!$G192, Factor!$AE$4:$AE$13, 1),4))</f>
        <v>387.82799999999992</v>
      </c>
      <c r="X192" s="17" cm="1">
        <f t="array" ref="X192">O192*VLOOKUP($I192, Factor!$B$4:$G$8, 5, 0)*VLOOKUP($J192, Factor!$B$12:$G$13, 5, 0)*VLOOKUP($K192, Factor!$B$17:$G$18, 5, 0)*VLOOKUP($H192, Factor!$J$4:$O$7, 5, 0)*VLOOKUP($F192, Factor!$Q$4:$V$15, 5, 0)*IF(MOD($G192,10)=0, 10, MOD($G192, 10))*((INDEX(Factor!$X$4:$AC$13, _xlfn.XMATCH($G192, Factor!$X$4:$X$13, 1),5)*IF(MOD(G192, 10) = 0, 10, MOD(G192, 10)))+INDEX(Factor!$AE$4:$AJ$13, _xlfn.XMATCH(MonsterData!$G192, Factor!$AE$4:$AE$13, 1),5))</f>
        <v>107.72999999999998</v>
      </c>
      <c r="Y192" s="17" cm="1">
        <f t="array" ref="Y192">P192*VLOOKUP($I192, Factor!$B$4:$G$8, 6, 0)*VLOOKUP($J192, Factor!$B$12:$G$13, 6, 0)*VLOOKUP($K192, Factor!$B$17:$G$18, 6, 0)*VLOOKUP($H192, Factor!$J$4:$O$7, 2, 0)*VLOOKUP($F192, Factor!$Q$4:$V$15, 6, 0)*IF(MOD($G192,10)=0, 10, MOD($G192, 10))*((INDEX(Factor!$X$4:$AC$13, _xlfn.XMATCH($G192, Factor!$X$4:$X$13, 1),6)*IF(MOD(G192, 10) = 0, 10, MOD(G192, 10)))+INDEX(Factor!$AE$4:$AJ$13, _xlfn.XMATCH(MonsterData!$G192, Factor!$AE$4:$AE$13, 1),6))</f>
        <v>359.09999999999997</v>
      </c>
      <c r="Z192" s="17">
        <f>$Q192*VLOOKUP($J192, Factor!$B$12:$H$13, 7, 0)</f>
        <v>4</v>
      </c>
      <c r="AA192" s="17">
        <v>1</v>
      </c>
      <c r="AB192" s="17">
        <f t="shared" si="11"/>
        <v>4</v>
      </c>
      <c r="AC192" s="17" t="s">
        <v>139</v>
      </c>
      <c r="AD192" s="19" t="s">
        <v>142</v>
      </c>
    </row>
    <row r="193" spans="1:30" ht="15.75" customHeight="1">
      <c r="A193" s="13" t="str">
        <f>T193&amp;"_"&amp;F193&amp;VLOOKUP($C193, Factor!$AM$4:$AY$30, 7, 0)&amp;IF(COUNTIFS($C$4:C192, C193, $F$4:F192, F193)+1&gt;=100, COUNTIFS($C$4:C192, C193, $F$4:F192, F193)+1,IF(COUNTIFS($C$4:C192, C193, $F$4:F192, F193)+1&gt;=10, "0"&amp;COUNTIFS($C$4:C192, C193, $F$4:F192, F193)+1, "00"&amp;COUNTIFS($C$4:C192, C193, $F$4:F192, F193)+1))</f>
        <v>enpc_F03_A_Nymphe_004</v>
      </c>
      <c r="B193" s="13"/>
      <c r="C193" s="13" t="s">
        <v>39</v>
      </c>
      <c r="D193" s="21" t="str">
        <f t="shared" si="10"/>
        <v>님프</v>
      </c>
      <c r="E193" s="21" t="str">
        <f>VLOOKUP($C193, Factor!$AM$4:$AY$30, 8, 0)</f>
        <v>S</v>
      </c>
      <c r="F193" s="21" t="s">
        <v>111</v>
      </c>
      <c r="G193" s="22">
        <v>29</v>
      </c>
      <c r="H193" s="13" t="s">
        <v>55</v>
      </c>
      <c r="I193" s="21" t="str">
        <f>VLOOKUP($C193, Factor!$AM$4:$AY$30, 11, 0)</f>
        <v>A</v>
      </c>
      <c r="J193" s="21" t="str">
        <f>VLOOKUP($C193, Factor!$AM$4:$AY$30, 12, 0)</f>
        <v>ml</v>
      </c>
      <c r="K193" s="21" t="str">
        <f>VLOOKUP($C193, Factor!$AM$4:$AY$30, 13, 0)</f>
        <v>F</v>
      </c>
      <c r="L193" s="13">
        <v>1</v>
      </c>
      <c r="M193" s="13">
        <v>1</v>
      </c>
      <c r="N193" s="13">
        <v>1</v>
      </c>
      <c r="O193" s="13">
        <v>1</v>
      </c>
      <c r="P193" s="13">
        <v>1</v>
      </c>
      <c r="Q193" s="13">
        <v>1</v>
      </c>
      <c r="R193" s="21" t="str">
        <f>VLOOKUP($C193, Factor!$AM$4:$AY$30, 9, 0)</f>
        <v>Small</v>
      </c>
      <c r="S193" s="13" t="s">
        <v>409</v>
      </c>
      <c r="T193" s="21" t="str">
        <f>VLOOKUP($C193, Factor!$AM$4:$AY$30, 10, 0)</f>
        <v>enpc</v>
      </c>
      <c r="U193" s="21" cm="1">
        <f t="array" ref="U193">L193*VLOOKUP($I193, Factor!$B$4:$G$8, 2, 0)*VLOOKUP($J193, Factor!$B$12:$G$13, 2, 0)*VLOOKUP($K193, Factor!$B$17:$G$18, 2, 0)*VLOOKUP($H193, Factor!$J$4:$O$7, 2, 0)*VLOOKUP($F193, Factor!$Q$4:$V$15, 2, 0)*IF(MOD($G193,10)=0, 10, MOD($G193, 10))*((INDEX(Factor!$X$4:$AC$13, _xlfn.XMATCH($G193, Factor!$X$4:$X$13, 1),2)*IF(MOD(G193, 10) = 0, 10, MOD(G193, 10)))+INDEX(Factor!$AE$4:$AJ$13, _xlfn.XMATCH(MonsterData!$G193, Factor!$AE$4:$AE$13, 1),2))</f>
        <v>7181.9999999999991</v>
      </c>
      <c r="V193" s="21" cm="1">
        <f t="array" ref="V193">M193*VLOOKUP($I193, Factor!$B$4:$G$8, 3, 0)*VLOOKUP($J193, Factor!$B$12:$G$13, 3, 0)*VLOOKUP($K193, Factor!$B$17:$G$18, 3, 0)*VLOOKUP($H193, Factor!$J$4:$O$7, 3, 0)*VLOOKUP($F193, Factor!$Q$4:$V$15, 3, 0)*IF(MOD($G193,10)=0, 10, MOD($G193, 10))*((INDEX(Factor!$X$4:$AC$13, _xlfn.XMATCH($G193, Factor!$X$4:$X$13, 1),3)*IF(MOD(G193, 10) = 0, 10, MOD(G193, 10)))+INDEX(Factor!$AE$4:$AJ$13, _xlfn.XMATCH(MonsterData!$G193, Factor!$AE$4:$AE$13, 1),3))</f>
        <v>359.09999999999997</v>
      </c>
      <c r="W193" s="21" cm="1">
        <f t="array" ref="W193">N193*VLOOKUP($I193, Factor!$B$4:$G$8, 4, 0)*VLOOKUP($J193, Factor!$B$12:$G$13, 4, 0)*VLOOKUP($K193, Factor!$B$17:$G$18, 4, 0)*VLOOKUP($H193, Factor!$J$4:$O$7, 4, 0)*VLOOKUP($F193, Factor!$Q$4:$V$15, 4, 0)*IF(MOD($G193,10)=0, 10, MOD($G193, 10))*((INDEX(Factor!$X$4:$AC$13, _xlfn.XMATCH($G193, Factor!$X$4:$X$13, 1),4)*IF(MOD(G193, 10) = 0, 10, MOD(G193, 10)))+INDEX(Factor!$AE$4:$AJ$13, _xlfn.XMATCH(MonsterData!$G193, Factor!$AE$4:$AE$13, 1),4))</f>
        <v>215.45999999999995</v>
      </c>
      <c r="X193" s="21" cm="1">
        <f t="array" ref="X193">O193*VLOOKUP($I193, Factor!$B$4:$G$8, 5, 0)*VLOOKUP($J193, Factor!$B$12:$G$13, 5, 0)*VLOOKUP($K193, Factor!$B$17:$G$18, 5, 0)*VLOOKUP($H193, Factor!$J$4:$O$7, 5, 0)*VLOOKUP($F193, Factor!$Q$4:$V$15, 5, 0)*IF(MOD($G193,10)=0, 10, MOD($G193, 10))*((INDEX(Factor!$X$4:$AC$13, _xlfn.XMATCH($G193, Factor!$X$4:$X$13, 1),5)*IF(MOD(G193, 10) = 0, 10, MOD(G193, 10)))+INDEX(Factor!$AE$4:$AJ$13, _xlfn.XMATCH(MonsterData!$G193, Factor!$AE$4:$AE$13, 1),5))</f>
        <v>71.819999999999993</v>
      </c>
      <c r="Y193" s="21" cm="1">
        <f t="array" ref="Y193">P193*VLOOKUP($I193, Factor!$B$4:$G$8, 6, 0)*VLOOKUP($J193, Factor!$B$12:$G$13, 6, 0)*VLOOKUP($K193, Factor!$B$17:$G$18, 6, 0)*VLOOKUP($H193, Factor!$J$4:$O$7, 2, 0)*VLOOKUP($F193, Factor!$Q$4:$V$15, 6, 0)*IF(MOD($G193,10)=0, 10, MOD($G193, 10))*((INDEX(Factor!$X$4:$AC$13, _xlfn.XMATCH($G193, Factor!$X$4:$X$13, 1),6)*IF(MOD(G193, 10) = 0, 10, MOD(G193, 10)))+INDEX(Factor!$AE$4:$AJ$13, _xlfn.XMATCH(MonsterData!$G193, Factor!$AE$4:$AE$13, 1),6))</f>
        <v>1077.3</v>
      </c>
      <c r="Z193" s="21">
        <f>$Q193*VLOOKUP($J193, Factor!$B$12:$H$13, 7, 0)</f>
        <v>1</v>
      </c>
      <c r="AA193" s="13">
        <v>1</v>
      </c>
      <c r="AB193" s="21">
        <f t="shared" si="11"/>
        <v>0</v>
      </c>
      <c r="AC193" s="13" t="s">
        <v>139</v>
      </c>
      <c r="AD193" s="15" t="s">
        <v>142</v>
      </c>
    </row>
    <row r="194" spans="1:30" ht="15.75" customHeight="1">
      <c r="A194" s="16" t="str">
        <f>T194&amp;"_"&amp;F194&amp;VLOOKUP($C194, Factor!$AM$4:$AY$30, 7, 0)&amp;IF(COUNTIFS($C$4:C193, C194, $F$4:F193, F194)+1&gt;=100, COUNTIFS($C$4:C193, C194, $F$4:F193, F194)+1,IF(COUNTIFS($C$4:C193, C194, $F$4:F193, F194)+1&gt;=10, "0"&amp;COUNTIFS($C$4:C193, C194, $F$4:F193, F194)+1, "00"&amp;COUNTIFS($C$4:C193, C194, $F$4:F193, F194)+1))</f>
        <v>enpc_F03_B_Golem_004</v>
      </c>
      <c r="B194" s="16"/>
      <c r="C194" s="16" t="s">
        <v>40</v>
      </c>
      <c r="D194" s="17" t="str">
        <f t="shared" si="10"/>
        <v>골렘</v>
      </c>
      <c r="E194" s="17" t="str">
        <f>VLOOKUP($C194, Factor!$AM$4:$AY$30, 8, 0)</f>
        <v>B</v>
      </c>
      <c r="F194" s="17" t="s">
        <v>111</v>
      </c>
      <c r="G194" s="20">
        <v>47</v>
      </c>
      <c r="H194" s="16" t="s">
        <v>57</v>
      </c>
      <c r="I194" s="17" t="str">
        <f>VLOOKUP($C194, Factor!$AM$4:$AY$30, 11, 0)</f>
        <v>B</v>
      </c>
      <c r="J194" s="17" t="str">
        <f>VLOOKUP($C194, Factor!$AM$4:$AY$30, 12, 0)</f>
        <v>ml</v>
      </c>
      <c r="K194" s="17" t="str">
        <f>VLOOKUP($C194, Factor!$AM$4:$AY$30, 13, 0)</f>
        <v>L</v>
      </c>
      <c r="L194" s="17">
        <v>1</v>
      </c>
      <c r="M194" s="17">
        <v>1</v>
      </c>
      <c r="N194" s="17">
        <v>1</v>
      </c>
      <c r="O194" s="17">
        <v>1</v>
      </c>
      <c r="P194" s="17">
        <v>1</v>
      </c>
      <c r="Q194" s="17">
        <v>1</v>
      </c>
      <c r="R194" s="17" t="str">
        <f>VLOOKUP($C194, Factor!$AM$4:$AY$30, 9, 0)</f>
        <v>Big</v>
      </c>
      <c r="S194" s="17" t="s">
        <v>398</v>
      </c>
      <c r="T194" s="17" t="str">
        <f>VLOOKUP($C194, Factor!$AM$4:$AY$30, 10, 0)</f>
        <v>enpc</v>
      </c>
      <c r="U194" s="17" cm="1">
        <f t="array" ref="U194">L194*VLOOKUP($I194, Factor!$B$4:$G$8, 2, 0)*VLOOKUP($J194, Factor!$B$12:$G$13, 2, 0)*VLOOKUP($K194, Factor!$B$17:$G$18, 2, 0)*VLOOKUP($H194, Factor!$J$4:$O$7, 2, 0)*VLOOKUP($F194, Factor!$Q$4:$V$15, 2, 0)*IF(MOD($G194,10)=0, 10, MOD($G194, 10))*((INDEX(Factor!$X$4:$AC$13, _xlfn.XMATCH($G194, Factor!$X$4:$X$13, 1),2)*IF(MOD(G194, 10) = 0, 10, MOD(G194, 10)))+INDEX(Factor!$AE$4:$AJ$13, _xlfn.XMATCH(MonsterData!$G194, Factor!$AE$4:$AE$13, 1),2))</f>
        <v>198450</v>
      </c>
      <c r="V194" s="17" cm="1">
        <f t="array" ref="V194">M194*VLOOKUP($I194, Factor!$B$4:$G$8, 3, 0)*VLOOKUP($J194, Factor!$B$12:$G$13, 3, 0)*VLOOKUP($K194, Factor!$B$17:$G$18, 3, 0)*VLOOKUP($H194, Factor!$J$4:$O$7, 3, 0)*VLOOKUP($F194, Factor!$Q$4:$V$15, 3, 0)*IF(MOD($G194,10)=0, 10, MOD($G194, 10))*((INDEX(Factor!$X$4:$AC$13, _xlfn.XMATCH($G194, Factor!$X$4:$X$13, 1),3)*IF(MOD(G194, 10) = 0, 10, MOD(G194, 10)))+INDEX(Factor!$AE$4:$AJ$13, _xlfn.XMATCH(MonsterData!$G194, Factor!$AE$4:$AE$13, 1),3))</f>
        <v>9922.5</v>
      </c>
      <c r="W194" s="17" cm="1">
        <f t="array" ref="W194">N194*VLOOKUP($I194, Factor!$B$4:$G$8, 4, 0)*VLOOKUP($J194, Factor!$B$12:$G$13, 4, 0)*VLOOKUP($K194, Factor!$B$17:$G$18, 4, 0)*VLOOKUP($H194, Factor!$J$4:$O$7, 4, 0)*VLOOKUP($F194, Factor!$Q$4:$V$15, 4, 0)*IF(MOD($G194,10)=0, 10, MOD($G194, 10))*((INDEX(Factor!$X$4:$AC$13, _xlfn.XMATCH($G194, Factor!$X$4:$X$13, 1),4)*IF(MOD(G194, 10) = 0, 10, MOD(G194, 10)))+INDEX(Factor!$AE$4:$AJ$13, _xlfn.XMATCH(MonsterData!$G194, Factor!$AE$4:$AE$13, 1),4))</f>
        <v>496.125</v>
      </c>
      <c r="X194" s="17" cm="1">
        <f t="array" ref="X194">O194*VLOOKUP($I194, Factor!$B$4:$G$8, 5, 0)*VLOOKUP($J194, Factor!$B$12:$G$13, 5, 0)*VLOOKUP($K194, Factor!$B$17:$G$18, 5, 0)*VLOOKUP($H194, Factor!$J$4:$O$7, 5, 0)*VLOOKUP($F194, Factor!$Q$4:$V$15, 5, 0)*IF(MOD($G194,10)=0, 10, MOD($G194, 10))*((INDEX(Factor!$X$4:$AC$13, _xlfn.XMATCH($G194, Factor!$X$4:$X$13, 1),5)*IF(MOD(G194, 10) = 0, 10, MOD(G194, 10)))+INDEX(Factor!$AE$4:$AJ$13, _xlfn.XMATCH(MonsterData!$G194, Factor!$AE$4:$AE$13, 1),5))</f>
        <v>529.19999999999993</v>
      </c>
      <c r="Y194" s="17" cm="1">
        <f t="array" ref="Y194">P194*VLOOKUP($I194, Factor!$B$4:$G$8, 6, 0)*VLOOKUP($J194, Factor!$B$12:$G$13, 6, 0)*VLOOKUP($K194, Factor!$B$17:$G$18, 6, 0)*VLOOKUP($H194, Factor!$J$4:$O$7, 2, 0)*VLOOKUP($F194, Factor!$Q$4:$V$15, 6, 0)*IF(MOD($G194,10)=0, 10, MOD($G194, 10))*((INDEX(Factor!$X$4:$AC$13, _xlfn.XMATCH($G194, Factor!$X$4:$X$13, 1),6)*IF(MOD(G194, 10) = 0, 10, MOD(G194, 10)))+INDEX(Factor!$AE$4:$AJ$13, _xlfn.XMATCH(MonsterData!$G194, Factor!$AE$4:$AE$13, 1),6))</f>
        <v>1058.3999999999999</v>
      </c>
      <c r="Z194" s="17">
        <f>$Q194*VLOOKUP($J194, Factor!$B$12:$H$13, 7, 0)</f>
        <v>1</v>
      </c>
      <c r="AA194" s="17">
        <v>1</v>
      </c>
      <c r="AB194" s="17">
        <f t="shared" si="11"/>
        <v>0</v>
      </c>
      <c r="AC194" s="17" t="s">
        <v>140</v>
      </c>
      <c r="AD194" s="19" t="s">
        <v>143</v>
      </c>
    </row>
    <row r="195" spans="1:30" ht="15.75" customHeight="1">
      <c r="A195" s="13" t="str">
        <f>T195&amp;"_"&amp;F195&amp;VLOOKUP($C195, Factor!$AM$4:$AY$30, 7, 0)&amp;IF(COUNTIFS($C$4:C194, C195, $F$4:F194, F195)+1&gt;=100, COUNTIFS($C$4:C194, C195, $F$4:F194, F195)+1,IF(COUNTIFS($C$4:C194, C195, $F$4:F194, F195)+1&gt;=10, "0"&amp;COUNTIFS($C$4:C194, C195, $F$4:F194, F195)+1, "00"&amp;COUNTIFS($C$4:C194, C195, $F$4:F194, F195)+1))</f>
        <v>enpc_F03_B_Banshee_004</v>
      </c>
      <c r="B195" s="13"/>
      <c r="C195" s="13" t="s">
        <v>42</v>
      </c>
      <c r="D195" s="21" t="str">
        <f t="shared" si="10"/>
        <v>밴시</v>
      </c>
      <c r="E195" s="21" t="str">
        <f>VLOOKUP($C195, Factor!$AM$4:$AY$30, 8, 0)</f>
        <v>S</v>
      </c>
      <c r="F195" s="21" t="s">
        <v>111</v>
      </c>
      <c r="G195" s="22">
        <v>47</v>
      </c>
      <c r="H195" s="13" t="s">
        <v>56</v>
      </c>
      <c r="I195" s="21" t="str">
        <f>VLOOKUP($C195, Factor!$AM$4:$AY$30, 11, 0)</f>
        <v>B</v>
      </c>
      <c r="J195" s="21" t="str">
        <f>VLOOKUP($C195, Factor!$AM$4:$AY$30, 12, 0)</f>
        <v>ra</v>
      </c>
      <c r="K195" s="21" t="str">
        <f>VLOOKUP($C195, Factor!$AM$4:$AY$30, 13, 0)</f>
        <v>L</v>
      </c>
      <c r="L195" s="13">
        <v>1</v>
      </c>
      <c r="M195" s="13">
        <v>1</v>
      </c>
      <c r="N195" s="13">
        <v>1</v>
      </c>
      <c r="O195" s="13">
        <v>1</v>
      </c>
      <c r="P195" s="13">
        <v>1</v>
      </c>
      <c r="Q195" s="13">
        <v>1</v>
      </c>
      <c r="R195" s="21" t="str">
        <f>VLOOKUP($C195, Factor!$AM$4:$AY$30, 9, 0)</f>
        <v>Midium</v>
      </c>
      <c r="S195" s="13" t="s">
        <v>410</v>
      </c>
      <c r="T195" s="21" t="str">
        <f>VLOOKUP($C195, Factor!$AM$4:$AY$30, 10, 0)</f>
        <v>enpc</v>
      </c>
      <c r="U195" s="21" cm="1">
        <f t="array" ref="U195">L195*VLOOKUP($I195, Factor!$B$4:$G$8, 2, 0)*VLOOKUP($J195, Factor!$B$12:$G$13, 2, 0)*VLOOKUP($K195, Factor!$B$17:$G$18, 2, 0)*VLOOKUP($H195, Factor!$J$4:$O$7, 2, 0)*VLOOKUP($F195, Factor!$Q$4:$V$15, 2, 0)*IF(MOD($G195,10)=0, 10, MOD($G195, 10))*((INDEX(Factor!$X$4:$AC$13, _xlfn.XMATCH($G195, Factor!$X$4:$X$13, 1),2)*IF(MOD(G195, 10) = 0, 10, MOD(G195, 10)))+INDEX(Factor!$AE$4:$AJ$13, _xlfn.XMATCH(MonsterData!$G195, Factor!$AE$4:$AE$13, 1),2))</f>
        <v>79380</v>
      </c>
      <c r="V195" s="21" cm="1">
        <f t="array" ref="V195">M195*VLOOKUP($I195, Factor!$B$4:$G$8, 3, 0)*VLOOKUP($J195, Factor!$B$12:$G$13, 3, 0)*VLOOKUP($K195, Factor!$B$17:$G$18, 3, 0)*VLOOKUP($H195, Factor!$J$4:$O$7, 3, 0)*VLOOKUP($F195, Factor!$Q$4:$V$15, 3, 0)*IF(MOD($G195,10)=0, 10, MOD($G195, 10))*((INDEX(Factor!$X$4:$AC$13, _xlfn.XMATCH($G195, Factor!$X$4:$X$13, 1),3)*IF(MOD(G195, 10) = 0, 10, MOD(G195, 10)))+INDEX(Factor!$AE$4:$AJ$13, _xlfn.XMATCH(MonsterData!$G195, Factor!$AE$4:$AE$13, 1),3))</f>
        <v>3969</v>
      </c>
      <c r="W195" s="21" cm="1">
        <f t="array" ref="W195">N195*VLOOKUP($I195, Factor!$B$4:$G$8, 4, 0)*VLOOKUP($J195, Factor!$B$12:$G$13, 4, 0)*VLOOKUP($K195, Factor!$B$17:$G$18, 4, 0)*VLOOKUP($H195, Factor!$J$4:$O$7, 4, 0)*VLOOKUP($F195, Factor!$Q$4:$V$15, 4, 0)*IF(MOD($G195,10)=0, 10, MOD($G195, 10))*((INDEX(Factor!$X$4:$AC$13, _xlfn.XMATCH($G195, Factor!$X$4:$X$13, 1),4)*IF(MOD(G195, 10) = 0, 10, MOD(G195, 10)))+INDEX(Factor!$AE$4:$AJ$13, _xlfn.XMATCH(MonsterData!$G195, Factor!$AE$4:$AE$13, 1),4))</f>
        <v>11906.999999999998</v>
      </c>
      <c r="X195" s="21" cm="1">
        <f t="array" ref="X195">O195*VLOOKUP($I195, Factor!$B$4:$G$8, 5, 0)*VLOOKUP($J195, Factor!$B$12:$G$13, 5, 0)*VLOOKUP($K195, Factor!$B$17:$G$18, 5, 0)*VLOOKUP($H195, Factor!$J$4:$O$7, 5, 0)*VLOOKUP($F195, Factor!$Q$4:$V$15, 5, 0)*IF(MOD($G195,10)=0, 10, MOD($G195, 10))*((INDEX(Factor!$X$4:$AC$13, _xlfn.XMATCH($G195, Factor!$X$4:$X$13, 1),5)*IF(MOD(G195, 10) = 0, 10, MOD(G195, 10)))+INDEX(Factor!$AE$4:$AJ$13, _xlfn.XMATCH(MonsterData!$G195, Factor!$AE$4:$AE$13, 1),5))</f>
        <v>357.21</v>
      </c>
      <c r="Y195" s="21" cm="1">
        <f t="array" ref="Y195">P195*VLOOKUP($I195, Factor!$B$4:$G$8, 6, 0)*VLOOKUP($J195, Factor!$B$12:$G$13, 6, 0)*VLOOKUP($K195, Factor!$B$17:$G$18, 6, 0)*VLOOKUP($H195, Factor!$J$4:$O$7, 2, 0)*VLOOKUP($F195, Factor!$Q$4:$V$15, 6, 0)*IF(MOD($G195,10)=0, 10, MOD($G195, 10))*((INDEX(Factor!$X$4:$AC$13, _xlfn.XMATCH($G195, Factor!$X$4:$X$13, 1),6)*IF(MOD(G195, 10) = 0, 10, MOD(G195, 10)))+INDEX(Factor!$AE$4:$AJ$13, _xlfn.XMATCH(MonsterData!$G195, Factor!$AE$4:$AE$13, 1),6))</f>
        <v>529.19999999999993</v>
      </c>
      <c r="Z195" s="21">
        <f>$Q195*VLOOKUP($J195, Factor!$B$12:$H$13, 7, 0)</f>
        <v>4</v>
      </c>
      <c r="AA195" s="13">
        <v>1</v>
      </c>
      <c r="AB195" s="21">
        <f t="shared" si="11"/>
        <v>4</v>
      </c>
      <c r="AC195" s="13" t="s">
        <v>141</v>
      </c>
      <c r="AD195" s="15" t="s">
        <v>144</v>
      </c>
    </row>
    <row r="196" spans="1:30" ht="15.75" customHeight="1">
      <c r="A196" s="16" t="str">
        <f>T196&amp;"_"&amp;F196&amp;VLOOKUP($C196, Factor!$AM$4:$AY$30, 7, 0)&amp;IF(COUNTIFS($C$4:C195, C196, $F$4:F195, F196)+1&gt;=100, COUNTIFS($C$4:C195, C196, $F$4:F195, F196)+1,IF(COUNTIFS($C$4:C195, C196, $F$4:F195, F196)+1&gt;=10, "0"&amp;COUNTIFS($C$4:C195, C196, $F$4:F195, F196)+1, "00"&amp;COUNTIFS($C$4:C195, C196, $F$4:F195, F196)+1))</f>
        <v>enpc_F03_A_Scarab_004</v>
      </c>
      <c r="B196" s="16"/>
      <c r="C196" s="16" t="s">
        <v>353</v>
      </c>
      <c r="D196" s="17" t="str">
        <f t="shared" si="10"/>
        <v>스캐럽</v>
      </c>
      <c r="E196" s="17" t="str">
        <f>VLOOKUP($C196, Factor!$AM$4:$AY$30, 8, 0)</f>
        <v>S</v>
      </c>
      <c r="F196" s="17" t="s">
        <v>111</v>
      </c>
      <c r="G196" s="20">
        <v>29</v>
      </c>
      <c r="H196" s="16" t="s">
        <v>55</v>
      </c>
      <c r="I196" s="17" t="str">
        <f>VLOOKUP($C196, Factor!$AM$4:$AY$30, 11, 0)</f>
        <v>A</v>
      </c>
      <c r="J196" s="17" t="str">
        <f>VLOOKUP($C196, Factor!$AM$4:$AY$30, 12, 0)</f>
        <v>ml</v>
      </c>
      <c r="K196" s="17" t="str">
        <f>VLOOKUP($C196, Factor!$AM$4:$AY$30, 13, 0)</f>
        <v>L</v>
      </c>
      <c r="L196" s="17">
        <v>1</v>
      </c>
      <c r="M196" s="17">
        <v>1</v>
      </c>
      <c r="N196" s="17">
        <v>1</v>
      </c>
      <c r="O196" s="17">
        <v>1</v>
      </c>
      <c r="P196" s="17">
        <v>1</v>
      </c>
      <c r="Q196" s="17">
        <v>1</v>
      </c>
      <c r="R196" s="17" t="str">
        <f>VLOOKUP($C196, Factor!$AM$4:$AY$30, 9, 0)</f>
        <v>Midium</v>
      </c>
      <c r="S196" s="17" t="s">
        <v>399</v>
      </c>
      <c r="T196" s="17" t="str">
        <f>VLOOKUP($C196, Factor!$AM$4:$AY$30, 10, 0)</f>
        <v>enpc</v>
      </c>
      <c r="U196" s="17" cm="1">
        <f t="array" ref="U196">L196*VLOOKUP($I196, Factor!$B$4:$G$8, 2, 0)*VLOOKUP($J196, Factor!$B$12:$G$13, 2, 0)*VLOOKUP($K196, Factor!$B$17:$G$18, 2, 0)*VLOOKUP($H196, Factor!$J$4:$O$7, 2, 0)*VLOOKUP($F196, Factor!$Q$4:$V$15, 2, 0)*IF(MOD($G196,10)=0, 10, MOD($G196, 10))*((INDEX(Factor!$X$4:$AC$13, _xlfn.XMATCH($G196, Factor!$X$4:$X$13, 1),2)*IF(MOD(G196, 10) = 0, 10, MOD(G196, 10)))+INDEX(Factor!$AE$4:$AJ$13, _xlfn.XMATCH(MonsterData!$G196, Factor!$AE$4:$AE$13, 1),2))</f>
        <v>10772.999999999998</v>
      </c>
      <c r="V196" s="17" cm="1">
        <f t="array" ref="V196">M196*VLOOKUP($I196, Factor!$B$4:$G$8, 3, 0)*VLOOKUP($J196, Factor!$B$12:$G$13, 3, 0)*VLOOKUP($K196, Factor!$B$17:$G$18, 3, 0)*VLOOKUP($H196, Factor!$J$4:$O$7, 3, 0)*VLOOKUP($F196, Factor!$Q$4:$V$15, 3, 0)*IF(MOD($G196,10)=0, 10, MOD($G196, 10))*((INDEX(Factor!$X$4:$AC$13, _xlfn.XMATCH($G196, Factor!$X$4:$X$13, 1),3)*IF(MOD(G196, 10) = 0, 10, MOD(G196, 10)))+INDEX(Factor!$AE$4:$AJ$13, _xlfn.XMATCH(MonsterData!$G196, Factor!$AE$4:$AE$13, 1),3))</f>
        <v>538.65</v>
      </c>
      <c r="W196" s="17" cm="1">
        <f t="array" ref="W196">N196*VLOOKUP($I196, Factor!$B$4:$G$8, 4, 0)*VLOOKUP($J196, Factor!$B$12:$G$13, 4, 0)*VLOOKUP($K196, Factor!$B$17:$G$18, 4, 0)*VLOOKUP($H196, Factor!$J$4:$O$7, 4, 0)*VLOOKUP($F196, Factor!$Q$4:$V$15, 4, 0)*IF(MOD($G196,10)=0, 10, MOD($G196, 10))*((INDEX(Factor!$X$4:$AC$13, _xlfn.XMATCH($G196, Factor!$X$4:$X$13, 1),4)*IF(MOD(G196, 10) = 0, 10, MOD(G196, 10)))+INDEX(Factor!$AE$4:$AJ$13, _xlfn.XMATCH(MonsterData!$G196, Factor!$AE$4:$AE$13, 1),4))</f>
        <v>323.18999999999994</v>
      </c>
      <c r="X196" s="17" cm="1">
        <f t="array" ref="X196">O196*VLOOKUP($I196, Factor!$B$4:$G$8, 5, 0)*VLOOKUP($J196, Factor!$B$12:$G$13, 5, 0)*VLOOKUP($K196, Factor!$B$17:$G$18, 5, 0)*VLOOKUP($H196, Factor!$J$4:$O$7, 5, 0)*VLOOKUP($F196, Factor!$Q$4:$V$15, 5, 0)*IF(MOD($G196,10)=0, 10, MOD($G196, 10))*((INDEX(Factor!$X$4:$AC$13, _xlfn.XMATCH($G196, Factor!$X$4:$X$13, 1),5)*IF(MOD(G196, 10) = 0, 10, MOD(G196, 10)))+INDEX(Factor!$AE$4:$AJ$13, _xlfn.XMATCH(MonsterData!$G196, Factor!$AE$4:$AE$13, 1),5))</f>
        <v>71.819999999999993</v>
      </c>
      <c r="Y196" s="17" cm="1">
        <f t="array" ref="Y196">P196*VLOOKUP($I196, Factor!$B$4:$G$8, 6, 0)*VLOOKUP($J196, Factor!$B$12:$G$13, 6, 0)*VLOOKUP($K196, Factor!$B$17:$G$18, 6, 0)*VLOOKUP($H196, Factor!$J$4:$O$7, 2, 0)*VLOOKUP($F196, Factor!$Q$4:$V$15, 6, 0)*IF(MOD($G196,10)=0, 10, MOD($G196, 10))*((INDEX(Factor!$X$4:$AC$13, _xlfn.XMATCH($G196, Factor!$X$4:$X$13, 1),6)*IF(MOD(G196, 10) = 0, 10, MOD(G196, 10)))+INDEX(Factor!$AE$4:$AJ$13, _xlfn.XMATCH(MonsterData!$G196, Factor!$AE$4:$AE$13, 1),6))</f>
        <v>359.09999999999997</v>
      </c>
      <c r="Z196" s="17">
        <f>$Q196*VLOOKUP($J196, Factor!$B$12:$H$13, 7, 0)</f>
        <v>1</v>
      </c>
      <c r="AA196" s="17">
        <v>1</v>
      </c>
      <c r="AB196" s="17">
        <f t="shared" si="11"/>
        <v>0</v>
      </c>
      <c r="AC196" s="17" t="s">
        <v>139</v>
      </c>
      <c r="AD196" s="19" t="s">
        <v>387</v>
      </c>
    </row>
    <row r="197" spans="1:30" ht="15.75" customHeight="1">
      <c r="A197" s="13" t="str">
        <f>T197&amp;"_"&amp;F197&amp;VLOOKUP($C197, Factor!$AM$4:$AY$30, 7, 0)&amp;IF(COUNTIFS($C$4:C196, C197, $F$4:F196, F197)+1&gt;=100, COUNTIFS($C$4:C196, C197, $F$4:F196, F197)+1,IF(COUNTIFS($C$4:C196, C197, $F$4:F196, F197)+1&gt;=10, "0"&amp;COUNTIFS($C$4:C196, C197, $F$4:F196, F197)+1, "00"&amp;COUNTIFS($C$4:C196, C197, $F$4:F196, F197)+1))</f>
        <v>enpc_F03_A_Swarmlet_004</v>
      </c>
      <c r="B197" s="13"/>
      <c r="C197" s="13" t="s">
        <v>355</v>
      </c>
      <c r="D197" s="21" t="str">
        <f t="shared" si="10"/>
        <v>스웜렛</v>
      </c>
      <c r="E197" s="21" t="str">
        <f>VLOOKUP($C197, Factor!$AM$4:$AY$30, 8, 0)</f>
        <v>B</v>
      </c>
      <c r="F197" s="21" t="s">
        <v>111</v>
      </c>
      <c r="G197" s="22">
        <v>29</v>
      </c>
      <c r="H197" s="13" t="s">
        <v>56</v>
      </c>
      <c r="I197" s="21" t="str">
        <f>VLOOKUP($C197, Factor!$AM$4:$AY$30, 11, 0)</f>
        <v>A</v>
      </c>
      <c r="J197" s="21" t="str">
        <f>VLOOKUP($C197, Factor!$AM$4:$AY$30, 12, 0)</f>
        <v>ml</v>
      </c>
      <c r="K197" s="21" t="str">
        <f>VLOOKUP($C197, Factor!$AM$4:$AY$30, 13, 0)</f>
        <v>L</v>
      </c>
      <c r="L197" s="13">
        <v>1</v>
      </c>
      <c r="M197" s="13">
        <v>1</v>
      </c>
      <c r="N197" s="13">
        <v>1</v>
      </c>
      <c r="O197" s="13">
        <v>1</v>
      </c>
      <c r="P197" s="13">
        <v>1</v>
      </c>
      <c r="Q197" s="13">
        <v>1</v>
      </c>
      <c r="R197" s="21" t="str">
        <f>VLOOKUP($C197, Factor!$AM$4:$AY$30, 9, 0)</f>
        <v>Small</v>
      </c>
      <c r="S197" s="13" t="s">
        <v>405</v>
      </c>
      <c r="T197" s="21" t="str">
        <f>VLOOKUP($C197, Factor!$AM$4:$AY$30, 10, 0)</f>
        <v>enpc</v>
      </c>
      <c r="U197" s="21" cm="1">
        <f t="array" ref="U197">L197*VLOOKUP($I197, Factor!$B$4:$G$8, 2, 0)*VLOOKUP($J197, Factor!$B$12:$G$13, 2, 0)*VLOOKUP($K197, Factor!$B$17:$G$18, 2, 0)*VLOOKUP($H197, Factor!$J$4:$O$7, 2, 0)*VLOOKUP($F197, Factor!$Q$4:$V$15, 2, 0)*IF(MOD($G197,10)=0, 10, MOD($G197, 10))*((INDEX(Factor!$X$4:$AC$13, _xlfn.XMATCH($G197, Factor!$X$4:$X$13, 1),2)*IF(MOD(G197, 10) = 0, 10, MOD(G197, 10)))+INDEX(Factor!$AE$4:$AJ$13, _xlfn.XMATCH(MonsterData!$G197, Factor!$AE$4:$AE$13, 1),2))</f>
        <v>10772.999999999998</v>
      </c>
      <c r="V197" s="21" cm="1">
        <f t="array" ref="V197">M197*VLOOKUP($I197, Factor!$B$4:$G$8, 3, 0)*VLOOKUP($J197, Factor!$B$12:$G$13, 3, 0)*VLOOKUP($K197, Factor!$B$17:$G$18, 3, 0)*VLOOKUP($H197, Factor!$J$4:$O$7, 3, 0)*VLOOKUP($F197, Factor!$Q$4:$V$15, 3, 0)*IF(MOD($G197,10)=0, 10, MOD($G197, 10))*((INDEX(Factor!$X$4:$AC$13, _xlfn.XMATCH($G197, Factor!$X$4:$X$13, 1),3)*IF(MOD(G197, 10) = 0, 10, MOD(G197, 10)))+INDEX(Factor!$AE$4:$AJ$13, _xlfn.XMATCH(MonsterData!$G197, Factor!$AE$4:$AE$13, 1),3))</f>
        <v>538.65</v>
      </c>
      <c r="W197" s="21" cm="1">
        <f t="array" ref="W197">N197*VLOOKUP($I197, Factor!$B$4:$G$8, 4, 0)*VLOOKUP($J197, Factor!$B$12:$G$13, 4, 0)*VLOOKUP($K197, Factor!$B$17:$G$18, 4, 0)*VLOOKUP($H197, Factor!$J$4:$O$7, 4, 0)*VLOOKUP($F197, Factor!$Q$4:$V$15, 4, 0)*IF(MOD($G197,10)=0, 10, MOD($G197, 10))*((INDEX(Factor!$X$4:$AC$13, _xlfn.XMATCH($G197, Factor!$X$4:$X$13, 1),4)*IF(MOD(G197, 10) = 0, 10, MOD(G197, 10)))+INDEX(Factor!$AE$4:$AJ$13, _xlfn.XMATCH(MonsterData!$G197, Factor!$AE$4:$AE$13, 1),4))</f>
        <v>646.37999999999988</v>
      </c>
      <c r="X197" s="21" cm="1">
        <f t="array" ref="X197">O197*VLOOKUP($I197, Factor!$B$4:$G$8, 5, 0)*VLOOKUP($J197, Factor!$B$12:$G$13, 5, 0)*VLOOKUP($K197, Factor!$B$17:$G$18, 5, 0)*VLOOKUP($H197, Factor!$J$4:$O$7, 5, 0)*VLOOKUP($F197, Factor!$Q$4:$V$15, 5, 0)*IF(MOD($G197,10)=0, 10, MOD($G197, 10))*((INDEX(Factor!$X$4:$AC$13, _xlfn.XMATCH($G197, Factor!$X$4:$X$13, 1),5)*IF(MOD(G197, 10) = 0, 10, MOD(G197, 10)))+INDEX(Factor!$AE$4:$AJ$13, _xlfn.XMATCH(MonsterData!$G197, Factor!$AE$4:$AE$13, 1),5))</f>
        <v>64.637999999999991</v>
      </c>
      <c r="Y197" s="21" cm="1">
        <f t="array" ref="Y197">P197*VLOOKUP($I197, Factor!$B$4:$G$8, 6, 0)*VLOOKUP($J197, Factor!$B$12:$G$13, 6, 0)*VLOOKUP($K197, Factor!$B$17:$G$18, 6, 0)*VLOOKUP($H197, Factor!$J$4:$O$7, 2, 0)*VLOOKUP($F197, Factor!$Q$4:$V$15, 6, 0)*IF(MOD($G197,10)=0, 10, MOD($G197, 10))*((INDEX(Factor!$X$4:$AC$13, _xlfn.XMATCH($G197, Factor!$X$4:$X$13, 1),6)*IF(MOD(G197, 10) = 0, 10, MOD(G197, 10)))+INDEX(Factor!$AE$4:$AJ$13, _xlfn.XMATCH(MonsterData!$G197, Factor!$AE$4:$AE$13, 1),6))</f>
        <v>359.09999999999997</v>
      </c>
      <c r="Z197" s="21">
        <f>$Q197*VLOOKUP($J197, Factor!$B$12:$H$13, 7, 0)</f>
        <v>1</v>
      </c>
      <c r="AA197" s="13">
        <v>1</v>
      </c>
      <c r="AB197" s="21">
        <f t="shared" si="11"/>
        <v>0</v>
      </c>
      <c r="AC197" s="13" t="s">
        <v>139</v>
      </c>
      <c r="AD197" s="15" t="s">
        <v>387</v>
      </c>
    </row>
    <row r="198" spans="1:30" ht="15.75" customHeight="1">
      <c r="A198" s="16" t="str">
        <f>T198&amp;"_"&amp;F198&amp;VLOOKUP($C198, Factor!$AM$4:$AY$30, 7, 0)&amp;IF(COUNTIFS($C$4:C197, C198, $F$4:F197, F198)+1&gt;=100, COUNTIFS($C$4:C197, C198, $F$4:F197, F198)+1,IF(COUNTIFS($C$4:C197, C198, $F$4:F197, F198)+1&gt;=10, "0"&amp;COUNTIFS($C$4:C197, C198, $F$4:F197, F198)+1, "00"&amp;COUNTIFS($C$4:C197, C198, $F$4:F197, F198)+1))</f>
        <v>enpc_F03_A_Mantis_004</v>
      </c>
      <c r="B198" s="16"/>
      <c r="C198" s="16" t="s">
        <v>357</v>
      </c>
      <c r="D198" s="17" t="str">
        <f t="shared" ref="D198:D261" si="12">B198&amp;C198</f>
        <v>맨티스</v>
      </c>
      <c r="E198" s="17" t="str">
        <f>VLOOKUP($C198, Factor!$AM$4:$AY$30, 8, 0)</f>
        <v>S</v>
      </c>
      <c r="F198" s="17" t="s">
        <v>111</v>
      </c>
      <c r="G198" s="20">
        <v>29</v>
      </c>
      <c r="H198" s="16" t="s">
        <v>55</v>
      </c>
      <c r="I198" s="17" t="str">
        <f>VLOOKUP($C198, Factor!$AM$4:$AY$30, 11, 0)</f>
        <v>A</v>
      </c>
      <c r="J198" s="17" t="str">
        <f>VLOOKUP($C198, Factor!$AM$4:$AY$30, 12, 0)</f>
        <v>ml</v>
      </c>
      <c r="K198" s="17" t="str">
        <f>VLOOKUP($C198, Factor!$AM$4:$AY$30, 13, 0)</f>
        <v>L</v>
      </c>
      <c r="L198" s="17">
        <v>1</v>
      </c>
      <c r="M198" s="17">
        <v>1</v>
      </c>
      <c r="N198" s="17">
        <v>1</v>
      </c>
      <c r="O198" s="17">
        <v>1</v>
      </c>
      <c r="P198" s="17">
        <v>1</v>
      </c>
      <c r="Q198" s="17">
        <v>1</v>
      </c>
      <c r="R198" s="17" t="str">
        <f>VLOOKUP($C198, Factor!$AM$4:$AY$30, 9, 0)</f>
        <v>Small</v>
      </c>
      <c r="S198" s="17" t="s">
        <v>400</v>
      </c>
      <c r="T198" s="17" t="str">
        <f>VLOOKUP($C198, Factor!$AM$4:$AY$30, 10, 0)</f>
        <v>enpc</v>
      </c>
      <c r="U198" s="17" cm="1">
        <f t="array" ref="U198">L198*VLOOKUP($I198, Factor!$B$4:$G$8, 2, 0)*VLOOKUP($J198, Factor!$B$12:$G$13, 2, 0)*VLOOKUP($K198, Factor!$B$17:$G$18, 2, 0)*VLOOKUP($H198, Factor!$J$4:$O$7, 2, 0)*VLOOKUP($F198, Factor!$Q$4:$V$15, 2, 0)*IF(MOD($G198,10)=0, 10, MOD($G198, 10))*((INDEX(Factor!$X$4:$AC$13, _xlfn.XMATCH($G198, Factor!$X$4:$X$13, 1),2)*IF(MOD(G198, 10) = 0, 10, MOD(G198, 10)))+INDEX(Factor!$AE$4:$AJ$13, _xlfn.XMATCH(MonsterData!$G198, Factor!$AE$4:$AE$13, 1),2))</f>
        <v>10772.999999999998</v>
      </c>
      <c r="V198" s="17" cm="1">
        <f t="array" ref="V198">M198*VLOOKUP($I198, Factor!$B$4:$G$8, 3, 0)*VLOOKUP($J198, Factor!$B$12:$G$13, 3, 0)*VLOOKUP($K198, Factor!$B$17:$G$18, 3, 0)*VLOOKUP($H198, Factor!$J$4:$O$7, 3, 0)*VLOOKUP($F198, Factor!$Q$4:$V$15, 3, 0)*IF(MOD($G198,10)=0, 10, MOD($G198, 10))*((INDEX(Factor!$X$4:$AC$13, _xlfn.XMATCH($G198, Factor!$X$4:$X$13, 1),3)*IF(MOD(G198, 10) = 0, 10, MOD(G198, 10)))+INDEX(Factor!$AE$4:$AJ$13, _xlfn.XMATCH(MonsterData!$G198, Factor!$AE$4:$AE$13, 1),3))</f>
        <v>538.65</v>
      </c>
      <c r="W198" s="17" cm="1">
        <f t="array" ref="W198">N198*VLOOKUP($I198, Factor!$B$4:$G$8, 4, 0)*VLOOKUP($J198, Factor!$B$12:$G$13, 4, 0)*VLOOKUP($K198, Factor!$B$17:$G$18, 4, 0)*VLOOKUP($H198, Factor!$J$4:$O$7, 4, 0)*VLOOKUP($F198, Factor!$Q$4:$V$15, 4, 0)*IF(MOD($G198,10)=0, 10, MOD($G198, 10))*((INDEX(Factor!$X$4:$AC$13, _xlfn.XMATCH($G198, Factor!$X$4:$X$13, 1),4)*IF(MOD(G198, 10) = 0, 10, MOD(G198, 10)))+INDEX(Factor!$AE$4:$AJ$13, _xlfn.XMATCH(MonsterData!$G198, Factor!$AE$4:$AE$13, 1),4))</f>
        <v>323.18999999999994</v>
      </c>
      <c r="X198" s="17" cm="1">
        <f t="array" ref="X198">O198*VLOOKUP($I198, Factor!$B$4:$G$8, 5, 0)*VLOOKUP($J198, Factor!$B$12:$G$13, 5, 0)*VLOOKUP($K198, Factor!$B$17:$G$18, 5, 0)*VLOOKUP($H198, Factor!$J$4:$O$7, 5, 0)*VLOOKUP($F198, Factor!$Q$4:$V$15, 5, 0)*IF(MOD($G198,10)=0, 10, MOD($G198, 10))*((INDEX(Factor!$X$4:$AC$13, _xlfn.XMATCH($G198, Factor!$X$4:$X$13, 1),5)*IF(MOD(G198, 10) = 0, 10, MOD(G198, 10)))+INDEX(Factor!$AE$4:$AJ$13, _xlfn.XMATCH(MonsterData!$G198, Factor!$AE$4:$AE$13, 1),5))</f>
        <v>71.819999999999993</v>
      </c>
      <c r="Y198" s="17" cm="1">
        <f t="array" ref="Y198">P198*VLOOKUP($I198, Factor!$B$4:$G$8, 6, 0)*VLOOKUP($J198, Factor!$B$12:$G$13, 6, 0)*VLOOKUP($K198, Factor!$B$17:$G$18, 6, 0)*VLOOKUP($H198, Factor!$J$4:$O$7, 2, 0)*VLOOKUP($F198, Factor!$Q$4:$V$15, 6, 0)*IF(MOD($G198,10)=0, 10, MOD($G198, 10))*((INDEX(Factor!$X$4:$AC$13, _xlfn.XMATCH($G198, Factor!$X$4:$X$13, 1),6)*IF(MOD(G198, 10) = 0, 10, MOD(G198, 10)))+INDEX(Factor!$AE$4:$AJ$13, _xlfn.XMATCH(MonsterData!$G198, Factor!$AE$4:$AE$13, 1),6))</f>
        <v>359.09999999999997</v>
      </c>
      <c r="Z198" s="17">
        <f>$Q198*VLOOKUP($J198, Factor!$B$12:$H$13, 7, 0)</f>
        <v>1</v>
      </c>
      <c r="AA198" s="17">
        <v>1</v>
      </c>
      <c r="AB198" s="17">
        <f t="shared" si="11"/>
        <v>0</v>
      </c>
      <c r="AC198" s="17" t="s">
        <v>139</v>
      </c>
      <c r="AD198" s="19" t="s">
        <v>387</v>
      </c>
    </row>
    <row r="199" spans="1:30" ht="15.75" customHeight="1">
      <c r="A199" s="13" t="str">
        <f>T199&amp;"_"&amp;F199&amp;VLOOKUP($C199, Factor!$AM$4:$AY$30, 7, 0)&amp;IF(COUNTIFS($C$4:C198, C199, $F$4:F198, F199)+1&gt;=100, COUNTIFS($C$4:C198, C199, $F$4:F198, F199)+1,IF(COUNTIFS($C$4:C198, C199, $F$4:F198, F199)+1&gt;=10, "0"&amp;COUNTIFS($C$4:C198, C199, $F$4:F198, F199)+1, "00"&amp;COUNTIFS($C$4:C198, C199, $F$4:F198, F199)+1))</f>
        <v>enpc_F03_B_Kobold_004</v>
      </c>
      <c r="B199" s="13"/>
      <c r="C199" s="13" t="s">
        <v>359</v>
      </c>
      <c r="D199" s="21" t="str">
        <f t="shared" si="12"/>
        <v>코볼트</v>
      </c>
      <c r="E199" s="21" t="str">
        <f>VLOOKUP($C199, Factor!$AM$4:$AY$30, 8, 0)</f>
        <v>M</v>
      </c>
      <c r="F199" s="21" t="s">
        <v>111</v>
      </c>
      <c r="G199" s="22">
        <v>47</v>
      </c>
      <c r="H199" s="13" t="s">
        <v>56</v>
      </c>
      <c r="I199" s="21" t="str">
        <f>VLOOKUP($C199, Factor!$AM$4:$AY$30, 11, 0)</f>
        <v>B</v>
      </c>
      <c r="J199" s="21" t="str">
        <f>VLOOKUP($C199, Factor!$AM$4:$AY$30, 12, 0)</f>
        <v>ml</v>
      </c>
      <c r="K199" s="21" t="str">
        <f>VLOOKUP($C199, Factor!$AM$4:$AY$30, 13, 0)</f>
        <v>L</v>
      </c>
      <c r="L199" s="13">
        <v>1</v>
      </c>
      <c r="M199" s="13">
        <v>1</v>
      </c>
      <c r="N199" s="13">
        <v>1</v>
      </c>
      <c r="O199" s="13">
        <v>1</v>
      </c>
      <c r="P199" s="13">
        <v>1</v>
      </c>
      <c r="Q199" s="13">
        <v>1</v>
      </c>
      <c r="R199" s="21" t="str">
        <f>VLOOKUP($C199, Factor!$AM$4:$AY$30, 9, 0)</f>
        <v>Small</v>
      </c>
      <c r="S199" s="13" t="s">
        <v>406</v>
      </c>
      <c r="T199" s="21" t="str">
        <f>VLOOKUP($C199, Factor!$AM$4:$AY$30, 10, 0)</f>
        <v>enpc</v>
      </c>
      <c r="U199" s="21" cm="1">
        <f t="array" ref="U199">L199*VLOOKUP($I199, Factor!$B$4:$G$8, 2, 0)*VLOOKUP($J199, Factor!$B$12:$G$13, 2, 0)*VLOOKUP($K199, Factor!$B$17:$G$18, 2, 0)*VLOOKUP($H199, Factor!$J$4:$O$7, 2, 0)*VLOOKUP($F199, Factor!$Q$4:$V$15, 2, 0)*IF(MOD($G199,10)=0, 10, MOD($G199, 10))*((INDEX(Factor!$X$4:$AC$13, _xlfn.XMATCH($G199, Factor!$X$4:$X$13, 1),2)*IF(MOD(G199, 10) = 0, 10, MOD(G199, 10)))+INDEX(Factor!$AE$4:$AJ$13, _xlfn.XMATCH(MonsterData!$G199, Factor!$AE$4:$AE$13, 1),2))</f>
        <v>99225</v>
      </c>
      <c r="V199" s="21" cm="1">
        <f t="array" ref="V199">M199*VLOOKUP($I199, Factor!$B$4:$G$8, 3, 0)*VLOOKUP($J199, Factor!$B$12:$G$13, 3, 0)*VLOOKUP($K199, Factor!$B$17:$G$18, 3, 0)*VLOOKUP($H199, Factor!$J$4:$O$7, 3, 0)*VLOOKUP($F199, Factor!$Q$4:$V$15, 3, 0)*IF(MOD($G199,10)=0, 10, MOD($G199, 10))*((INDEX(Factor!$X$4:$AC$13, _xlfn.XMATCH($G199, Factor!$X$4:$X$13, 1),3)*IF(MOD(G199, 10) = 0, 10, MOD(G199, 10)))+INDEX(Factor!$AE$4:$AJ$13, _xlfn.XMATCH(MonsterData!$G199, Factor!$AE$4:$AE$13, 1),3))</f>
        <v>4961.25</v>
      </c>
      <c r="W199" s="21" cm="1">
        <f t="array" ref="W199">N199*VLOOKUP($I199, Factor!$B$4:$G$8, 4, 0)*VLOOKUP($J199, Factor!$B$12:$G$13, 4, 0)*VLOOKUP($K199, Factor!$B$17:$G$18, 4, 0)*VLOOKUP($H199, Factor!$J$4:$O$7, 4, 0)*VLOOKUP($F199, Factor!$Q$4:$V$15, 4, 0)*IF(MOD($G199,10)=0, 10, MOD($G199, 10))*((INDEX(Factor!$X$4:$AC$13, _xlfn.XMATCH($G199, Factor!$X$4:$X$13, 1),4)*IF(MOD(G199, 10) = 0, 10, MOD(G199, 10)))+INDEX(Factor!$AE$4:$AJ$13, _xlfn.XMATCH(MonsterData!$G199, Factor!$AE$4:$AE$13, 1),4))</f>
        <v>9922.5</v>
      </c>
      <c r="X199" s="21" cm="1">
        <f t="array" ref="X199">O199*VLOOKUP($I199, Factor!$B$4:$G$8, 5, 0)*VLOOKUP($J199, Factor!$B$12:$G$13, 5, 0)*VLOOKUP($K199, Factor!$B$17:$G$18, 5, 0)*VLOOKUP($H199, Factor!$J$4:$O$7, 5, 0)*VLOOKUP($F199, Factor!$Q$4:$V$15, 5, 0)*IF(MOD($G199,10)=0, 10, MOD($G199, 10))*((INDEX(Factor!$X$4:$AC$13, _xlfn.XMATCH($G199, Factor!$X$4:$X$13, 1),5)*IF(MOD(G199, 10) = 0, 10, MOD(G199, 10)))+INDEX(Factor!$AE$4:$AJ$13, _xlfn.XMATCH(MonsterData!$G199, Factor!$AE$4:$AE$13, 1),5))</f>
        <v>238.14000000000001</v>
      </c>
      <c r="Y199" s="21" cm="1">
        <f t="array" ref="Y199">P199*VLOOKUP($I199, Factor!$B$4:$G$8, 6, 0)*VLOOKUP($J199, Factor!$B$12:$G$13, 6, 0)*VLOOKUP($K199, Factor!$B$17:$G$18, 6, 0)*VLOOKUP($H199, Factor!$J$4:$O$7, 2, 0)*VLOOKUP($F199, Factor!$Q$4:$V$15, 6, 0)*IF(MOD($G199,10)=0, 10, MOD($G199, 10))*((INDEX(Factor!$X$4:$AC$13, _xlfn.XMATCH($G199, Factor!$X$4:$X$13, 1),6)*IF(MOD(G199, 10) = 0, 10, MOD(G199, 10)))+INDEX(Factor!$AE$4:$AJ$13, _xlfn.XMATCH(MonsterData!$G199, Factor!$AE$4:$AE$13, 1),6))</f>
        <v>529.19999999999993</v>
      </c>
      <c r="Z199" s="21">
        <f>$Q199*VLOOKUP($J199, Factor!$B$12:$H$13, 7, 0)</f>
        <v>1</v>
      </c>
      <c r="AA199" s="13">
        <v>1</v>
      </c>
      <c r="AB199" s="21">
        <f t="shared" si="11"/>
        <v>0</v>
      </c>
      <c r="AC199" s="13" t="s">
        <v>393</v>
      </c>
      <c r="AD199" s="15" t="s">
        <v>388</v>
      </c>
    </row>
    <row r="200" spans="1:30" ht="15.75" customHeight="1">
      <c r="A200" s="16" t="str">
        <f>T200&amp;"_"&amp;F200&amp;VLOOKUP($C200, Factor!$AM$4:$AY$30, 7, 0)&amp;IF(COUNTIFS($C$4:C199, C200, $F$4:F199, F200)+1&gt;=100, COUNTIFS($C$4:C199, C200, $F$4:F199, F200)+1,IF(COUNTIFS($C$4:C199, C200, $F$4:F199, F200)+1&gt;=10, "0"&amp;COUNTIFS($C$4:C199, C200, $F$4:F199, F200)+1, "00"&amp;COUNTIFS($C$4:C199, C200, $F$4:F199, F200)+1))</f>
        <v>enpc_F03_B_Ghoul_004</v>
      </c>
      <c r="B200" s="16"/>
      <c r="C200" s="16" t="s">
        <v>361</v>
      </c>
      <c r="D200" s="17" t="str">
        <f t="shared" si="12"/>
        <v>구울</v>
      </c>
      <c r="E200" s="17" t="str">
        <f>VLOOKUP($C200, Factor!$AM$4:$AY$30, 8, 0)</f>
        <v>M</v>
      </c>
      <c r="F200" s="17" t="s">
        <v>111</v>
      </c>
      <c r="G200" s="20">
        <v>47</v>
      </c>
      <c r="H200" s="16" t="s">
        <v>55</v>
      </c>
      <c r="I200" s="17" t="str">
        <f>VLOOKUP($C200, Factor!$AM$4:$AY$30, 11, 0)</f>
        <v>B</v>
      </c>
      <c r="J200" s="17" t="str">
        <f>VLOOKUP($C200, Factor!$AM$4:$AY$30, 12, 0)</f>
        <v>ml</v>
      </c>
      <c r="K200" s="17" t="str">
        <f>VLOOKUP($C200, Factor!$AM$4:$AY$30, 13, 0)</f>
        <v>L</v>
      </c>
      <c r="L200" s="17">
        <v>1</v>
      </c>
      <c r="M200" s="17">
        <v>1</v>
      </c>
      <c r="N200" s="17">
        <v>1</v>
      </c>
      <c r="O200" s="17">
        <v>1</v>
      </c>
      <c r="P200" s="17">
        <v>1</v>
      </c>
      <c r="Q200" s="17">
        <v>1</v>
      </c>
      <c r="R200" s="17" t="str">
        <f>VLOOKUP($C200, Factor!$AM$4:$AY$30, 9, 0)</f>
        <v>Midium</v>
      </c>
      <c r="S200" s="17" t="s">
        <v>401</v>
      </c>
      <c r="T200" s="17" t="str">
        <f>VLOOKUP($C200, Factor!$AM$4:$AY$30, 10, 0)</f>
        <v>enpc</v>
      </c>
      <c r="U200" s="17" cm="1">
        <f t="array" ref="U200">L200*VLOOKUP($I200, Factor!$B$4:$G$8, 2, 0)*VLOOKUP($J200, Factor!$B$12:$G$13, 2, 0)*VLOOKUP($K200, Factor!$B$17:$G$18, 2, 0)*VLOOKUP($H200, Factor!$J$4:$O$7, 2, 0)*VLOOKUP($F200, Factor!$Q$4:$V$15, 2, 0)*IF(MOD($G200,10)=0, 10, MOD($G200, 10))*((INDEX(Factor!$X$4:$AC$13, _xlfn.XMATCH($G200, Factor!$X$4:$X$13, 1),2)*IF(MOD(G200, 10) = 0, 10, MOD(G200, 10)))+INDEX(Factor!$AE$4:$AJ$13, _xlfn.XMATCH(MonsterData!$G200, Factor!$AE$4:$AE$13, 1),2))</f>
        <v>99225</v>
      </c>
      <c r="V200" s="17" cm="1">
        <f t="array" ref="V200">M200*VLOOKUP($I200, Factor!$B$4:$G$8, 3, 0)*VLOOKUP($J200, Factor!$B$12:$G$13, 3, 0)*VLOOKUP($K200, Factor!$B$17:$G$18, 3, 0)*VLOOKUP($H200, Factor!$J$4:$O$7, 3, 0)*VLOOKUP($F200, Factor!$Q$4:$V$15, 3, 0)*IF(MOD($G200,10)=0, 10, MOD($G200, 10))*((INDEX(Factor!$X$4:$AC$13, _xlfn.XMATCH($G200, Factor!$X$4:$X$13, 1),3)*IF(MOD(G200, 10) = 0, 10, MOD(G200, 10)))+INDEX(Factor!$AE$4:$AJ$13, _xlfn.XMATCH(MonsterData!$G200, Factor!$AE$4:$AE$13, 1),3))</f>
        <v>4961.25</v>
      </c>
      <c r="W200" s="17" cm="1">
        <f t="array" ref="W200">N200*VLOOKUP($I200, Factor!$B$4:$G$8, 4, 0)*VLOOKUP($J200, Factor!$B$12:$G$13, 4, 0)*VLOOKUP($K200, Factor!$B$17:$G$18, 4, 0)*VLOOKUP($H200, Factor!$J$4:$O$7, 4, 0)*VLOOKUP($F200, Factor!$Q$4:$V$15, 4, 0)*IF(MOD($G200,10)=0, 10, MOD($G200, 10))*((INDEX(Factor!$X$4:$AC$13, _xlfn.XMATCH($G200, Factor!$X$4:$X$13, 1),4)*IF(MOD(G200, 10) = 0, 10, MOD(G200, 10)))+INDEX(Factor!$AE$4:$AJ$13, _xlfn.XMATCH(MonsterData!$G200, Factor!$AE$4:$AE$13, 1),4))</f>
        <v>4961.25</v>
      </c>
      <c r="X200" s="17" cm="1">
        <f t="array" ref="X200">O200*VLOOKUP($I200, Factor!$B$4:$G$8, 5, 0)*VLOOKUP($J200, Factor!$B$12:$G$13, 5, 0)*VLOOKUP($K200, Factor!$B$17:$G$18, 5, 0)*VLOOKUP($H200, Factor!$J$4:$O$7, 5, 0)*VLOOKUP($F200, Factor!$Q$4:$V$15, 5, 0)*IF(MOD($G200,10)=0, 10, MOD($G200, 10))*((INDEX(Factor!$X$4:$AC$13, _xlfn.XMATCH($G200, Factor!$X$4:$X$13, 1),5)*IF(MOD(G200, 10) = 0, 10, MOD(G200, 10)))+INDEX(Factor!$AE$4:$AJ$13, _xlfn.XMATCH(MonsterData!$G200, Factor!$AE$4:$AE$13, 1),5))</f>
        <v>264.59999999999997</v>
      </c>
      <c r="Y200" s="17" cm="1">
        <f t="array" ref="Y200">P200*VLOOKUP($I200, Factor!$B$4:$G$8, 6, 0)*VLOOKUP($J200, Factor!$B$12:$G$13, 6, 0)*VLOOKUP($K200, Factor!$B$17:$G$18, 6, 0)*VLOOKUP($H200, Factor!$J$4:$O$7, 2, 0)*VLOOKUP($F200, Factor!$Q$4:$V$15, 6, 0)*IF(MOD($G200,10)=0, 10, MOD($G200, 10))*((INDEX(Factor!$X$4:$AC$13, _xlfn.XMATCH($G200, Factor!$X$4:$X$13, 1),6)*IF(MOD(G200, 10) = 0, 10, MOD(G200, 10)))+INDEX(Factor!$AE$4:$AJ$13, _xlfn.XMATCH(MonsterData!$G200, Factor!$AE$4:$AE$13, 1),6))</f>
        <v>529.19999999999993</v>
      </c>
      <c r="Z200" s="17">
        <f>$Q200*VLOOKUP($J200, Factor!$B$12:$H$13, 7, 0)</f>
        <v>1</v>
      </c>
      <c r="AA200" s="17">
        <v>1</v>
      </c>
      <c r="AB200" s="17">
        <f t="shared" si="11"/>
        <v>0</v>
      </c>
      <c r="AC200" s="17" t="s">
        <v>394</v>
      </c>
      <c r="AD200" s="19" t="s">
        <v>389</v>
      </c>
    </row>
    <row r="201" spans="1:30" ht="15.75" customHeight="1">
      <c r="A201" s="13" t="str">
        <f>T201&amp;"_"&amp;F201&amp;VLOOKUP($C201, Factor!$AM$4:$AY$30, 7, 0)&amp;IF(COUNTIFS($C$4:C200, C201, $F$4:F200, F201)+1&gt;=100, COUNTIFS($C$4:C200, C201, $F$4:F200, F201)+1,IF(COUNTIFS($C$4:C200, C201, $F$4:F200, F201)+1&gt;=10, "0"&amp;COUNTIFS($C$4:C200, C201, $F$4:F200, F201)+1, "00"&amp;COUNTIFS($C$4:C200, C201, $F$4:F200, F201)+1))</f>
        <v>enpc_F03_B_Gorgon_004</v>
      </c>
      <c r="B201" s="13"/>
      <c r="C201" s="13" t="s">
        <v>363</v>
      </c>
      <c r="D201" s="21" t="str">
        <f t="shared" si="12"/>
        <v>고르곤</v>
      </c>
      <c r="E201" s="21" t="str">
        <f>VLOOKUP($C201, Factor!$AM$4:$AY$30, 8, 0)</f>
        <v>B</v>
      </c>
      <c r="F201" s="21" t="s">
        <v>111</v>
      </c>
      <c r="G201" s="22">
        <v>47</v>
      </c>
      <c r="H201" s="13" t="s">
        <v>56</v>
      </c>
      <c r="I201" s="21" t="str">
        <f>VLOOKUP($C201, Factor!$AM$4:$AY$30, 11, 0)</f>
        <v>B</v>
      </c>
      <c r="J201" s="21" t="str">
        <f>VLOOKUP($C201, Factor!$AM$4:$AY$30, 12, 0)</f>
        <v>ml</v>
      </c>
      <c r="K201" s="21" t="str">
        <f>VLOOKUP($C201, Factor!$AM$4:$AY$30, 13, 0)</f>
        <v>L</v>
      </c>
      <c r="L201" s="13">
        <v>1</v>
      </c>
      <c r="M201" s="13">
        <v>1</v>
      </c>
      <c r="N201" s="13">
        <v>1</v>
      </c>
      <c r="O201" s="13">
        <v>1</v>
      </c>
      <c r="P201" s="13">
        <v>1</v>
      </c>
      <c r="Q201" s="13">
        <v>1</v>
      </c>
      <c r="R201" s="21" t="str">
        <f>VLOOKUP($C201, Factor!$AM$4:$AY$30, 9, 0)</f>
        <v>Midium</v>
      </c>
      <c r="S201" s="13" t="s">
        <v>407</v>
      </c>
      <c r="T201" s="21" t="str">
        <f>VLOOKUP($C201, Factor!$AM$4:$AY$30, 10, 0)</f>
        <v>enpc</v>
      </c>
      <c r="U201" s="21" cm="1">
        <f t="array" ref="U201">L201*VLOOKUP($I201, Factor!$B$4:$G$8, 2, 0)*VLOOKUP($J201, Factor!$B$12:$G$13, 2, 0)*VLOOKUP($K201, Factor!$B$17:$G$18, 2, 0)*VLOOKUP($H201, Factor!$J$4:$O$7, 2, 0)*VLOOKUP($F201, Factor!$Q$4:$V$15, 2, 0)*IF(MOD($G201,10)=0, 10, MOD($G201, 10))*((INDEX(Factor!$X$4:$AC$13, _xlfn.XMATCH($G201, Factor!$X$4:$X$13, 1),2)*IF(MOD(G201, 10) = 0, 10, MOD(G201, 10)))+INDEX(Factor!$AE$4:$AJ$13, _xlfn.XMATCH(MonsterData!$G201, Factor!$AE$4:$AE$13, 1),2))</f>
        <v>99225</v>
      </c>
      <c r="V201" s="21" cm="1">
        <f t="array" ref="V201">M201*VLOOKUP($I201, Factor!$B$4:$G$8, 3, 0)*VLOOKUP($J201, Factor!$B$12:$G$13, 3, 0)*VLOOKUP($K201, Factor!$B$17:$G$18, 3, 0)*VLOOKUP($H201, Factor!$J$4:$O$7, 3, 0)*VLOOKUP($F201, Factor!$Q$4:$V$15, 3, 0)*IF(MOD($G201,10)=0, 10, MOD($G201, 10))*((INDEX(Factor!$X$4:$AC$13, _xlfn.XMATCH($G201, Factor!$X$4:$X$13, 1),3)*IF(MOD(G201, 10) = 0, 10, MOD(G201, 10)))+INDEX(Factor!$AE$4:$AJ$13, _xlfn.XMATCH(MonsterData!$G201, Factor!$AE$4:$AE$13, 1),3))</f>
        <v>4961.25</v>
      </c>
      <c r="W201" s="21" cm="1">
        <f t="array" ref="W201">N201*VLOOKUP($I201, Factor!$B$4:$G$8, 4, 0)*VLOOKUP($J201, Factor!$B$12:$G$13, 4, 0)*VLOOKUP($K201, Factor!$B$17:$G$18, 4, 0)*VLOOKUP($H201, Factor!$J$4:$O$7, 4, 0)*VLOOKUP($F201, Factor!$Q$4:$V$15, 4, 0)*IF(MOD($G201,10)=0, 10, MOD($G201, 10))*((INDEX(Factor!$X$4:$AC$13, _xlfn.XMATCH($G201, Factor!$X$4:$X$13, 1),4)*IF(MOD(G201, 10) = 0, 10, MOD(G201, 10)))+INDEX(Factor!$AE$4:$AJ$13, _xlfn.XMATCH(MonsterData!$G201, Factor!$AE$4:$AE$13, 1),4))</f>
        <v>9922.5</v>
      </c>
      <c r="X201" s="21" cm="1">
        <f t="array" ref="X201">O201*VLOOKUP($I201, Factor!$B$4:$G$8, 5, 0)*VLOOKUP($J201, Factor!$B$12:$G$13, 5, 0)*VLOOKUP($K201, Factor!$B$17:$G$18, 5, 0)*VLOOKUP($H201, Factor!$J$4:$O$7, 5, 0)*VLOOKUP($F201, Factor!$Q$4:$V$15, 5, 0)*IF(MOD($G201,10)=0, 10, MOD($G201, 10))*((INDEX(Factor!$X$4:$AC$13, _xlfn.XMATCH($G201, Factor!$X$4:$X$13, 1),5)*IF(MOD(G201, 10) = 0, 10, MOD(G201, 10)))+INDEX(Factor!$AE$4:$AJ$13, _xlfn.XMATCH(MonsterData!$G201, Factor!$AE$4:$AE$13, 1),5))</f>
        <v>238.14000000000001</v>
      </c>
      <c r="Y201" s="21" cm="1">
        <f t="array" ref="Y201">P201*VLOOKUP($I201, Factor!$B$4:$G$8, 6, 0)*VLOOKUP($J201, Factor!$B$12:$G$13, 6, 0)*VLOOKUP($K201, Factor!$B$17:$G$18, 6, 0)*VLOOKUP($H201, Factor!$J$4:$O$7, 2, 0)*VLOOKUP($F201, Factor!$Q$4:$V$15, 6, 0)*IF(MOD($G201,10)=0, 10, MOD($G201, 10))*((INDEX(Factor!$X$4:$AC$13, _xlfn.XMATCH($G201, Factor!$X$4:$X$13, 1),6)*IF(MOD(G201, 10) = 0, 10, MOD(G201, 10)))+INDEX(Factor!$AE$4:$AJ$13, _xlfn.XMATCH(MonsterData!$G201, Factor!$AE$4:$AE$13, 1),6))</f>
        <v>529.19999999999993</v>
      </c>
      <c r="Z201" s="21">
        <f>$Q201*VLOOKUP($J201, Factor!$B$12:$H$13, 7, 0)</f>
        <v>1</v>
      </c>
      <c r="AA201" s="13">
        <v>1</v>
      </c>
      <c r="AB201" s="21">
        <f t="shared" si="11"/>
        <v>0</v>
      </c>
      <c r="AC201" s="13" t="s">
        <v>395</v>
      </c>
      <c r="AD201" s="15" t="s">
        <v>390</v>
      </c>
    </row>
    <row r="202" spans="1:30" ht="15.75" customHeight="1">
      <c r="A202" s="16" t="str">
        <f>T202&amp;"_"&amp;F202&amp;VLOOKUP($C202, Factor!$AM$4:$AY$30, 7, 0)&amp;IF(COUNTIFS($C$4:C201, C202, $F$4:F201, F202)+1&gt;=100, COUNTIFS($C$4:C201, C202, $F$4:F201, F202)+1,IF(COUNTIFS($C$4:C201, C202, $F$4:F201, F202)+1&gt;=10, "0"&amp;COUNTIFS($C$4:C201, C202, $F$4:F201, F202)+1, "00"&amp;COUNTIFS($C$4:C201, C202, $F$4:F201, F202)+1))</f>
        <v>enpc_F03_B_Gargoyle_004</v>
      </c>
      <c r="B202" s="16"/>
      <c r="C202" s="16" t="s">
        <v>365</v>
      </c>
      <c r="D202" s="17" t="str">
        <f t="shared" si="12"/>
        <v>가고일</v>
      </c>
      <c r="E202" s="17" t="str">
        <f>VLOOKUP($C202, Factor!$AM$4:$AY$30, 8, 0)</f>
        <v>B</v>
      </c>
      <c r="F202" s="17" t="s">
        <v>111</v>
      </c>
      <c r="G202" s="20">
        <v>47</v>
      </c>
      <c r="H202" s="16" t="s">
        <v>55</v>
      </c>
      <c r="I202" s="17" t="str">
        <f>VLOOKUP($C202, Factor!$AM$4:$AY$30, 11, 0)</f>
        <v>B</v>
      </c>
      <c r="J202" s="17" t="str">
        <f>VLOOKUP($C202, Factor!$AM$4:$AY$30, 12, 0)</f>
        <v>ml</v>
      </c>
      <c r="K202" s="17" t="str">
        <f>VLOOKUP($C202, Factor!$AM$4:$AY$30, 13, 0)</f>
        <v>F</v>
      </c>
      <c r="L202" s="17">
        <v>1</v>
      </c>
      <c r="M202" s="17">
        <v>1</v>
      </c>
      <c r="N202" s="17">
        <v>1</v>
      </c>
      <c r="O202" s="17">
        <v>1</v>
      </c>
      <c r="P202" s="17">
        <v>1</v>
      </c>
      <c r="Q202" s="17">
        <v>1</v>
      </c>
      <c r="R202" s="17" t="str">
        <f>VLOOKUP($C202, Factor!$AM$4:$AY$30, 9, 0)</f>
        <v>Big</v>
      </c>
      <c r="S202" s="17" t="s">
        <v>402</v>
      </c>
      <c r="T202" s="17" t="str">
        <f>VLOOKUP($C202, Factor!$AM$4:$AY$30, 10, 0)</f>
        <v>enpc</v>
      </c>
      <c r="U202" s="17" cm="1">
        <f t="array" ref="U202">L202*VLOOKUP($I202, Factor!$B$4:$G$8, 2, 0)*VLOOKUP($J202, Factor!$B$12:$G$13, 2, 0)*VLOOKUP($K202, Factor!$B$17:$G$18, 2, 0)*VLOOKUP($H202, Factor!$J$4:$O$7, 2, 0)*VLOOKUP($F202, Factor!$Q$4:$V$15, 2, 0)*IF(MOD($G202,10)=0, 10, MOD($G202, 10))*((INDEX(Factor!$X$4:$AC$13, _xlfn.XMATCH($G202, Factor!$X$4:$X$13, 1),2)*IF(MOD(G202, 10) = 0, 10, MOD(G202, 10)))+INDEX(Factor!$AE$4:$AJ$13, _xlfn.XMATCH(MonsterData!$G202, Factor!$AE$4:$AE$13, 1),2))</f>
        <v>66150</v>
      </c>
      <c r="V202" s="17" cm="1">
        <f t="array" ref="V202">M202*VLOOKUP($I202, Factor!$B$4:$G$8, 3, 0)*VLOOKUP($J202, Factor!$B$12:$G$13, 3, 0)*VLOOKUP($K202, Factor!$B$17:$G$18, 3, 0)*VLOOKUP($H202, Factor!$J$4:$O$7, 3, 0)*VLOOKUP($F202, Factor!$Q$4:$V$15, 3, 0)*IF(MOD($G202,10)=0, 10, MOD($G202, 10))*((INDEX(Factor!$X$4:$AC$13, _xlfn.XMATCH($G202, Factor!$X$4:$X$13, 1),3)*IF(MOD(G202, 10) = 0, 10, MOD(G202, 10)))+INDEX(Factor!$AE$4:$AJ$13, _xlfn.XMATCH(MonsterData!$G202, Factor!$AE$4:$AE$13, 1),3))</f>
        <v>3307.5</v>
      </c>
      <c r="W202" s="17" cm="1">
        <f t="array" ref="W202">N202*VLOOKUP($I202, Factor!$B$4:$G$8, 4, 0)*VLOOKUP($J202, Factor!$B$12:$G$13, 4, 0)*VLOOKUP($K202, Factor!$B$17:$G$18, 4, 0)*VLOOKUP($H202, Factor!$J$4:$O$7, 4, 0)*VLOOKUP($F202, Factor!$Q$4:$V$15, 4, 0)*IF(MOD($G202,10)=0, 10, MOD($G202, 10))*((INDEX(Factor!$X$4:$AC$13, _xlfn.XMATCH($G202, Factor!$X$4:$X$13, 1),4)*IF(MOD(G202, 10) = 0, 10, MOD(G202, 10)))+INDEX(Factor!$AE$4:$AJ$13, _xlfn.XMATCH(MonsterData!$G202, Factor!$AE$4:$AE$13, 1),4))</f>
        <v>3307.5</v>
      </c>
      <c r="X202" s="17" cm="1">
        <f t="array" ref="X202">O202*VLOOKUP($I202, Factor!$B$4:$G$8, 5, 0)*VLOOKUP($J202, Factor!$B$12:$G$13, 5, 0)*VLOOKUP($K202, Factor!$B$17:$G$18, 5, 0)*VLOOKUP($H202, Factor!$J$4:$O$7, 5, 0)*VLOOKUP($F202, Factor!$Q$4:$V$15, 5, 0)*IF(MOD($G202,10)=0, 10, MOD($G202, 10))*((INDEX(Factor!$X$4:$AC$13, _xlfn.XMATCH($G202, Factor!$X$4:$X$13, 1),5)*IF(MOD(G202, 10) = 0, 10, MOD(G202, 10)))+INDEX(Factor!$AE$4:$AJ$13, _xlfn.XMATCH(MonsterData!$G202, Factor!$AE$4:$AE$13, 1),5))</f>
        <v>264.59999999999997</v>
      </c>
      <c r="Y202" s="17" cm="1">
        <f t="array" ref="Y202">P202*VLOOKUP($I202, Factor!$B$4:$G$8, 6, 0)*VLOOKUP($J202, Factor!$B$12:$G$13, 6, 0)*VLOOKUP($K202, Factor!$B$17:$G$18, 6, 0)*VLOOKUP($H202, Factor!$J$4:$O$7, 2, 0)*VLOOKUP($F202, Factor!$Q$4:$V$15, 6, 0)*IF(MOD($G202,10)=0, 10, MOD($G202, 10))*((INDEX(Factor!$X$4:$AC$13, _xlfn.XMATCH($G202, Factor!$X$4:$X$13, 1),6)*IF(MOD(G202, 10) = 0, 10, MOD(G202, 10)))+INDEX(Factor!$AE$4:$AJ$13, _xlfn.XMATCH(MonsterData!$G202, Factor!$AE$4:$AE$13, 1),6))</f>
        <v>1587.5999999999997</v>
      </c>
      <c r="Z202" s="17">
        <f>$Q202*VLOOKUP($J202, Factor!$B$12:$H$13, 7, 0)</f>
        <v>1</v>
      </c>
      <c r="AA202" s="17">
        <v>1</v>
      </c>
      <c r="AB202" s="17">
        <f t="shared" si="11"/>
        <v>0</v>
      </c>
      <c r="AC202" s="17" t="s">
        <v>396</v>
      </c>
      <c r="AD202" s="19" t="s">
        <v>391</v>
      </c>
    </row>
    <row r="203" spans="1:30" ht="15.75" customHeight="1">
      <c r="A203" s="13" t="str">
        <f>T203&amp;"_"&amp;F203&amp;VLOOKUP($C203, Factor!$AM$4:$AY$30, 7, 0)&amp;IF(COUNTIFS($C$4:C202, C203, $F$4:F202, F203)+1&gt;=100, COUNTIFS($C$4:C202, C203, $F$4:F202, F203)+1,IF(COUNTIFS($C$4:C202, C203, $F$4:F202, F203)+1&gt;=10, "0"&amp;COUNTIFS($C$4:C202, C203, $F$4:F202, F203)+1, "00"&amp;COUNTIFS($C$4:C202, C203, $F$4:F202, F203)+1))</f>
        <v>enpc_F03_A_Lava_005</v>
      </c>
      <c r="B203" s="13"/>
      <c r="C203" s="13" t="s">
        <v>35</v>
      </c>
      <c r="D203" s="21" t="str">
        <f t="shared" si="12"/>
        <v>라바</v>
      </c>
      <c r="E203" s="21" t="str">
        <f>VLOOKUP($C203, Factor!$AM$4:$AY$30, 8, 0)</f>
        <v>S</v>
      </c>
      <c r="F203" s="21" t="s">
        <v>111</v>
      </c>
      <c r="G203" s="22">
        <v>31</v>
      </c>
      <c r="H203" s="13" t="s">
        <v>54</v>
      </c>
      <c r="I203" s="21" t="str">
        <f>VLOOKUP($C203, Factor!$AM$4:$AY$30, 11, 0)</f>
        <v>A</v>
      </c>
      <c r="J203" s="21" t="str">
        <f>VLOOKUP($C203, Factor!$AM$4:$AY$30, 12, 0)</f>
        <v>ml</v>
      </c>
      <c r="K203" s="21" t="str">
        <f>VLOOKUP($C203, Factor!$AM$4:$AY$30, 13, 0)</f>
        <v>L</v>
      </c>
      <c r="L203" s="13">
        <v>1</v>
      </c>
      <c r="M203" s="13">
        <v>1</v>
      </c>
      <c r="N203" s="13">
        <v>1</v>
      </c>
      <c r="O203" s="13">
        <v>1</v>
      </c>
      <c r="P203" s="13">
        <v>1</v>
      </c>
      <c r="Q203" s="13">
        <v>1</v>
      </c>
      <c r="R203" s="21" t="str">
        <f>VLOOKUP($C203, Factor!$AM$4:$AY$30, 9, 0)</f>
        <v>Small</v>
      </c>
      <c r="S203" s="13" t="s">
        <v>88</v>
      </c>
      <c r="T203" s="21" t="str">
        <f>VLOOKUP($C203, Factor!$AM$4:$AY$30, 10, 0)</f>
        <v>enpc</v>
      </c>
      <c r="U203" s="21" cm="1">
        <f t="array" ref="U203">L203*VLOOKUP($I203, Factor!$B$4:$G$8, 2, 0)*VLOOKUP($J203, Factor!$B$12:$G$13, 2, 0)*VLOOKUP($K203, Factor!$B$17:$G$18, 2, 0)*VLOOKUP($H203, Factor!$J$4:$O$7, 2, 0)*VLOOKUP($F203, Factor!$Q$4:$V$15, 2, 0)*IF(MOD($G203,10)=0, 10, MOD($G203, 10))*((INDEX(Factor!$X$4:$AC$13, _xlfn.XMATCH($G203, Factor!$X$4:$X$13, 1),2)*IF(MOD(G203, 10) = 0, 10, MOD(G203, 10)))+INDEX(Factor!$AE$4:$AJ$13, _xlfn.XMATCH(MonsterData!$G203, Factor!$AE$4:$AE$13, 1),2))</f>
        <v>1075.2</v>
      </c>
      <c r="V203" s="21" cm="1">
        <f t="array" ref="V203">M203*VLOOKUP($I203, Factor!$B$4:$G$8, 3, 0)*VLOOKUP($J203, Factor!$B$12:$G$13, 3, 0)*VLOOKUP($K203, Factor!$B$17:$G$18, 3, 0)*VLOOKUP($H203, Factor!$J$4:$O$7, 3, 0)*VLOOKUP($F203, Factor!$Q$4:$V$15, 3, 0)*IF(MOD($G203,10)=0, 10, MOD($G203, 10))*((INDEX(Factor!$X$4:$AC$13, _xlfn.XMATCH($G203, Factor!$X$4:$X$13, 1),3)*IF(MOD(G203, 10) = 0, 10, MOD(G203, 10)))+INDEX(Factor!$AE$4:$AJ$13, _xlfn.XMATCH(MonsterData!$G203, Factor!$AE$4:$AE$13, 1),3))</f>
        <v>53.759999999999991</v>
      </c>
      <c r="W203" s="21" cm="1">
        <f t="array" ref="W203">N203*VLOOKUP($I203, Factor!$B$4:$G$8, 4, 0)*VLOOKUP($J203, Factor!$B$12:$G$13, 4, 0)*VLOOKUP($K203, Factor!$B$17:$G$18, 4, 0)*VLOOKUP($H203, Factor!$J$4:$O$7, 4, 0)*VLOOKUP($F203, Factor!$Q$4:$V$15, 4, 0)*IF(MOD($G203,10)=0, 10, MOD($G203, 10))*((INDEX(Factor!$X$4:$AC$13, _xlfn.XMATCH($G203, Factor!$X$4:$X$13, 1),4)*IF(MOD(G203, 10) = 0, 10, MOD(G203, 10)))+INDEX(Factor!$AE$4:$AJ$13, _xlfn.XMATCH(MonsterData!$G203, Factor!$AE$4:$AE$13, 1),4))</f>
        <v>32.256</v>
      </c>
      <c r="X203" s="21" cm="1">
        <f t="array" ref="X203">O203*VLOOKUP($I203, Factor!$B$4:$G$8, 5, 0)*VLOOKUP($J203, Factor!$B$12:$G$13, 5, 0)*VLOOKUP($K203, Factor!$B$17:$G$18, 5, 0)*VLOOKUP($H203, Factor!$J$4:$O$7, 5, 0)*VLOOKUP($F203, Factor!$Q$4:$V$15, 5, 0)*IF(MOD($G203,10)=0, 10, MOD($G203, 10))*((INDEX(Factor!$X$4:$AC$13, _xlfn.XMATCH($G203, Factor!$X$4:$X$13, 1),5)*IF(MOD(G203, 10) = 0, 10, MOD(G203, 10)))+INDEX(Factor!$AE$4:$AJ$13, _xlfn.XMATCH(MonsterData!$G203, Factor!$AE$4:$AE$13, 1),5))</f>
        <v>8.9599999999999991</v>
      </c>
      <c r="Y203" s="21" cm="1">
        <f t="array" ref="Y203">P203*VLOOKUP($I203, Factor!$B$4:$G$8, 6, 0)*VLOOKUP($J203, Factor!$B$12:$G$13, 6, 0)*VLOOKUP($K203, Factor!$B$17:$G$18, 6, 0)*VLOOKUP($H203, Factor!$J$4:$O$7, 2, 0)*VLOOKUP($F203, Factor!$Q$4:$V$15, 6, 0)*IF(MOD($G203,10)=0, 10, MOD($G203, 10))*((INDEX(Factor!$X$4:$AC$13, _xlfn.XMATCH($G203, Factor!$X$4:$X$13, 1),6)*IF(MOD(G203, 10) = 0, 10, MOD(G203, 10)))+INDEX(Factor!$AE$4:$AJ$13, _xlfn.XMATCH(MonsterData!$G203, Factor!$AE$4:$AE$13, 1),6))</f>
        <v>35.839999999999996</v>
      </c>
      <c r="Z203" s="21">
        <f>$Q203*VLOOKUP($J203, Factor!$B$12:$H$13, 7, 0)</f>
        <v>1</v>
      </c>
      <c r="AA203" s="13">
        <v>1</v>
      </c>
      <c r="AB203" s="21">
        <f t="shared" si="11"/>
        <v>0</v>
      </c>
      <c r="AC203" s="13" t="s">
        <v>139</v>
      </c>
      <c r="AD203" s="15" t="s">
        <v>142</v>
      </c>
    </row>
    <row r="204" spans="1:30" ht="15.75" customHeight="1">
      <c r="A204" s="16" t="str">
        <f>T204&amp;"_"&amp;F204&amp;VLOOKUP($C204, Factor!$AM$4:$AY$30, 7, 0)&amp;IF(COUNTIFS($C$4:C203, C204, $F$4:F203, F204)+1&gt;=100, COUNTIFS($C$4:C203, C204, $F$4:F203, F204)+1,IF(COUNTIFS($C$4:C203, C204, $F$4:F203, F204)+1&gt;=10, "0"&amp;COUNTIFS($C$4:C203, C204, $F$4:F203, F204)+1, "00"&amp;COUNTIFS($C$4:C203, C204, $F$4:F203, F204)+1))</f>
        <v>enpc_F03_A_Cocoon_005</v>
      </c>
      <c r="B204" s="16"/>
      <c r="C204" s="16" t="s">
        <v>270</v>
      </c>
      <c r="D204" s="17" t="str">
        <f t="shared" si="12"/>
        <v>코쿤</v>
      </c>
      <c r="E204" s="17" t="str">
        <f>VLOOKUP($C204, Factor!$AM$4:$AY$30, 8, 0)</f>
        <v>M</v>
      </c>
      <c r="F204" s="17" t="s">
        <v>111</v>
      </c>
      <c r="G204" s="20">
        <v>31</v>
      </c>
      <c r="H204" s="16" t="s">
        <v>55</v>
      </c>
      <c r="I204" s="17" t="str">
        <f>VLOOKUP($C204, Factor!$AM$4:$AY$30, 11, 0)</f>
        <v>A</v>
      </c>
      <c r="J204" s="17" t="str">
        <f>VLOOKUP($C204, Factor!$AM$4:$AY$30, 12, 0)</f>
        <v>ml</v>
      </c>
      <c r="K204" s="17" t="str">
        <f>VLOOKUP($C204, Factor!$AM$4:$AY$30, 13, 0)</f>
        <v>L</v>
      </c>
      <c r="L204" s="17">
        <v>1</v>
      </c>
      <c r="M204" s="17">
        <v>1</v>
      </c>
      <c r="N204" s="17">
        <v>1</v>
      </c>
      <c r="O204" s="17">
        <v>1</v>
      </c>
      <c r="P204" s="17">
        <v>1</v>
      </c>
      <c r="Q204" s="17">
        <v>1</v>
      </c>
      <c r="R204" s="17" t="str">
        <f>VLOOKUP($C204, Factor!$AM$4:$AY$30, 9, 0)</f>
        <v>Midium</v>
      </c>
      <c r="S204" s="17" t="s">
        <v>196</v>
      </c>
      <c r="T204" s="17" t="str">
        <f>VLOOKUP($C204, Factor!$AM$4:$AY$30, 10, 0)</f>
        <v>enpc</v>
      </c>
      <c r="U204" s="17" cm="1">
        <f t="array" ref="U204">L204*VLOOKUP($I204, Factor!$B$4:$G$8, 2, 0)*VLOOKUP($J204, Factor!$B$12:$G$13, 2, 0)*VLOOKUP($K204, Factor!$B$17:$G$18, 2, 0)*VLOOKUP($H204, Factor!$J$4:$O$7, 2, 0)*VLOOKUP($F204, Factor!$Q$4:$V$15, 2, 0)*IF(MOD($G204,10)=0, 10, MOD($G204, 10))*((INDEX(Factor!$X$4:$AC$13, _xlfn.XMATCH($G204, Factor!$X$4:$X$13, 1),2)*IF(MOD(G204, 10) = 0, 10, MOD(G204, 10)))+INDEX(Factor!$AE$4:$AJ$13, _xlfn.XMATCH(MonsterData!$G204, Factor!$AE$4:$AE$13, 1),2))</f>
        <v>1344</v>
      </c>
      <c r="V204" s="17" cm="1">
        <f t="array" ref="V204">M204*VLOOKUP($I204, Factor!$B$4:$G$8, 3, 0)*VLOOKUP($J204, Factor!$B$12:$G$13, 3, 0)*VLOOKUP($K204, Factor!$B$17:$G$18, 3, 0)*VLOOKUP($H204, Factor!$J$4:$O$7, 3, 0)*VLOOKUP($F204, Factor!$Q$4:$V$15, 3, 0)*IF(MOD($G204,10)=0, 10, MOD($G204, 10))*((INDEX(Factor!$X$4:$AC$13, _xlfn.XMATCH($G204, Factor!$X$4:$X$13, 1),3)*IF(MOD(G204, 10) = 0, 10, MOD(G204, 10)))+INDEX(Factor!$AE$4:$AJ$13, _xlfn.XMATCH(MonsterData!$G204, Factor!$AE$4:$AE$13, 1),3))</f>
        <v>67.2</v>
      </c>
      <c r="W204" s="17" cm="1">
        <f t="array" ref="W204">N204*VLOOKUP($I204, Factor!$B$4:$G$8, 4, 0)*VLOOKUP($J204, Factor!$B$12:$G$13, 4, 0)*VLOOKUP($K204, Factor!$B$17:$G$18, 4, 0)*VLOOKUP($H204, Factor!$J$4:$O$7, 4, 0)*VLOOKUP($F204, Factor!$Q$4:$V$15, 4, 0)*IF(MOD($G204,10)=0, 10, MOD($G204, 10))*((INDEX(Factor!$X$4:$AC$13, _xlfn.XMATCH($G204, Factor!$X$4:$X$13, 1),4)*IF(MOD(G204, 10) = 0, 10, MOD(G204, 10)))+INDEX(Factor!$AE$4:$AJ$13, _xlfn.XMATCH(MonsterData!$G204, Factor!$AE$4:$AE$13, 1),4))</f>
        <v>40.32</v>
      </c>
      <c r="X204" s="17" cm="1">
        <f t="array" ref="X204">O204*VLOOKUP($I204, Factor!$B$4:$G$8, 5, 0)*VLOOKUP($J204, Factor!$B$12:$G$13, 5, 0)*VLOOKUP($K204, Factor!$B$17:$G$18, 5, 0)*VLOOKUP($H204, Factor!$J$4:$O$7, 5, 0)*VLOOKUP($F204, Factor!$Q$4:$V$15, 5, 0)*IF(MOD($G204,10)=0, 10, MOD($G204, 10))*((INDEX(Factor!$X$4:$AC$13, _xlfn.XMATCH($G204, Factor!$X$4:$X$13, 1),5)*IF(MOD(G204, 10) = 0, 10, MOD(G204, 10)))+INDEX(Factor!$AE$4:$AJ$13, _xlfn.XMATCH(MonsterData!$G204, Factor!$AE$4:$AE$13, 1),5))</f>
        <v>8.9599999999999991</v>
      </c>
      <c r="Y204" s="17" cm="1">
        <f t="array" ref="Y204">P204*VLOOKUP($I204, Factor!$B$4:$G$8, 6, 0)*VLOOKUP($J204, Factor!$B$12:$G$13, 6, 0)*VLOOKUP($K204, Factor!$B$17:$G$18, 6, 0)*VLOOKUP($H204, Factor!$J$4:$O$7, 2, 0)*VLOOKUP($F204, Factor!$Q$4:$V$15, 6, 0)*IF(MOD($G204,10)=0, 10, MOD($G204, 10))*((INDEX(Factor!$X$4:$AC$13, _xlfn.XMATCH($G204, Factor!$X$4:$X$13, 1),6)*IF(MOD(G204, 10) = 0, 10, MOD(G204, 10)))+INDEX(Factor!$AE$4:$AJ$13, _xlfn.XMATCH(MonsterData!$G204, Factor!$AE$4:$AE$13, 1),6))</f>
        <v>44.800000000000004</v>
      </c>
      <c r="Z204" s="17">
        <f>$Q204*VLOOKUP($J204, Factor!$B$12:$H$13, 7, 0)</f>
        <v>1</v>
      </c>
      <c r="AA204" s="17">
        <v>1</v>
      </c>
      <c r="AB204" s="17">
        <f t="shared" si="11"/>
        <v>0</v>
      </c>
      <c r="AC204" s="17" t="s">
        <v>139</v>
      </c>
      <c r="AD204" s="19" t="s">
        <v>142</v>
      </c>
    </row>
    <row r="205" spans="1:30" ht="15.75" customHeight="1">
      <c r="A205" s="13" t="str">
        <f>T205&amp;"_"&amp;F205&amp;VLOOKUP($C205, Factor!$AM$4:$AY$30, 7, 0)&amp;IF(COUNTIFS($C$4:C204, C205, $F$4:F204, F205)+1&gt;=100, COUNTIFS($C$4:C204, C205, $F$4:F204, F205)+1,IF(COUNTIFS($C$4:C204, C205, $F$4:F204, F205)+1&gt;=10, "0"&amp;COUNTIFS($C$4:C204, C205, $F$4:F204, F205)+1, "00"&amp;COUNTIFS($C$4:C204, C205, $F$4:F204, F205)+1))</f>
        <v>enpc_F03_A_Antlion_005</v>
      </c>
      <c r="B205" s="13"/>
      <c r="C205" s="13" t="s">
        <v>38</v>
      </c>
      <c r="D205" s="21" t="str">
        <f t="shared" si="12"/>
        <v>앤틸리온</v>
      </c>
      <c r="E205" s="21" t="str">
        <f>VLOOKUP($C205, Factor!$AM$4:$AY$30, 8, 0)</f>
        <v>M</v>
      </c>
      <c r="F205" s="21" t="s">
        <v>111</v>
      </c>
      <c r="G205" s="22">
        <v>31</v>
      </c>
      <c r="H205" s="13" t="s">
        <v>55</v>
      </c>
      <c r="I205" s="21" t="str">
        <f>VLOOKUP($C205, Factor!$AM$4:$AY$30, 11, 0)</f>
        <v>A</v>
      </c>
      <c r="J205" s="21" t="str">
        <f>VLOOKUP($C205, Factor!$AM$4:$AY$30, 12, 0)</f>
        <v>ra</v>
      </c>
      <c r="K205" s="21" t="str">
        <f>VLOOKUP($C205, Factor!$AM$4:$AY$30, 13, 0)</f>
        <v>L</v>
      </c>
      <c r="L205" s="13">
        <v>1</v>
      </c>
      <c r="M205" s="13">
        <v>1</v>
      </c>
      <c r="N205" s="13">
        <v>1</v>
      </c>
      <c r="O205" s="13">
        <v>1</v>
      </c>
      <c r="P205" s="13">
        <v>1</v>
      </c>
      <c r="Q205" s="13">
        <v>1</v>
      </c>
      <c r="R205" s="21" t="str">
        <f>VLOOKUP($C205, Factor!$AM$4:$AY$30, 9, 0)</f>
        <v>Midium</v>
      </c>
      <c r="S205" s="13" t="s">
        <v>397</v>
      </c>
      <c r="T205" s="21" t="str">
        <f>VLOOKUP($C205, Factor!$AM$4:$AY$30, 10, 0)</f>
        <v>enpc</v>
      </c>
      <c r="U205" s="21" cm="1">
        <f t="array" ref="U205">L205*VLOOKUP($I205, Factor!$B$4:$G$8, 2, 0)*VLOOKUP($J205, Factor!$B$12:$G$13, 2, 0)*VLOOKUP($K205, Factor!$B$17:$G$18, 2, 0)*VLOOKUP($H205, Factor!$J$4:$O$7, 2, 0)*VLOOKUP($F205, Factor!$Q$4:$V$15, 2, 0)*IF(MOD($G205,10)=0, 10, MOD($G205, 10))*((INDEX(Factor!$X$4:$AC$13, _xlfn.XMATCH($G205, Factor!$X$4:$X$13, 1),2)*IF(MOD(G205, 10) = 0, 10, MOD(G205, 10)))+INDEX(Factor!$AE$4:$AJ$13, _xlfn.XMATCH(MonsterData!$G205, Factor!$AE$4:$AE$13, 1),2))</f>
        <v>1075.2</v>
      </c>
      <c r="V205" s="21" cm="1">
        <f t="array" ref="V205">M205*VLOOKUP($I205, Factor!$B$4:$G$8, 3, 0)*VLOOKUP($J205, Factor!$B$12:$G$13, 3, 0)*VLOOKUP($K205, Factor!$B$17:$G$18, 3, 0)*VLOOKUP($H205, Factor!$J$4:$O$7, 3, 0)*VLOOKUP($F205, Factor!$Q$4:$V$15, 3, 0)*IF(MOD($G205,10)=0, 10, MOD($G205, 10))*((INDEX(Factor!$X$4:$AC$13, _xlfn.XMATCH($G205, Factor!$X$4:$X$13, 1),3)*IF(MOD(G205, 10) = 0, 10, MOD(G205, 10)))+INDEX(Factor!$AE$4:$AJ$13, _xlfn.XMATCH(MonsterData!$G205, Factor!$AE$4:$AE$13, 1),3))</f>
        <v>53.759999999999991</v>
      </c>
      <c r="W205" s="21" cm="1">
        <f t="array" ref="W205">N205*VLOOKUP($I205, Factor!$B$4:$G$8, 4, 0)*VLOOKUP($J205, Factor!$B$12:$G$13, 4, 0)*VLOOKUP($K205, Factor!$B$17:$G$18, 4, 0)*VLOOKUP($H205, Factor!$J$4:$O$7, 4, 0)*VLOOKUP($F205, Factor!$Q$4:$V$15, 4, 0)*IF(MOD($G205,10)=0, 10, MOD($G205, 10))*((INDEX(Factor!$X$4:$AC$13, _xlfn.XMATCH($G205, Factor!$X$4:$X$13, 1),4)*IF(MOD(G205, 10) = 0, 10, MOD(G205, 10)))+INDEX(Factor!$AE$4:$AJ$13, _xlfn.XMATCH(MonsterData!$G205, Factor!$AE$4:$AE$13, 1),4))</f>
        <v>48.383999999999993</v>
      </c>
      <c r="X205" s="21" cm="1">
        <f t="array" ref="X205">O205*VLOOKUP($I205, Factor!$B$4:$G$8, 5, 0)*VLOOKUP($J205, Factor!$B$12:$G$13, 5, 0)*VLOOKUP($K205, Factor!$B$17:$G$18, 5, 0)*VLOOKUP($H205, Factor!$J$4:$O$7, 5, 0)*VLOOKUP($F205, Factor!$Q$4:$V$15, 5, 0)*IF(MOD($G205,10)=0, 10, MOD($G205, 10))*((INDEX(Factor!$X$4:$AC$13, _xlfn.XMATCH($G205, Factor!$X$4:$X$13, 1),5)*IF(MOD(G205, 10) = 0, 10, MOD(G205, 10)))+INDEX(Factor!$AE$4:$AJ$13, _xlfn.XMATCH(MonsterData!$G205, Factor!$AE$4:$AE$13, 1),5))</f>
        <v>13.439999999999998</v>
      </c>
      <c r="Y205" s="21" cm="1">
        <f t="array" ref="Y205">P205*VLOOKUP($I205, Factor!$B$4:$G$8, 6, 0)*VLOOKUP($J205, Factor!$B$12:$G$13, 6, 0)*VLOOKUP($K205, Factor!$B$17:$G$18, 6, 0)*VLOOKUP($H205, Factor!$J$4:$O$7, 2, 0)*VLOOKUP($F205, Factor!$Q$4:$V$15, 6, 0)*IF(MOD($G205,10)=0, 10, MOD($G205, 10))*((INDEX(Factor!$X$4:$AC$13, _xlfn.XMATCH($G205, Factor!$X$4:$X$13, 1),6)*IF(MOD(G205, 10) = 0, 10, MOD(G205, 10)))+INDEX(Factor!$AE$4:$AJ$13, _xlfn.XMATCH(MonsterData!$G205, Factor!$AE$4:$AE$13, 1),6))</f>
        <v>44.800000000000004</v>
      </c>
      <c r="Z205" s="21">
        <f>$Q205*VLOOKUP($J205, Factor!$B$12:$H$13, 7, 0)</f>
        <v>4</v>
      </c>
      <c r="AA205" s="13">
        <v>1</v>
      </c>
      <c r="AB205" s="21">
        <f t="shared" si="11"/>
        <v>4</v>
      </c>
      <c r="AC205" s="13" t="s">
        <v>139</v>
      </c>
      <c r="AD205" s="15" t="s">
        <v>142</v>
      </c>
    </row>
    <row r="206" spans="1:30" ht="15.75" customHeight="1">
      <c r="A206" s="16" t="str">
        <f>T206&amp;"_"&amp;F206&amp;VLOOKUP($C206, Factor!$AM$4:$AY$30, 7, 0)&amp;IF(COUNTIFS($C$4:C205, C206, $F$4:F205, F206)+1&gt;=100, COUNTIFS($C$4:C205, C206, $F$4:F205, F206)+1,IF(COUNTIFS($C$4:C205, C206, $F$4:F205, F206)+1&gt;=10, "0"&amp;COUNTIFS($C$4:C205, C206, $F$4:F205, F206)+1, "00"&amp;COUNTIFS($C$4:C205, C206, $F$4:F205, F206)+1))</f>
        <v>enpc_F03_A_Nymphe_005</v>
      </c>
      <c r="B206" s="16"/>
      <c r="C206" s="16" t="s">
        <v>39</v>
      </c>
      <c r="D206" s="17" t="str">
        <f t="shared" si="12"/>
        <v>님프</v>
      </c>
      <c r="E206" s="17" t="str">
        <f>VLOOKUP($C206, Factor!$AM$4:$AY$30, 8, 0)</f>
        <v>S</v>
      </c>
      <c r="F206" s="17" t="s">
        <v>111</v>
      </c>
      <c r="G206" s="20">
        <v>31</v>
      </c>
      <c r="H206" s="16" t="s">
        <v>55</v>
      </c>
      <c r="I206" s="17" t="str">
        <f>VLOOKUP($C206, Factor!$AM$4:$AY$30, 11, 0)</f>
        <v>A</v>
      </c>
      <c r="J206" s="17" t="str">
        <f>VLOOKUP($C206, Factor!$AM$4:$AY$30, 12, 0)</f>
        <v>ml</v>
      </c>
      <c r="K206" s="17" t="str">
        <f>VLOOKUP($C206, Factor!$AM$4:$AY$30, 13, 0)</f>
        <v>F</v>
      </c>
      <c r="L206" s="17">
        <v>1</v>
      </c>
      <c r="M206" s="17">
        <v>1</v>
      </c>
      <c r="N206" s="17">
        <v>1</v>
      </c>
      <c r="O206" s="17">
        <v>1</v>
      </c>
      <c r="P206" s="17">
        <v>1</v>
      </c>
      <c r="Q206" s="17">
        <v>1</v>
      </c>
      <c r="R206" s="17" t="str">
        <f>VLOOKUP($C206, Factor!$AM$4:$AY$30, 9, 0)</f>
        <v>Small</v>
      </c>
      <c r="S206" s="17" t="s">
        <v>197</v>
      </c>
      <c r="T206" s="17" t="str">
        <f>VLOOKUP($C206, Factor!$AM$4:$AY$30, 10, 0)</f>
        <v>enpc</v>
      </c>
      <c r="U206" s="17" cm="1">
        <f t="array" ref="U206">L206*VLOOKUP($I206, Factor!$B$4:$G$8, 2, 0)*VLOOKUP($J206, Factor!$B$12:$G$13, 2, 0)*VLOOKUP($K206, Factor!$B$17:$G$18, 2, 0)*VLOOKUP($H206, Factor!$J$4:$O$7, 2, 0)*VLOOKUP($F206, Factor!$Q$4:$V$15, 2, 0)*IF(MOD($G206,10)=0, 10, MOD($G206, 10))*((INDEX(Factor!$X$4:$AC$13, _xlfn.XMATCH($G206, Factor!$X$4:$X$13, 1),2)*IF(MOD(G206, 10) = 0, 10, MOD(G206, 10)))+INDEX(Factor!$AE$4:$AJ$13, _xlfn.XMATCH(MonsterData!$G206, Factor!$AE$4:$AE$13, 1),2))</f>
        <v>896</v>
      </c>
      <c r="V206" s="17" cm="1">
        <f t="array" ref="V206">M206*VLOOKUP($I206, Factor!$B$4:$G$8, 3, 0)*VLOOKUP($J206, Factor!$B$12:$G$13, 3, 0)*VLOOKUP($K206, Factor!$B$17:$G$18, 3, 0)*VLOOKUP($H206, Factor!$J$4:$O$7, 3, 0)*VLOOKUP($F206, Factor!$Q$4:$V$15, 3, 0)*IF(MOD($G206,10)=0, 10, MOD($G206, 10))*((INDEX(Factor!$X$4:$AC$13, _xlfn.XMATCH($G206, Factor!$X$4:$X$13, 1),3)*IF(MOD(G206, 10) = 0, 10, MOD(G206, 10)))+INDEX(Factor!$AE$4:$AJ$13, _xlfn.XMATCH(MonsterData!$G206, Factor!$AE$4:$AE$13, 1),3))</f>
        <v>44.800000000000004</v>
      </c>
      <c r="W206" s="17" cm="1">
        <f t="array" ref="W206">N206*VLOOKUP($I206, Factor!$B$4:$G$8, 4, 0)*VLOOKUP($J206, Factor!$B$12:$G$13, 4, 0)*VLOOKUP($K206, Factor!$B$17:$G$18, 4, 0)*VLOOKUP($H206, Factor!$J$4:$O$7, 4, 0)*VLOOKUP($F206, Factor!$Q$4:$V$15, 4, 0)*IF(MOD($G206,10)=0, 10, MOD($G206, 10))*((INDEX(Factor!$X$4:$AC$13, _xlfn.XMATCH($G206, Factor!$X$4:$X$13, 1),4)*IF(MOD(G206, 10) = 0, 10, MOD(G206, 10)))+INDEX(Factor!$AE$4:$AJ$13, _xlfn.XMATCH(MonsterData!$G206, Factor!$AE$4:$AE$13, 1),4))</f>
        <v>26.879999999999995</v>
      </c>
      <c r="X206" s="17" cm="1">
        <f t="array" ref="X206">O206*VLOOKUP($I206, Factor!$B$4:$G$8, 5, 0)*VLOOKUP($J206, Factor!$B$12:$G$13, 5, 0)*VLOOKUP($K206, Factor!$B$17:$G$18, 5, 0)*VLOOKUP($H206, Factor!$J$4:$O$7, 5, 0)*VLOOKUP($F206, Factor!$Q$4:$V$15, 5, 0)*IF(MOD($G206,10)=0, 10, MOD($G206, 10))*((INDEX(Factor!$X$4:$AC$13, _xlfn.XMATCH($G206, Factor!$X$4:$X$13, 1),5)*IF(MOD(G206, 10) = 0, 10, MOD(G206, 10)))+INDEX(Factor!$AE$4:$AJ$13, _xlfn.XMATCH(MonsterData!$G206, Factor!$AE$4:$AE$13, 1),5))</f>
        <v>8.9599999999999991</v>
      </c>
      <c r="Y206" s="17" cm="1">
        <f t="array" ref="Y206">P206*VLOOKUP($I206, Factor!$B$4:$G$8, 6, 0)*VLOOKUP($J206, Factor!$B$12:$G$13, 6, 0)*VLOOKUP($K206, Factor!$B$17:$G$18, 6, 0)*VLOOKUP($H206, Factor!$J$4:$O$7, 2, 0)*VLOOKUP($F206, Factor!$Q$4:$V$15, 6, 0)*IF(MOD($G206,10)=0, 10, MOD($G206, 10))*((INDEX(Factor!$X$4:$AC$13, _xlfn.XMATCH($G206, Factor!$X$4:$X$13, 1),6)*IF(MOD(G206, 10) = 0, 10, MOD(G206, 10)))+INDEX(Factor!$AE$4:$AJ$13, _xlfn.XMATCH(MonsterData!$G206, Factor!$AE$4:$AE$13, 1),6))</f>
        <v>134.4</v>
      </c>
      <c r="Z206" s="17">
        <f>$Q206*VLOOKUP($J206, Factor!$B$12:$H$13, 7, 0)</f>
        <v>1</v>
      </c>
      <c r="AA206" s="17">
        <v>1</v>
      </c>
      <c r="AB206" s="17">
        <f t="shared" si="11"/>
        <v>0</v>
      </c>
      <c r="AC206" s="17" t="s">
        <v>139</v>
      </c>
      <c r="AD206" s="19" t="s">
        <v>142</v>
      </c>
    </row>
    <row r="207" spans="1:30" ht="15.75" customHeight="1">
      <c r="A207" s="13" t="str">
        <f>T207&amp;"_"&amp;F207&amp;VLOOKUP($C207, Factor!$AM$4:$AY$30, 7, 0)&amp;IF(COUNTIFS($C$4:C206, C207, $F$4:F206, F207)+1&gt;=100, COUNTIFS($C$4:C206, C207, $F$4:F206, F207)+1,IF(COUNTIFS($C$4:C206, C207, $F$4:F206, F207)+1&gt;=10, "0"&amp;COUNTIFS($C$4:C206, C207, $F$4:F206, F207)+1, "00"&amp;COUNTIFS($C$4:C206, C207, $F$4:F206, F207)+1))</f>
        <v>enpc_F03_B_Golem_005</v>
      </c>
      <c r="B207" s="13"/>
      <c r="C207" s="13" t="s">
        <v>40</v>
      </c>
      <c r="D207" s="21" t="str">
        <f t="shared" si="12"/>
        <v>골렘</v>
      </c>
      <c r="E207" s="21" t="str">
        <f>VLOOKUP($C207, Factor!$AM$4:$AY$30, 8, 0)</f>
        <v>B</v>
      </c>
      <c r="F207" s="21" t="s">
        <v>111</v>
      </c>
      <c r="G207" s="22">
        <v>50</v>
      </c>
      <c r="H207" s="13" t="s">
        <v>57</v>
      </c>
      <c r="I207" s="21" t="str">
        <f>VLOOKUP($C207, Factor!$AM$4:$AY$30, 11, 0)</f>
        <v>B</v>
      </c>
      <c r="J207" s="21" t="str">
        <f>VLOOKUP($C207, Factor!$AM$4:$AY$30, 12, 0)</f>
        <v>ml</v>
      </c>
      <c r="K207" s="21" t="str">
        <f>VLOOKUP($C207, Factor!$AM$4:$AY$30, 13, 0)</f>
        <v>L</v>
      </c>
      <c r="L207" s="13">
        <v>1</v>
      </c>
      <c r="M207" s="13">
        <v>1</v>
      </c>
      <c r="N207" s="13">
        <v>1</v>
      </c>
      <c r="O207" s="13">
        <v>1</v>
      </c>
      <c r="P207" s="13">
        <v>1</v>
      </c>
      <c r="Q207" s="13">
        <v>1</v>
      </c>
      <c r="R207" s="21" t="str">
        <f>VLOOKUP($C207, Factor!$AM$4:$AY$30, 9, 0)</f>
        <v>Big</v>
      </c>
      <c r="S207" s="13" t="s">
        <v>398</v>
      </c>
      <c r="T207" s="21" t="str">
        <f>VLOOKUP($C207, Factor!$AM$4:$AY$30, 10, 0)</f>
        <v>enpc</v>
      </c>
      <c r="U207" s="21" cm="1">
        <f t="array" ref="U207">L207*VLOOKUP($I207, Factor!$B$4:$G$8, 2, 0)*VLOOKUP($J207, Factor!$B$12:$G$13, 2, 0)*VLOOKUP($K207, Factor!$B$17:$G$18, 2, 0)*VLOOKUP($H207, Factor!$J$4:$O$7, 2, 0)*VLOOKUP($F207, Factor!$Q$4:$V$15, 2, 0)*IF(MOD($G207,10)=0, 10, MOD($G207, 10))*((INDEX(Factor!$X$4:$AC$13, _xlfn.XMATCH($G207, Factor!$X$4:$X$13, 1),2)*IF(MOD(G207, 10) = 0, 10, MOD(G207, 10)))+INDEX(Factor!$AE$4:$AJ$13, _xlfn.XMATCH(MonsterData!$G207, Factor!$AE$4:$AE$13, 1),2))</f>
        <v>315000</v>
      </c>
      <c r="V207" s="21" cm="1">
        <f t="array" ref="V207">M207*VLOOKUP($I207, Factor!$B$4:$G$8, 3, 0)*VLOOKUP($J207, Factor!$B$12:$G$13, 3, 0)*VLOOKUP($K207, Factor!$B$17:$G$18, 3, 0)*VLOOKUP($H207, Factor!$J$4:$O$7, 3, 0)*VLOOKUP($F207, Factor!$Q$4:$V$15, 3, 0)*IF(MOD($G207,10)=0, 10, MOD($G207, 10))*((INDEX(Factor!$X$4:$AC$13, _xlfn.XMATCH($G207, Factor!$X$4:$X$13, 1),3)*IF(MOD(G207, 10) = 0, 10, MOD(G207, 10)))+INDEX(Factor!$AE$4:$AJ$13, _xlfn.XMATCH(MonsterData!$G207, Factor!$AE$4:$AE$13, 1),3))</f>
        <v>15750</v>
      </c>
      <c r="W207" s="21" cm="1">
        <f t="array" ref="W207">N207*VLOOKUP($I207, Factor!$B$4:$G$8, 4, 0)*VLOOKUP($J207, Factor!$B$12:$G$13, 4, 0)*VLOOKUP($K207, Factor!$B$17:$G$18, 4, 0)*VLOOKUP($H207, Factor!$J$4:$O$7, 4, 0)*VLOOKUP($F207, Factor!$Q$4:$V$15, 4, 0)*IF(MOD($G207,10)=0, 10, MOD($G207, 10))*((INDEX(Factor!$X$4:$AC$13, _xlfn.XMATCH($G207, Factor!$X$4:$X$13, 1),4)*IF(MOD(G207, 10) = 0, 10, MOD(G207, 10)))+INDEX(Factor!$AE$4:$AJ$13, _xlfn.XMATCH(MonsterData!$G207, Factor!$AE$4:$AE$13, 1),4))</f>
        <v>787.5</v>
      </c>
      <c r="X207" s="21" cm="1">
        <f t="array" ref="X207">O207*VLOOKUP($I207, Factor!$B$4:$G$8, 5, 0)*VLOOKUP($J207, Factor!$B$12:$G$13, 5, 0)*VLOOKUP($K207, Factor!$B$17:$G$18, 5, 0)*VLOOKUP($H207, Factor!$J$4:$O$7, 5, 0)*VLOOKUP($F207, Factor!$Q$4:$V$15, 5, 0)*IF(MOD($G207,10)=0, 10, MOD($G207, 10))*((INDEX(Factor!$X$4:$AC$13, _xlfn.XMATCH($G207, Factor!$X$4:$X$13, 1),5)*IF(MOD(G207, 10) = 0, 10, MOD(G207, 10)))+INDEX(Factor!$AE$4:$AJ$13, _xlfn.XMATCH(MonsterData!$G207, Factor!$AE$4:$AE$13, 1),5))</f>
        <v>840</v>
      </c>
      <c r="Y207" s="21" cm="1">
        <f t="array" ref="Y207">P207*VLOOKUP($I207, Factor!$B$4:$G$8, 6, 0)*VLOOKUP($J207, Factor!$B$12:$G$13, 6, 0)*VLOOKUP($K207, Factor!$B$17:$G$18, 6, 0)*VLOOKUP($H207, Factor!$J$4:$O$7, 2, 0)*VLOOKUP($F207, Factor!$Q$4:$V$15, 6, 0)*IF(MOD($G207,10)=0, 10, MOD($G207, 10))*((INDEX(Factor!$X$4:$AC$13, _xlfn.XMATCH($G207, Factor!$X$4:$X$13, 1),6)*IF(MOD(G207, 10) = 0, 10, MOD(G207, 10)))+INDEX(Factor!$AE$4:$AJ$13, _xlfn.XMATCH(MonsterData!$G207, Factor!$AE$4:$AE$13, 1),6))</f>
        <v>1680</v>
      </c>
      <c r="Z207" s="21">
        <f>$Q207*VLOOKUP($J207, Factor!$B$12:$H$13, 7, 0)</f>
        <v>1</v>
      </c>
      <c r="AA207" s="13">
        <v>1</v>
      </c>
      <c r="AB207" s="21">
        <f t="shared" si="11"/>
        <v>0</v>
      </c>
      <c r="AC207" s="13" t="s">
        <v>140</v>
      </c>
      <c r="AD207" s="15" t="s">
        <v>143</v>
      </c>
    </row>
    <row r="208" spans="1:30" ht="15.75" customHeight="1">
      <c r="A208" s="16" t="str">
        <f>T208&amp;"_"&amp;F208&amp;VLOOKUP($C208, Factor!$AM$4:$AY$30, 7, 0)&amp;IF(COUNTIFS($C$4:C207, C208, $F$4:F207, F208)+1&gt;=100, COUNTIFS($C$4:C207, C208, $F$4:F207, F208)+1,IF(COUNTIFS($C$4:C207, C208, $F$4:F207, F208)+1&gt;=10, "0"&amp;COUNTIFS($C$4:C207, C208, $F$4:F207, F208)+1, "00"&amp;COUNTIFS($C$4:C207, C208, $F$4:F207, F208)+1))</f>
        <v>enpc_F03_B_Banshee_005</v>
      </c>
      <c r="B208" s="16"/>
      <c r="C208" s="16" t="s">
        <v>42</v>
      </c>
      <c r="D208" s="17" t="str">
        <f t="shared" si="12"/>
        <v>밴시</v>
      </c>
      <c r="E208" s="17" t="str">
        <f>VLOOKUP($C208, Factor!$AM$4:$AY$30, 8, 0)</f>
        <v>S</v>
      </c>
      <c r="F208" s="17" t="s">
        <v>111</v>
      </c>
      <c r="G208" s="20">
        <v>50</v>
      </c>
      <c r="H208" s="16" t="s">
        <v>56</v>
      </c>
      <c r="I208" s="17" t="str">
        <f>VLOOKUP($C208, Factor!$AM$4:$AY$30, 11, 0)</f>
        <v>B</v>
      </c>
      <c r="J208" s="17" t="str">
        <f>VLOOKUP($C208, Factor!$AM$4:$AY$30, 12, 0)</f>
        <v>ra</v>
      </c>
      <c r="K208" s="17" t="str">
        <f>VLOOKUP($C208, Factor!$AM$4:$AY$30, 13, 0)</f>
        <v>L</v>
      </c>
      <c r="L208" s="17">
        <v>1</v>
      </c>
      <c r="M208" s="17">
        <v>1</v>
      </c>
      <c r="N208" s="17">
        <v>1</v>
      </c>
      <c r="O208" s="17">
        <v>1</v>
      </c>
      <c r="P208" s="17">
        <v>1</v>
      </c>
      <c r="Q208" s="17">
        <v>1</v>
      </c>
      <c r="R208" s="17" t="str">
        <f>VLOOKUP($C208, Factor!$AM$4:$AY$30, 9, 0)</f>
        <v>Midium</v>
      </c>
      <c r="S208" s="17" t="s">
        <v>198</v>
      </c>
      <c r="T208" s="17" t="str">
        <f>VLOOKUP($C208, Factor!$AM$4:$AY$30, 10, 0)</f>
        <v>enpc</v>
      </c>
      <c r="U208" s="17" cm="1">
        <f t="array" ref="U208">L208*VLOOKUP($I208, Factor!$B$4:$G$8, 2, 0)*VLOOKUP($J208, Factor!$B$12:$G$13, 2, 0)*VLOOKUP($K208, Factor!$B$17:$G$18, 2, 0)*VLOOKUP($H208, Factor!$J$4:$O$7, 2, 0)*VLOOKUP($F208, Factor!$Q$4:$V$15, 2, 0)*IF(MOD($G208,10)=0, 10, MOD($G208, 10))*((INDEX(Factor!$X$4:$AC$13, _xlfn.XMATCH($G208, Factor!$X$4:$X$13, 1),2)*IF(MOD(G208, 10) = 0, 10, MOD(G208, 10)))+INDEX(Factor!$AE$4:$AJ$13, _xlfn.XMATCH(MonsterData!$G208, Factor!$AE$4:$AE$13, 1),2))</f>
        <v>126000</v>
      </c>
      <c r="V208" s="17" cm="1">
        <f t="array" ref="V208">M208*VLOOKUP($I208, Factor!$B$4:$G$8, 3, 0)*VLOOKUP($J208, Factor!$B$12:$G$13, 3, 0)*VLOOKUP($K208, Factor!$B$17:$G$18, 3, 0)*VLOOKUP($H208, Factor!$J$4:$O$7, 3, 0)*VLOOKUP($F208, Factor!$Q$4:$V$15, 3, 0)*IF(MOD($G208,10)=0, 10, MOD($G208, 10))*((INDEX(Factor!$X$4:$AC$13, _xlfn.XMATCH($G208, Factor!$X$4:$X$13, 1),3)*IF(MOD(G208, 10) = 0, 10, MOD(G208, 10)))+INDEX(Factor!$AE$4:$AJ$13, _xlfn.XMATCH(MonsterData!$G208, Factor!$AE$4:$AE$13, 1),3))</f>
        <v>6300</v>
      </c>
      <c r="W208" s="17" cm="1">
        <f t="array" ref="W208">N208*VLOOKUP($I208, Factor!$B$4:$G$8, 4, 0)*VLOOKUP($J208, Factor!$B$12:$G$13, 4, 0)*VLOOKUP($K208, Factor!$B$17:$G$18, 4, 0)*VLOOKUP($H208, Factor!$J$4:$O$7, 4, 0)*VLOOKUP($F208, Factor!$Q$4:$V$15, 4, 0)*IF(MOD($G208,10)=0, 10, MOD($G208, 10))*((INDEX(Factor!$X$4:$AC$13, _xlfn.XMATCH($G208, Factor!$X$4:$X$13, 1),4)*IF(MOD(G208, 10) = 0, 10, MOD(G208, 10)))+INDEX(Factor!$AE$4:$AJ$13, _xlfn.XMATCH(MonsterData!$G208, Factor!$AE$4:$AE$13, 1),4))</f>
        <v>18899.999999999996</v>
      </c>
      <c r="X208" s="17" cm="1">
        <f t="array" ref="X208">O208*VLOOKUP($I208, Factor!$B$4:$G$8, 5, 0)*VLOOKUP($J208, Factor!$B$12:$G$13, 5, 0)*VLOOKUP($K208, Factor!$B$17:$G$18, 5, 0)*VLOOKUP($H208, Factor!$J$4:$O$7, 5, 0)*VLOOKUP($F208, Factor!$Q$4:$V$15, 5, 0)*IF(MOD($G208,10)=0, 10, MOD($G208, 10))*((INDEX(Factor!$X$4:$AC$13, _xlfn.XMATCH($G208, Factor!$X$4:$X$13, 1),5)*IF(MOD(G208, 10) = 0, 10, MOD(G208, 10)))+INDEX(Factor!$AE$4:$AJ$13, _xlfn.XMATCH(MonsterData!$G208, Factor!$AE$4:$AE$13, 1),5))</f>
        <v>567</v>
      </c>
      <c r="Y208" s="17" cm="1">
        <f t="array" ref="Y208">P208*VLOOKUP($I208, Factor!$B$4:$G$8, 6, 0)*VLOOKUP($J208, Factor!$B$12:$G$13, 6, 0)*VLOOKUP($K208, Factor!$B$17:$G$18, 6, 0)*VLOOKUP($H208, Factor!$J$4:$O$7, 2, 0)*VLOOKUP($F208, Factor!$Q$4:$V$15, 6, 0)*IF(MOD($G208,10)=0, 10, MOD($G208, 10))*((INDEX(Factor!$X$4:$AC$13, _xlfn.XMATCH($G208, Factor!$X$4:$X$13, 1),6)*IF(MOD(G208, 10) = 0, 10, MOD(G208, 10)))+INDEX(Factor!$AE$4:$AJ$13, _xlfn.XMATCH(MonsterData!$G208, Factor!$AE$4:$AE$13, 1),6))</f>
        <v>840</v>
      </c>
      <c r="Z208" s="17">
        <f>$Q208*VLOOKUP($J208, Factor!$B$12:$H$13, 7, 0)</f>
        <v>4</v>
      </c>
      <c r="AA208" s="17">
        <v>1</v>
      </c>
      <c r="AB208" s="17">
        <f t="shared" si="11"/>
        <v>4</v>
      </c>
      <c r="AC208" s="17" t="s">
        <v>141</v>
      </c>
      <c r="AD208" s="19" t="s">
        <v>144</v>
      </c>
    </row>
    <row r="209" spans="1:30" ht="15.75" customHeight="1">
      <c r="A209" s="13" t="str">
        <f>T209&amp;"_"&amp;F209&amp;VLOOKUP($C209, Factor!$AM$4:$AY$30, 7, 0)&amp;IF(COUNTIFS($C$4:C208, C209, $F$4:F208, F209)+1&gt;=100, COUNTIFS($C$4:C208, C209, $F$4:F208, F209)+1,IF(COUNTIFS($C$4:C208, C209, $F$4:F208, F209)+1&gt;=10, "0"&amp;COUNTIFS($C$4:C208, C209, $F$4:F208, F209)+1, "00"&amp;COUNTIFS($C$4:C208, C209, $F$4:F208, F209)+1))</f>
        <v>enpc_F03_A_Scarab_005</v>
      </c>
      <c r="B209" s="13"/>
      <c r="C209" s="13" t="s">
        <v>353</v>
      </c>
      <c r="D209" s="21" t="str">
        <f t="shared" si="12"/>
        <v>스캐럽</v>
      </c>
      <c r="E209" s="21" t="str">
        <f>VLOOKUP($C209, Factor!$AM$4:$AY$30, 8, 0)</f>
        <v>S</v>
      </c>
      <c r="F209" s="21" t="s">
        <v>111</v>
      </c>
      <c r="G209" s="22">
        <v>31</v>
      </c>
      <c r="H209" s="13" t="s">
        <v>55</v>
      </c>
      <c r="I209" s="21" t="str">
        <f>VLOOKUP($C209, Factor!$AM$4:$AY$30, 11, 0)</f>
        <v>A</v>
      </c>
      <c r="J209" s="21" t="str">
        <f>VLOOKUP($C209, Factor!$AM$4:$AY$30, 12, 0)</f>
        <v>ml</v>
      </c>
      <c r="K209" s="21" t="str">
        <f>VLOOKUP($C209, Factor!$AM$4:$AY$30, 13, 0)</f>
        <v>L</v>
      </c>
      <c r="L209" s="13">
        <v>1</v>
      </c>
      <c r="M209" s="13">
        <v>1</v>
      </c>
      <c r="N209" s="13">
        <v>1</v>
      </c>
      <c r="O209" s="13">
        <v>1</v>
      </c>
      <c r="P209" s="13">
        <v>1</v>
      </c>
      <c r="Q209" s="13">
        <v>1</v>
      </c>
      <c r="R209" s="21" t="str">
        <f>VLOOKUP($C209, Factor!$AM$4:$AY$30, 9, 0)</f>
        <v>Midium</v>
      </c>
      <c r="S209" s="13" t="s">
        <v>399</v>
      </c>
      <c r="T209" s="21" t="str">
        <f>VLOOKUP($C209, Factor!$AM$4:$AY$30, 10, 0)</f>
        <v>enpc</v>
      </c>
      <c r="U209" s="21" cm="1">
        <f t="array" ref="U209">L209*VLOOKUP($I209, Factor!$B$4:$G$8, 2, 0)*VLOOKUP($J209, Factor!$B$12:$G$13, 2, 0)*VLOOKUP($K209, Factor!$B$17:$G$18, 2, 0)*VLOOKUP($H209, Factor!$J$4:$O$7, 2, 0)*VLOOKUP($F209, Factor!$Q$4:$V$15, 2, 0)*IF(MOD($G209,10)=0, 10, MOD($G209, 10))*((INDEX(Factor!$X$4:$AC$13, _xlfn.XMATCH($G209, Factor!$X$4:$X$13, 1),2)*IF(MOD(G209, 10) = 0, 10, MOD(G209, 10)))+INDEX(Factor!$AE$4:$AJ$13, _xlfn.XMATCH(MonsterData!$G209, Factor!$AE$4:$AE$13, 1),2))</f>
        <v>1344</v>
      </c>
      <c r="V209" s="21" cm="1">
        <f t="array" ref="V209">M209*VLOOKUP($I209, Factor!$B$4:$G$8, 3, 0)*VLOOKUP($J209, Factor!$B$12:$G$13, 3, 0)*VLOOKUP($K209, Factor!$B$17:$G$18, 3, 0)*VLOOKUP($H209, Factor!$J$4:$O$7, 3, 0)*VLOOKUP($F209, Factor!$Q$4:$V$15, 3, 0)*IF(MOD($G209,10)=0, 10, MOD($G209, 10))*((INDEX(Factor!$X$4:$AC$13, _xlfn.XMATCH($G209, Factor!$X$4:$X$13, 1),3)*IF(MOD(G209, 10) = 0, 10, MOD(G209, 10)))+INDEX(Factor!$AE$4:$AJ$13, _xlfn.XMATCH(MonsterData!$G209, Factor!$AE$4:$AE$13, 1),3))</f>
        <v>67.2</v>
      </c>
      <c r="W209" s="21" cm="1">
        <f t="array" ref="W209">N209*VLOOKUP($I209, Factor!$B$4:$G$8, 4, 0)*VLOOKUP($J209, Factor!$B$12:$G$13, 4, 0)*VLOOKUP($K209, Factor!$B$17:$G$18, 4, 0)*VLOOKUP($H209, Factor!$J$4:$O$7, 4, 0)*VLOOKUP($F209, Factor!$Q$4:$V$15, 4, 0)*IF(MOD($G209,10)=0, 10, MOD($G209, 10))*((INDEX(Factor!$X$4:$AC$13, _xlfn.XMATCH($G209, Factor!$X$4:$X$13, 1),4)*IF(MOD(G209, 10) = 0, 10, MOD(G209, 10)))+INDEX(Factor!$AE$4:$AJ$13, _xlfn.XMATCH(MonsterData!$G209, Factor!$AE$4:$AE$13, 1),4))</f>
        <v>40.32</v>
      </c>
      <c r="X209" s="21" cm="1">
        <f t="array" ref="X209">O209*VLOOKUP($I209, Factor!$B$4:$G$8, 5, 0)*VLOOKUP($J209, Factor!$B$12:$G$13, 5, 0)*VLOOKUP($K209, Factor!$B$17:$G$18, 5, 0)*VLOOKUP($H209, Factor!$J$4:$O$7, 5, 0)*VLOOKUP($F209, Factor!$Q$4:$V$15, 5, 0)*IF(MOD($G209,10)=0, 10, MOD($G209, 10))*((INDEX(Factor!$X$4:$AC$13, _xlfn.XMATCH($G209, Factor!$X$4:$X$13, 1),5)*IF(MOD(G209, 10) = 0, 10, MOD(G209, 10)))+INDEX(Factor!$AE$4:$AJ$13, _xlfn.XMATCH(MonsterData!$G209, Factor!$AE$4:$AE$13, 1),5))</f>
        <v>8.9599999999999991</v>
      </c>
      <c r="Y209" s="21" cm="1">
        <f t="array" ref="Y209">P209*VLOOKUP($I209, Factor!$B$4:$G$8, 6, 0)*VLOOKUP($J209, Factor!$B$12:$G$13, 6, 0)*VLOOKUP($K209, Factor!$B$17:$G$18, 6, 0)*VLOOKUP($H209, Factor!$J$4:$O$7, 2, 0)*VLOOKUP($F209, Factor!$Q$4:$V$15, 6, 0)*IF(MOD($G209,10)=0, 10, MOD($G209, 10))*((INDEX(Factor!$X$4:$AC$13, _xlfn.XMATCH($G209, Factor!$X$4:$X$13, 1),6)*IF(MOD(G209, 10) = 0, 10, MOD(G209, 10)))+INDEX(Factor!$AE$4:$AJ$13, _xlfn.XMATCH(MonsterData!$G209, Factor!$AE$4:$AE$13, 1),6))</f>
        <v>44.800000000000004</v>
      </c>
      <c r="Z209" s="21">
        <f>$Q209*VLOOKUP($J209, Factor!$B$12:$H$13, 7, 0)</f>
        <v>1</v>
      </c>
      <c r="AA209" s="13">
        <v>1</v>
      </c>
      <c r="AB209" s="21">
        <f t="shared" si="11"/>
        <v>0</v>
      </c>
      <c r="AC209" s="13" t="s">
        <v>139</v>
      </c>
      <c r="AD209" s="15" t="s">
        <v>387</v>
      </c>
    </row>
    <row r="210" spans="1:30" ht="15.75" customHeight="1">
      <c r="A210" s="16" t="str">
        <f>T210&amp;"_"&amp;F210&amp;VLOOKUP($C210, Factor!$AM$4:$AY$30, 7, 0)&amp;IF(COUNTIFS($C$4:C209, C210, $F$4:F209, F210)+1&gt;=100, COUNTIFS($C$4:C209, C210, $F$4:F209, F210)+1,IF(COUNTIFS($C$4:C209, C210, $F$4:F209, F210)+1&gt;=10, "0"&amp;COUNTIFS($C$4:C209, C210, $F$4:F209, F210)+1, "00"&amp;COUNTIFS($C$4:C209, C210, $F$4:F209, F210)+1))</f>
        <v>enpc_F03_A_Swarmlet_005</v>
      </c>
      <c r="B210" s="16"/>
      <c r="C210" s="16" t="s">
        <v>355</v>
      </c>
      <c r="D210" s="17" t="str">
        <f t="shared" si="12"/>
        <v>스웜렛</v>
      </c>
      <c r="E210" s="17" t="str">
        <f>VLOOKUP($C210, Factor!$AM$4:$AY$30, 8, 0)</f>
        <v>B</v>
      </c>
      <c r="F210" s="17" t="s">
        <v>111</v>
      </c>
      <c r="G210" s="20">
        <v>31</v>
      </c>
      <c r="H210" s="16" t="s">
        <v>56</v>
      </c>
      <c r="I210" s="17" t="str">
        <f>VLOOKUP($C210, Factor!$AM$4:$AY$30, 11, 0)</f>
        <v>A</v>
      </c>
      <c r="J210" s="17" t="str">
        <f>VLOOKUP($C210, Factor!$AM$4:$AY$30, 12, 0)</f>
        <v>ml</v>
      </c>
      <c r="K210" s="17" t="str">
        <f>VLOOKUP($C210, Factor!$AM$4:$AY$30, 13, 0)</f>
        <v>L</v>
      </c>
      <c r="L210" s="17">
        <v>1</v>
      </c>
      <c r="M210" s="17">
        <v>1</v>
      </c>
      <c r="N210" s="17">
        <v>1</v>
      </c>
      <c r="O210" s="17">
        <v>1</v>
      </c>
      <c r="P210" s="17">
        <v>1</v>
      </c>
      <c r="Q210" s="17">
        <v>1</v>
      </c>
      <c r="R210" s="17" t="str">
        <f>VLOOKUP($C210, Factor!$AM$4:$AY$30, 9, 0)</f>
        <v>Small</v>
      </c>
      <c r="S210" s="17" t="s">
        <v>376</v>
      </c>
      <c r="T210" s="17" t="str">
        <f>VLOOKUP($C210, Factor!$AM$4:$AY$30, 10, 0)</f>
        <v>enpc</v>
      </c>
      <c r="U210" s="17" cm="1">
        <f t="array" ref="U210">L210*VLOOKUP($I210, Factor!$B$4:$G$8, 2, 0)*VLOOKUP($J210, Factor!$B$12:$G$13, 2, 0)*VLOOKUP($K210, Factor!$B$17:$G$18, 2, 0)*VLOOKUP($H210, Factor!$J$4:$O$7, 2, 0)*VLOOKUP($F210, Factor!$Q$4:$V$15, 2, 0)*IF(MOD($G210,10)=0, 10, MOD($G210, 10))*((INDEX(Factor!$X$4:$AC$13, _xlfn.XMATCH($G210, Factor!$X$4:$X$13, 1),2)*IF(MOD(G210, 10) = 0, 10, MOD(G210, 10)))+INDEX(Factor!$AE$4:$AJ$13, _xlfn.XMATCH(MonsterData!$G210, Factor!$AE$4:$AE$13, 1),2))</f>
        <v>1344</v>
      </c>
      <c r="V210" s="17" cm="1">
        <f t="array" ref="V210">M210*VLOOKUP($I210, Factor!$B$4:$G$8, 3, 0)*VLOOKUP($J210, Factor!$B$12:$G$13, 3, 0)*VLOOKUP($K210, Factor!$B$17:$G$18, 3, 0)*VLOOKUP($H210, Factor!$J$4:$O$7, 3, 0)*VLOOKUP($F210, Factor!$Q$4:$V$15, 3, 0)*IF(MOD($G210,10)=0, 10, MOD($G210, 10))*((INDEX(Factor!$X$4:$AC$13, _xlfn.XMATCH($G210, Factor!$X$4:$X$13, 1),3)*IF(MOD(G210, 10) = 0, 10, MOD(G210, 10)))+INDEX(Factor!$AE$4:$AJ$13, _xlfn.XMATCH(MonsterData!$G210, Factor!$AE$4:$AE$13, 1),3))</f>
        <v>67.2</v>
      </c>
      <c r="W210" s="17" cm="1">
        <f t="array" ref="W210">N210*VLOOKUP($I210, Factor!$B$4:$G$8, 4, 0)*VLOOKUP($J210, Factor!$B$12:$G$13, 4, 0)*VLOOKUP($K210, Factor!$B$17:$G$18, 4, 0)*VLOOKUP($H210, Factor!$J$4:$O$7, 4, 0)*VLOOKUP($F210, Factor!$Q$4:$V$15, 4, 0)*IF(MOD($G210,10)=0, 10, MOD($G210, 10))*((INDEX(Factor!$X$4:$AC$13, _xlfn.XMATCH($G210, Factor!$X$4:$X$13, 1),4)*IF(MOD(G210, 10) = 0, 10, MOD(G210, 10)))+INDEX(Factor!$AE$4:$AJ$13, _xlfn.XMATCH(MonsterData!$G210, Factor!$AE$4:$AE$13, 1),4))</f>
        <v>80.64</v>
      </c>
      <c r="X210" s="17" cm="1">
        <f t="array" ref="X210">O210*VLOOKUP($I210, Factor!$B$4:$G$8, 5, 0)*VLOOKUP($J210, Factor!$B$12:$G$13, 5, 0)*VLOOKUP($K210, Factor!$B$17:$G$18, 5, 0)*VLOOKUP($H210, Factor!$J$4:$O$7, 5, 0)*VLOOKUP($F210, Factor!$Q$4:$V$15, 5, 0)*IF(MOD($G210,10)=0, 10, MOD($G210, 10))*((INDEX(Factor!$X$4:$AC$13, _xlfn.XMATCH($G210, Factor!$X$4:$X$13, 1),5)*IF(MOD(G210, 10) = 0, 10, MOD(G210, 10)))+INDEX(Factor!$AE$4:$AJ$13, _xlfn.XMATCH(MonsterData!$G210, Factor!$AE$4:$AE$13, 1),5))</f>
        <v>8.0640000000000001</v>
      </c>
      <c r="Y210" s="17" cm="1">
        <f t="array" ref="Y210">P210*VLOOKUP($I210, Factor!$B$4:$G$8, 6, 0)*VLOOKUP($J210, Factor!$B$12:$G$13, 6, 0)*VLOOKUP($K210, Factor!$B$17:$G$18, 6, 0)*VLOOKUP($H210, Factor!$J$4:$O$7, 2, 0)*VLOOKUP($F210, Factor!$Q$4:$V$15, 6, 0)*IF(MOD($G210,10)=0, 10, MOD($G210, 10))*((INDEX(Factor!$X$4:$AC$13, _xlfn.XMATCH($G210, Factor!$X$4:$X$13, 1),6)*IF(MOD(G210, 10) = 0, 10, MOD(G210, 10)))+INDEX(Factor!$AE$4:$AJ$13, _xlfn.XMATCH(MonsterData!$G210, Factor!$AE$4:$AE$13, 1),6))</f>
        <v>44.800000000000004</v>
      </c>
      <c r="Z210" s="17">
        <f>$Q210*VLOOKUP($J210, Factor!$B$12:$H$13, 7, 0)</f>
        <v>1</v>
      </c>
      <c r="AA210" s="17">
        <v>1</v>
      </c>
      <c r="AB210" s="17">
        <f t="shared" si="11"/>
        <v>0</v>
      </c>
      <c r="AC210" s="17" t="s">
        <v>139</v>
      </c>
      <c r="AD210" s="19" t="s">
        <v>387</v>
      </c>
    </row>
    <row r="211" spans="1:30" ht="15.75" customHeight="1">
      <c r="A211" s="13" t="str">
        <f>T211&amp;"_"&amp;F211&amp;VLOOKUP($C211, Factor!$AM$4:$AY$30, 7, 0)&amp;IF(COUNTIFS($C$4:C210, C211, $F$4:F210, F211)+1&gt;=100, COUNTIFS($C$4:C210, C211, $F$4:F210, F211)+1,IF(COUNTIFS($C$4:C210, C211, $F$4:F210, F211)+1&gt;=10, "0"&amp;COUNTIFS($C$4:C210, C211, $F$4:F210, F211)+1, "00"&amp;COUNTIFS($C$4:C210, C211, $F$4:F210, F211)+1))</f>
        <v>enpc_F03_A_Mantis_005</v>
      </c>
      <c r="B211" s="13"/>
      <c r="C211" s="13" t="s">
        <v>357</v>
      </c>
      <c r="D211" s="21" t="str">
        <f t="shared" si="12"/>
        <v>맨티스</v>
      </c>
      <c r="E211" s="21" t="str">
        <f>VLOOKUP($C211, Factor!$AM$4:$AY$30, 8, 0)</f>
        <v>S</v>
      </c>
      <c r="F211" s="21" t="s">
        <v>111</v>
      </c>
      <c r="G211" s="22">
        <v>31</v>
      </c>
      <c r="H211" s="13" t="s">
        <v>55</v>
      </c>
      <c r="I211" s="21" t="str">
        <f>VLOOKUP($C211, Factor!$AM$4:$AY$30, 11, 0)</f>
        <v>A</v>
      </c>
      <c r="J211" s="21" t="str">
        <f>VLOOKUP($C211, Factor!$AM$4:$AY$30, 12, 0)</f>
        <v>ml</v>
      </c>
      <c r="K211" s="21" t="str">
        <f>VLOOKUP($C211, Factor!$AM$4:$AY$30, 13, 0)</f>
        <v>L</v>
      </c>
      <c r="L211" s="13">
        <v>1</v>
      </c>
      <c r="M211" s="13">
        <v>1</v>
      </c>
      <c r="N211" s="13">
        <v>1</v>
      </c>
      <c r="O211" s="13">
        <v>1</v>
      </c>
      <c r="P211" s="13">
        <v>1</v>
      </c>
      <c r="Q211" s="13">
        <v>1</v>
      </c>
      <c r="R211" s="21" t="str">
        <f>VLOOKUP($C211, Factor!$AM$4:$AY$30, 9, 0)</f>
        <v>Small</v>
      </c>
      <c r="S211" s="13" t="s">
        <v>400</v>
      </c>
      <c r="T211" s="21" t="str">
        <f>VLOOKUP($C211, Factor!$AM$4:$AY$30, 10, 0)</f>
        <v>enpc</v>
      </c>
      <c r="U211" s="21" cm="1">
        <f t="array" ref="U211">L211*VLOOKUP($I211, Factor!$B$4:$G$8, 2, 0)*VLOOKUP($J211, Factor!$B$12:$G$13, 2, 0)*VLOOKUP($K211, Factor!$B$17:$G$18, 2, 0)*VLOOKUP($H211, Factor!$J$4:$O$7, 2, 0)*VLOOKUP($F211, Factor!$Q$4:$V$15, 2, 0)*IF(MOD($G211,10)=0, 10, MOD($G211, 10))*((INDEX(Factor!$X$4:$AC$13, _xlfn.XMATCH($G211, Factor!$X$4:$X$13, 1),2)*IF(MOD(G211, 10) = 0, 10, MOD(G211, 10)))+INDEX(Factor!$AE$4:$AJ$13, _xlfn.XMATCH(MonsterData!$G211, Factor!$AE$4:$AE$13, 1),2))</f>
        <v>1344</v>
      </c>
      <c r="V211" s="21" cm="1">
        <f t="array" ref="V211">M211*VLOOKUP($I211, Factor!$B$4:$G$8, 3, 0)*VLOOKUP($J211, Factor!$B$12:$G$13, 3, 0)*VLOOKUP($K211, Factor!$B$17:$G$18, 3, 0)*VLOOKUP($H211, Factor!$J$4:$O$7, 3, 0)*VLOOKUP($F211, Factor!$Q$4:$V$15, 3, 0)*IF(MOD($G211,10)=0, 10, MOD($G211, 10))*((INDEX(Factor!$X$4:$AC$13, _xlfn.XMATCH($G211, Factor!$X$4:$X$13, 1),3)*IF(MOD(G211, 10) = 0, 10, MOD(G211, 10)))+INDEX(Factor!$AE$4:$AJ$13, _xlfn.XMATCH(MonsterData!$G211, Factor!$AE$4:$AE$13, 1),3))</f>
        <v>67.2</v>
      </c>
      <c r="W211" s="21" cm="1">
        <f t="array" ref="W211">N211*VLOOKUP($I211, Factor!$B$4:$G$8, 4, 0)*VLOOKUP($J211, Factor!$B$12:$G$13, 4, 0)*VLOOKUP($K211, Factor!$B$17:$G$18, 4, 0)*VLOOKUP($H211, Factor!$J$4:$O$7, 4, 0)*VLOOKUP($F211, Factor!$Q$4:$V$15, 4, 0)*IF(MOD($G211,10)=0, 10, MOD($G211, 10))*((INDEX(Factor!$X$4:$AC$13, _xlfn.XMATCH($G211, Factor!$X$4:$X$13, 1),4)*IF(MOD(G211, 10) = 0, 10, MOD(G211, 10)))+INDEX(Factor!$AE$4:$AJ$13, _xlfn.XMATCH(MonsterData!$G211, Factor!$AE$4:$AE$13, 1),4))</f>
        <v>40.32</v>
      </c>
      <c r="X211" s="21" cm="1">
        <f t="array" ref="X211">O211*VLOOKUP($I211, Factor!$B$4:$G$8, 5, 0)*VLOOKUP($J211, Factor!$B$12:$G$13, 5, 0)*VLOOKUP($K211, Factor!$B$17:$G$18, 5, 0)*VLOOKUP($H211, Factor!$J$4:$O$7, 5, 0)*VLOOKUP($F211, Factor!$Q$4:$V$15, 5, 0)*IF(MOD($G211,10)=0, 10, MOD($G211, 10))*((INDEX(Factor!$X$4:$AC$13, _xlfn.XMATCH($G211, Factor!$X$4:$X$13, 1),5)*IF(MOD(G211, 10) = 0, 10, MOD(G211, 10)))+INDEX(Factor!$AE$4:$AJ$13, _xlfn.XMATCH(MonsterData!$G211, Factor!$AE$4:$AE$13, 1),5))</f>
        <v>8.9599999999999991</v>
      </c>
      <c r="Y211" s="21" cm="1">
        <f t="array" ref="Y211">P211*VLOOKUP($I211, Factor!$B$4:$G$8, 6, 0)*VLOOKUP($J211, Factor!$B$12:$G$13, 6, 0)*VLOOKUP($K211, Factor!$B$17:$G$18, 6, 0)*VLOOKUP($H211, Factor!$J$4:$O$7, 2, 0)*VLOOKUP($F211, Factor!$Q$4:$V$15, 6, 0)*IF(MOD($G211,10)=0, 10, MOD($G211, 10))*((INDEX(Factor!$X$4:$AC$13, _xlfn.XMATCH($G211, Factor!$X$4:$X$13, 1),6)*IF(MOD(G211, 10) = 0, 10, MOD(G211, 10)))+INDEX(Factor!$AE$4:$AJ$13, _xlfn.XMATCH(MonsterData!$G211, Factor!$AE$4:$AE$13, 1),6))</f>
        <v>44.800000000000004</v>
      </c>
      <c r="Z211" s="21">
        <f>$Q211*VLOOKUP($J211, Factor!$B$12:$H$13, 7, 0)</f>
        <v>1</v>
      </c>
      <c r="AA211" s="13">
        <v>1</v>
      </c>
      <c r="AB211" s="21">
        <f t="shared" si="11"/>
        <v>0</v>
      </c>
      <c r="AC211" s="13" t="s">
        <v>139</v>
      </c>
      <c r="AD211" s="15" t="s">
        <v>387</v>
      </c>
    </row>
    <row r="212" spans="1:30" ht="15.75" customHeight="1">
      <c r="A212" s="16" t="str">
        <f>T212&amp;"_"&amp;F212&amp;VLOOKUP($C212, Factor!$AM$4:$AY$30, 7, 0)&amp;IF(COUNTIFS($C$4:C211, C212, $F$4:F211, F212)+1&gt;=100, COUNTIFS($C$4:C211, C212, $F$4:F211, F212)+1,IF(COUNTIFS($C$4:C211, C212, $F$4:F211, F212)+1&gt;=10, "0"&amp;COUNTIFS($C$4:C211, C212, $F$4:F211, F212)+1, "00"&amp;COUNTIFS($C$4:C211, C212, $F$4:F211, F212)+1))</f>
        <v>enpc_F03_B_Kobold_005</v>
      </c>
      <c r="B212" s="16"/>
      <c r="C212" s="16" t="s">
        <v>359</v>
      </c>
      <c r="D212" s="17" t="str">
        <f t="shared" si="12"/>
        <v>코볼트</v>
      </c>
      <c r="E212" s="17" t="str">
        <f>VLOOKUP($C212, Factor!$AM$4:$AY$30, 8, 0)</f>
        <v>M</v>
      </c>
      <c r="F212" s="17" t="s">
        <v>111</v>
      </c>
      <c r="G212" s="20">
        <v>50</v>
      </c>
      <c r="H212" s="16" t="s">
        <v>56</v>
      </c>
      <c r="I212" s="17" t="str">
        <f>VLOOKUP($C212, Factor!$AM$4:$AY$30, 11, 0)</f>
        <v>B</v>
      </c>
      <c r="J212" s="17" t="str">
        <f>VLOOKUP($C212, Factor!$AM$4:$AY$30, 12, 0)</f>
        <v>ml</v>
      </c>
      <c r="K212" s="17" t="str">
        <f>VLOOKUP($C212, Factor!$AM$4:$AY$30, 13, 0)</f>
        <v>L</v>
      </c>
      <c r="L212" s="17">
        <v>1</v>
      </c>
      <c r="M212" s="17">
        <v>1</v>
      </c>
      <c r="N212" s="17">
        <v>1</v>
      </c>
      <c r="O212" s="17">
        <v>1</v>
      </c>
      <c r="P212" s="17">
        <v>1</v>
      </c>
      <c r="Q212" s="17">
        <v>1</v>
      </c>
      <c r="R212" s="17" t="str">
        <f>VLOOKUP($C212, Factor!$AM$4:$AY$30, 9, 0)</f>
        <v>Small</v>
      </c>
      <c r="S212" s="17" t="s">
        <v>378</v>
      </c>
      <c r="T212" s="17" t="str">
        <f>VLOOKUP($C212, Factor!$AM$4:$AY$30, 10, 0)</f>
        <v>enpc</v>
      </c>
      <c r="U212" s="17" cm="1">
        <f t="array" ref="U212">L212*VLOOKUP($I212, Factor!$B$4:$G$8, 2, 0)*VLOOKUP($J212, Factor!$B$12:$G$13, 2, 0)*VLOOKUP($K212, Factor!$B$17:$G$18, 2, 0)*VLOOKUP($H212, Factor!$J$4:$O$7, 2, 0)*VLOOKUP($F212, Factor!$Q$4:$V$15, 2, 0)*IF(MOD($G212,10)=0, 10, MOD($G212, 10))*((INDEX(Factor!$X$4:$AC$13, _xlfn.XMATCH($G212, Factor!$X$4:$X$13, 1),2)*IF(MOD(G212, 10) = 0, 10, MOD(G212, 10)))+INDEX(Factor!$AE$4:$AJ$13, _xlfn.XMATCH(MonsterData!$G212, Factor!$AE$4:$AE$13, 1),2))</f>
        <v>157500</v>
      </c>
      <c r="V212" s="17" cm="1">
        <f t="array" ref="V212">M212*VLOOKUP($I212, Factor!$B$4:$G$8, 3, 0)*VLOOKUP($J212, Factor!$B$12:$G$13, 3, 0)*VLOOKUP($K212, Factor!$B$17:$G$18, 3, 0)*VLOOKUP($H212, Factor!$J$4:$O$7, 3, 0)*VLOOKUP($F212, Factor!$Q$4:$V$15, 3, 0)*IF(MOD($G212,10)=0, 10, MOD($G212, 10))*((INDEX(Factor!$X$4:$AC$13, _xlfn.XMATCH($G212, Factor!$X$4:$X$13, 1),3)*IF(MOD(G212, 10) = 0, 10, MOD(G212, 10)))+INDEX(Factor!$AE$4:$AJ$13, _xlfn.XMATCH(MonsterData!$G212, Factor!$AE$4:$AE$13, 1),3))</f>
        <v>7875</v>
      </c>
      <c r="W212" s="17" cm="1">
        <f t="array" ref="W212">N212*VLOOKUP($I212, Factor!$B$4:$G$8, 4, 0)*VLOOKUP($J212, Factor!$B$12:$G$13, 4, 0)*VLOOKUP($K212, Factor!$B$17:$G$18, 4, 0)*VLOOKUP($H212, Factor!$J$4:$O$7, 4, 0)*VLOOKUP($F212, Factor!$Q$4:$V$15, 4, 0)*IF(MOD($G212,10)=0, 10, MOD($G212, 10))*((INDEX(Factor!$X$4:$AC$13, _xlfn.XMATCH($G212, Factor!$X$4:$X$13, 1),4)*IF(MOD(G212, 10) = 0, 10, MOD(G212, 10)))+INDEX(Factor!$AE$4:$AJ$13, _xlfn.XMATCH(MonsterData!$G212, Factor!$AE$4:$AE$13, 1),4))</f>
        <v>15750</v>
      </c>
      <c r="X212" s="17" cm="1">
        <f t="array" ref="X212">O212*VLOOKUP($I212, Factor!$B$4:$G$8, 5, 0)*VLOOKUP($J212, Factor!$B$12:$G$13, 5, 0)*VLOOKUP($K212, Factor!$B$17:$G$18, 5, 0)*VLOOKUP($H212, Factor!$J$4:$O$7, 5, 0)*VLOOKUP($F212, Factor!$Q$4:$V$15, 5, 0)*IF(MOD($G212,10)=0, 10, MOD($G212, 10))*((INDEX(Factor!$X$4:$AC$13, _xlfn.XMATCH($G212, Factor!$X$4:$X$13, 1),5)*IF(MOD(G212, 10) = 0, 10, MOD(G212, 10)))+INDEX(Factor!$AE$4:$AJ$13, _xlfn.XMATCH(MonsterData!$G212, Factor!$AE$4:$AE$13, 1),5))</f>
        <v>378</v>
      </c>
      <c r="Y212" s="17" cm="1">
        <f t="array" ref="Y212">P212*VLOOKUP($I212, Factor!$B$4:$G$8, 6, 0)*VLOOKUP($J212, Factor!$B$12:$G$13, 6, 0)*VLOOKUP($K212, Factor!$B$17:$G$18, 6, 0)*VLOOKUP($H212, Factor!$J$4:$O$7, 2, 0)*VLOOKUP($F212, Factor!$Q$4:$V$15, 6, 0)*IF(MOD($G212,10)=0, 10, MOD($G212, 10))*((INDEX(Factor!$X$4:$AC$13, _xlfn.XMATCH($G212, Factor!$X$4:$X$13, 1),6)*IF(MOD(G212, 10) = 0, 10, MOD(G212, 10)))+INDEX(Factor!$AE$4:$AJ$13, _xlfn.XMATCH(MonsterData!$G212, Factor!$AE$4:$AE$13, 1),6))</f>
        <v>840</v>
      </c>
      <c r="Z212" s="17">
        <f>$Q212*VLOOKUP($J212, Factor!$B$12:$H$13, 7, 0)</f>
        <v>1</v>
      </c>
      <c r="AA212" s="17">
        <v>1</v>
      </c>
      <c r="AB212" s="17">
        <f t="shared" si="11"/>
        <v>0</v>
      </c>
      <c r="AC212" s="17" t="s">
        <v>393</v>
      </c>
      <c r="AD212" s="19" t="s">
        <v>388</v>
      </c>
    </row>
    <row r="213" spans="1:30" ht="15.75" customHeight="1">
      <c r="A213" s="13" t="str">
        <f>T213&amp;"_"&amp;F213&amp;VLOOKUP($C213, Factor!$AM$4:$AY$30, 7, 0)&amp;IF(COUNTIFS($C$4:C212, C213, $F$4:F212, F213)+1&gt;=100, COUNTIFS($C$4:C212, C213, $F$4:F212, F213)+1,IF(COUNTIFS($C$4:C212, C213, $F$4:F212, F213)+1&gt;=10, "0"&amp;COUNTIFS($C$4:C212, C213, $F$4:F212, F213)+1, "00"&amp;COUNTIFS($C$4:C212, C213, $F$4:F212, F213)+1))</f>
        <v>enpc_F03_B_Ghoul_005</v>
      </c>
      <c r="B213" s="13"/>
      <c r="C213" s="13" t="s">
        <v>361</v>
      </c>
      <c r="D213" s="21" t="str">
        <f t="shared" si="12"/>
        <v>구울</v>
      </c>
      <c r="E213" s="21" t="str">
        <f>VLOOKUP($C213, Factor!$AM$4:$AY$30, 8, 0)</f>
        <v>M</v>
      </c>
      <c r="F213" s="21" t="s">
        <v>111</v>
      </c>
      <c r="G213" s="22">
        <v>50</v>
      </c>
      <c r="H213" s="13" t="s">
        <v>55</v>
      </c>
      <c r="I213" s="21" t="str">
        <f>VLOOKUP($C213, Factor!$AM$4:$AY$30, 11, 0)</f>
        <v>B</v>
      </c>
      <c r="J213" s="21" t="str">
        <f>VLOOKUP($C213, Factor!$AM$4:$AY$30, 12, 0)</f>
        <v>ml</v>
      </c>
      <c r="K213" s="21" t="str">
        <f>VLOOKUP($C213, Factor!$AM$4:$AY$30, 13, 0)</f>
        <v>L</v>
      </c>
      <c r="L213" s="13">
        <v>1</v>
      </c>
      <c r="M213" s="13">
        <v>1</v>
      </c>
      <c r="N213" s="13">
        <v>1</v>
      </c>
      <c r="O213" s="13">
        <v>1</v>
      </c>
      <c r="P213" s="13">
        <v>1</v>
      </c>
      <c r="Q213" s="13">
        <v>1</v>
      </c>
      <c r="R213" s="21" t="str">
        <f>VLOOKUP($C213, Factor!$AM$4:$AY$30, 9, 0)</f>
        <v>Midium</v>
      </c>
      <c r="S213" s="13" t="s">
        <v>401</v>
      </c>
      <c r="T213" s="21" t="str">
        <f>VLOOKUP($C213, Factor!$AM$4:$AY$30, 10, 0)</f>
        <v>enpc</v>
      </c>
      <c r="U213" s="21" cm="1">
        <f t="array" ref="U213">L213*VLOOKUP($I213, Factor!$B$4:$G$8, 2, 0)*VLOOKUP($J213, Factor!$B$12:$G$13, 2, 0)*VLOOKUP($K213, Factor!$B$17:$G$18, 2, 0)*VLOOKUP($H213, Factor!$J$4:$O$7, 2, 0)*VLOOKUP($F213, Factor!$Q$4:$V$15, 2, 0)*IF(MOD($G213,10)=0, 10, MOD($G213, 10))*((INDEX(Factor!$X$4:$AC$13, _xlfn.XMATCH($G213, Factor!$X$4:$X$13, 1),2)*IF(MOD(G213, 10) = 0, 10, MOD(G213, 10)))+INDEX(Factor!$AE$4:$AJ$13, _xlfn.XMATCH(MonsterData!$G213, Factor!$AE$4:$AE$13, 1),2))</f>
        <v>157500</v>
      </c>
      <c r="V213" s="21" cm="1">
        <f t="array" ref="V213">M213*VLOOKUP($I213, Factor!$B$4:$G$8, 3, 0)*VLOOKUP($J213, Factor!$B$12:$G$13, 3, 0)*VLOOKUP($K213, Factor!$B$17:$G$18, 3, 0)*VLOOKUP($H213, Factor!$J$4:$O$7, 3, 0)*VLOOKUP($F213, Factor!$Q$4:$V$15, 3, 0)*IF(MOD($G213,10)=0, 10, MOD($G213, 10))*((INDEX(Factor!$X$4:$AC$13, _xlfn.XMATCH($G213, Factor!$X$4:$X$13, 1),3)*IF(MOD(G213, 10) = 0, 10, MOD(G213, 10)))+INDEX(Factor!$AE$4:$AJ$13, _xlfn.XMATCH(MonsterData!$G213, Factor!$AE$4:$AE$13, 1),3))</f>
        <v>7875</v>
      </c>
      <c r="W213" s="21" cm="1">
        <f t="array" ref="W213">N213*VLOOKUP($I213, Factor!$B$4:$G$8, 4, 0)*VLOOKUP($J213, Factor!$B$12:$G$13, 4, 0)*VLOOKUP($K213, Factor!$B$17:$G$18, 4, 0)*VLOOKUP($H213, Factor!$J$4:$O$7, 4, 0)*VLOOKUP($F213, Factor!$Q$4:$V$15, 4, 0)*IF(MOD($G213,10)=0, 10, MOD($G213, 10))*((INDEX(Factor!$X$4:$AC$13, _xlfn.XMATCH($G213, Factor!$X$4:$X$13, 1),4)*IF(MOD(G213, 10) = 0, 10, MOD(G213, 10)))+INDEX(Factor!$AE$4:$AJ$13, _xlfn.XMATCH(MonsterData!$G213, Factor!$AE$4:$AE$13, 1),4))</f>
        <v>7875</v>
      </c>
      <c r="X213" s="21" cm="1">
        <f t="array" ref="X213">O213*VLOOKUP($I213, Factor!$B$4:$G$8, 5, 0)*VLOOKUP($J213, Factor!$B$12:$G$13, 5, 0)*VLOOKUP($K213, Factor!$B$17:$G$18, 5, 0)*VLOOKUP($H213, Factor!$J$4:$O$7, 5, 0)*VLOOKUP($F213, Factor!$Q$4:$V$15, 5, 0)*IF(MOD($G213,10)=0, 10, MOD($G213, 10))*((INDEX(Factor!$X$4:$AC$13, _xlfn.XMATCH($G213, Factor!$X$4:$X$13, 1),5)*IF(MOD(G213, 10) = 0, 10, MOD(G213, 10)))+INDEX(Factor!$AE$4:$AJ$13, _xlfn.XMATCH(MonsterData!$G213, Factor!$AE$4:$AE$13, 1),5))</f>
        <v>420</v>
      </c>
      <c r="Y213" s="21" cm="1">
        <f t="array" ref="Y213">P213*VLOOKUP($I213, Factor!$B$4:$G$8, 6, 0)*VLOOKUP($J213, Factor!$B$12:$G$13, 6, 0)*VLOOKUP($K213, Factor!$B$17:$G$18, 6, 0)*VLOOKUP($H213, Factor!$J$4:$O$7, 2, 0)*VLOOKUP($F213, Factor!$Q$4:$V$15, 6, 0)*IF(MOD($G213,10)=0, 10, MOD($G213, 10))*((INDEX(Factor!$X$4:$AC$13, _xlfn.XMATCH($G213, Factor!$X$4:$X$13, 1),6)*IF(MOD(G213, 10) = 0, 10, MOD(G213, 10)))+INDEX(Factor!$AE$4:$AJ$13, _xlfn.XMATCH(MonsterData!$G213, Factor!$AE$4:$AE$13, 1),6))</f>
        <v>840</v>
      </c>
      <c r="Z213" s="21">
        <f>$Q213*VLOOKUP($J213, Factor!$B$12:$H$13, 7, 0)</f>
        <v>1</v>
      </c>
      <c r="AA213" s="13">
        <v>1</v>
      </c>
      <c r="AB213" s="21">
        <f t="shared" si="11"/>
        <v>0</v>
      </c>
      <c r="AC213" s="13" t="s">
        <v>394</v>
      </c>
      <c r="AD213" s="15" t="s">
        <v>389</v>
      </c>
    </row>
    <row r="214" spans="1:30" ht="15.75" customHeight="1">
      <c r="A214" s="16" t="str">
        <f>T214&amp;"_"&amp;F214&amp;VLOOKUP($C214, Factor!$AM$4:$AY$30, 7, 0)&amp;IF(COUNTIFS($C$4:C213, C214, $F$4:F213, F214)+1&gt;=100, COUNTIFS($C$4:C213, C214, $F$4:F213, F214)+1,IF(COUNTIFS($C$4:C213, C214, $F$4:F213, F214)+1&gt;=10, "0"&amp;COUNTIFS($C$4:C213, C214, $F$4:F213, F214)+1, "00"&amp;COUNTIFS($C$4:C213, C214, $F$4:F213, F214)+1))</f>
        <v>enpc_F03_B_Gorgon_005</v>
      </c>
      <c r="B214" s="16"/>
      <c r="C214" s="16" t="s">
        <v>363</v>
      </c>
      <c r="D214" s="17" t="str">
        <f t="shared" si="12"/>
        <v>고르곤</v>
      </c>
      <c r="E214" s="17" t="str">
        <f>VLOOKUP($C214, Factor!$AM$4:$AY$30, 8, 0)</f>
        <v>B</v>
      </c>
      <c r="F214" s="17" t="s">
        <v>111</v>
      </c>
      <c r="G214" s="20">
        <v>50</v>
      </c>
      <c r="H214" s="16" t="s">
        <v>56</v>
      </c>
      <c r="I214" s="17" t="str">
        <f>VLOOKUP($C214, Factor!$AM$4:$AY$30, 11, 0)</f>
        <v>B</v>
      </c>
      <c r="J214" s="17" t="str">
        <f>VLOOKUP($C214, Factor!$AM$4:$AY$30, 12, 0)</f>
        <v>ml</v>
      </c>
      <c r="K214" s="17" t="str">
        <f>VLOOKUP($C214, Factor!$AM$4:$AY$30, 13, 0)</f>
        <v>L</v>
      </c>
      <c r="L214" s="17">
        <v>1</v>
      </c>
      <c r="M214" s="17">
        <v>1</v>
      </c>
      <c r="N214" s="17">
        <v>1</v>
      </c>
      <c r="O214" s="17">
        <v>1</v>
      </c>
      <c r="P214" s="17">
        <v>1</v>
      </c>
      <c r="Q214" s="17">
        <v>1</v>
      </c>
      <c r="R214" s="17" t="str">
        <f>VLOOKUP($C214, Factor!$AM$4:$AY$30, 9, 0)</f>
        <v>Midium</v>
      </c>
      <c r="S214" s="17" t="s">
        <v>380</v>
      </c>
      <c r="T214" s="17" t="str">
        <f>VLOOKUP($C214, Factor!$AM$4:$AY$30, 10, 0)</f>
        <v>enpc</v>
      </c>
      <c r="U214" s="17" cm="1">
        <f t="array" ref="U214">L214*VLOOKUP($I214, Factor!$B$4:$G$8, 2, 0)*VLOOKUP($J214, Factor!$B$12:$G$13, 2, 0)*VLOOKUP($K214, Factor!$B$17:$G$18, 2, 0)*VLOOKUP($H214, Factor!$J$4:$O$7, 2, 0)*VLOOKUP($F214, Factor!$Q$4:$V$15, 2, 0)*IF(MOD($G214,10)=0, 10, MOD($G214, 10))*((INDEX(Factor!$X$4:$AC$13, _xlfn.XMATCH($G214, Factor!$X$4:$X$13, 1),2)*IF(MOD(G214, 10) = 0, 10, MOD(G214, 10)))+INDEX(Factor!$AE$4:$AJ$13, _xlfn.XMATCH(MonsterData!$G214, Factor!$AE$4:$AE$13, 1),2))</f>
        <v>157500</v>
      </c>
      <c r="V214" s="17" cm="1">
        <f t="array" ref="V214">M214*VLOOKUP($I214, Factor!$B$4:$G$8, 3, 0)*VLOOKUP($J214, Factor!$B$12:$G$13, 3, 0)*VLOOKUP($K214, Factor!$B$17:$G$18, 3, 0)*VLOOKUP($H214, Factor!$J$4:$O$7, 3, 0)*VLOOKUP($F214, Factor!$Q$4:$V$15, 3, 0)*IF(MOD($G214,10)=0, 10, MOD($G214, 10))*((INDEX(Factor!$X$4:$AC$13, _xlfn.XMATCH($G214, Factor!$X$4:$X$13, 1),3)*IF(MOD(G214, 10) = 0, 10, MOD(G214, 10)))+INDEX(Factor!$AE$4:$AJ$13, _xlfn.XMATCH(MonsterData!$G214, Factor!$AE$4:$AE$13, 1),3))</f>
        <v>7875</v>
      </c>
      <c r="W214" s="17" cm="1">
        <f t="array" ref="W214">N214*VLOOKUP($I214, Factor!$B$4:$G$8, 4, 0)*VLOOKUP($J214, Factor!$B$12:$G$13, 4, 0)*VLOOKUP($K214, Factor!$B$17:$G$18, 4, 0)*VLOOKUP($H214, Factor!$J$4:$O$7, 4, 0)*VLOOKUP($F214, Factor!$Q$4:$V$15, 4, 0)*IF(MOD($G214,10)=0, 10, MOD($G214, 10))*((INDEX(Factor!$X$4:$AC$13, _xlfn.XMATCH($G214, Factor!$X$4:$X$13, 1),4)*IF(MOD(G214, 10) = 0, 10, MOD(G214, 10)))+INDEX(Factor!$AE$4:$AJ$13, _xlfn.XMATCH(MonsterData!$G214, Factor!$AE$4:$AE$13, 1),4))</f>
        <v>15750</v>
      </c>
      <c r="X214" s="17" cm="1">
        <f t="array" ref="X214">O214*VLOOKUP($I214, Factor!$B$4:$G$8, 5, 0)*VLOOKUP($J214, Factor!$B$12:$G$13, 5, 0)*VLOOKUP($K214, Factor!$B$17:$G$18, 5, 0)*VLOOKUP($H214, Factor!$J$4:$O$7, 5, 0)*VLOOKUP($F214, Factor!$Q$4:$V$15, 5, 0)*IF(MOD($G214,10)=0, 10, MOD($G214, 10))*((INDEX(Factor!$X$4:$AC$13, _xlfn.XMATCH($G214, Factor!$X$4:$X$13, 1),5)*IF(MOD(G214, 10) = 0, 10, MOD(G214, 10)))+INDEX(Factor!$AE$4:$AJ$13, _xlfn.XMATCH(MonsterData!$G214, Factor!$AE$4:$AE$13, 1),5))</f>
        <v>378</v>
      </c>
      <c r="Y214" s="17" cm="1">
        <f t="array" ref="Y214">P214*VLOOKUP($I214, Factor!$B$4:$G$8, 6, 0)*VLOOKUP($J214, Factor!$B$12:$G$13, 6, 0)*VLOOKUP($K214, Factor!$B$17:$G$18, 6, 0)*VLOOKUP($H214, Factor!$J$4:$O$7, 2, 0)*VLOOKUP($F214, Factor!$Q$4:$V$15, 6, 0)*IF(MOD($G214,10)=0, 10, MOD($G214, 10))*((INDEX(Factor!$X$4:$AC$13, _xlfn.XMATCH($G214, Factor!$X$4:$X$13, 1),6)*IF(MOD(G214, 10) = 0, 10, MOD(G214, 10)))+INDEX(Factor!$AE$4:$AJ$13, _xlfn.XMATCH(MonsterData!$G214, Factor!$AE$4:$AE$13, 1),6))</f>
        <v>840</v>
      </c>
      <c r="Z214" s="17">
        <f>$Q214*VLOOKUP($J214, Factor!$B$12:$H$13, 7, 0)</f>
        <v>1</v>
      </c>
      <c r="AA214" s="17">
        <v>1</v>
      </c>
      <c r="AB214" s="17">
        <f t="shared" si="11"/>
        <v>0</v>
      </c>
      <c r="AC214" s="17" t="s">
        <v>395</v>
      </c>
      <c r="AD214" s="19" t="s">
        <v>390</v>
      </c>
    </row>
    <row r="215" spans="1:30" ht="15.75" customHeight="1">
      <c r="A215" s="13" t="str">
        <f>T215&amp;"_"&amp;F215&amp;VLOOKUP($C215, Factor!$AM$4:$AY$30, 7, 0)&amp;IF(COUNTIFS($C$4:C214, C215, $F$4:F214, F215)+1&gt;=100, COUNTIFS($C$4:C214, C215, $F$4:F214, F215)+1,IF(COUNTIFS($C$4:C214, C215, $F$4:F214, F215)+1&gt;=10, "0"&amp;COUNTIFS($C$4:C214, C215, $F$4:F214, F215)+1, "00"&amp;COUNTIFS($C$4:C214, C215, $F$4:F214, F215)+1))</f>
        <v>enpc_F03_B_Gargoyle_005</v>
      </c>
      <c r="B215" s="13"/>
      <c r="C215" s="13" t="s">
        <v>365</v>
      </c>
      <c r="D215" s="21" t="str">
        <f t="shared" si="12"/>
        <v>가고일</v>
      </c>
      <c r="E215" s="21" t="str">
        <f>VLOOKUP($C215, Factor!$AM$4:$AY$30, 8, 0)</f>
        <v>B</v>
      </c>
      <c r="F215" s="21" t="s">
        <v>111</v>
      </c>
      <c r="G215" s="22">
        <v>50</v>
      </c>
      <c r="H215" s="13" t="s">
        <v>55</v>
      </c>
      <c r="I215" s="21" t="str">
        <f>VLOOKUP($C215, Factor!$AM$4:$AY$30, 11, 0)</f>
        <v>B</v>
      </c>
      <c r="J215" s="21" t="str">
        <f>VLOOKUP($C215, Factor!$AM$4:$AY$30, 12, 0)</f>
        <v>ml</v>
      </c>
      <c r="K215" s="21" t="str">
        <f>VLOOKUP($C215, Factor!$AM$4:$AY$30, 13, 0)</f>
        <v>F</v>
      </c>
      <c r="L215" s="13">
        <v>1</v>
      </c>
      <c r="M215" s="13">
        <v>1</v>
      </c>
      <c r="N215" s="13">
        <v>1</v>
      </c>
      <c r="O215" s="13">
        <v>1</v>
      </c>
      <c r="P215" s="13">
        <v>1</v>
      </c>
      <c r="Q215" s="13">
        <v>1</v>
      </c>
      <c r="R215" s="21" t="str">
        <f>VLOOKUP($C215, Factor!$AM$4:$AY$30, 9, 0)</f>
        <v>Big</v>
      </c>
      <c r="S215" s="13" t="s">
        <v>402</v>
      </c>
      <c r="T215" s="21" t="str">
        <f>VLOOKUP($C215, Factor!$AM$4:$AY$30, 10, 0)</f>
        <v>enpc</v>
      </c>
      <c r="U215" s="21" cm="1">
        <f t="array" ref="U215">L215*VLOOKUP($I215, Factor!$B$4:$G$8, 2, 0)*VLOOKUP($J215, Factor!$B$12:$G$13, 2, 0)*VLOOKUP($K215, Factor!$B$17:$G$18, 2, 0)*VLOOKUP($H215, Factor!$J$4:$O$7, 2, 0)*VLOOKUP($F215, Factor!$Q$4:$V$15, 2, 0)*IF(MOD($G215,10)=0, 10, MOD($G215, 10))*((INDEX(Factor!$X$4:$AC$13, _xlfn.XMATCH($G215, Factor!$X$4:$X$13, 1),2)*IF(MOD(G215, 10) = 0, 10, MOD(G215, 10)))+INDEX(Factor!$AE$4:$AJ$13, _xlfn.XMATCH(MonsterData!$G215, Factor!$AE$4:$AE$13, 1),2))</f>
        <v>105000</v>
      </c>
      <c r="V215" s="21" cm="1">
        <f t="array" ref="V215">M215*VLOOKUP($I215, Factor!$B$4:$G$8, 3, 0)*VLOOKUP($J215, Factor!$B$12:$G$13, 3, 0)*VLOOKUP($K215, Factor!$B$17:$G$18, 3, 0)*VLOOKUP($H215, Factor!$J$4:$O$7, 3, 0)*VLOOKUP($F215, Factor!$Q$4:$V$15, 3, 0)*IF(MOD($G215,10)=0, 10, MOD($G215, 10))*((INDEX(Factor!$X$4:$AC$13, _xlfn.XMATCH($G215, Factor!$X$4:$X$13, 1),3)*IF(MOD(G215, 10) = 0, 10, MOD(G215, 10)))+INDEX(Factor!$AE$4:$AJ$13, _xlfn.XMATCH(MonsterData!$G215, Factor!$AE$4:$AE$13, 1),3))</f>
        <v>5250</v>
      </c>
      <c r="W215" s="21" cm="1">
        <f t="array" ref="W215">N215*VLOOKUP($I215, Factor!$B$4:$G$8, 4, 0)*VLOOKUP($J215, Factor!$B$12:$G$13, 4, 0)*VLOOKUP($K215, Factor!$B$17:$G$18, 4, 0)*VLOOKUP($H215, Factor!$J$4:$O$7, 4, 0)*VLOOKUP($F215, Factor!$Q$4:$V$15, 4, 0)*IF(MOD($G215,10)=0, 10, MOD($G215, 10))*((INDEX(Factor!$X$4:$AC$13, _xlfn.XMATCH($G215, Factor!$X$4:$X$13, 1),4)*IF(MOD(G215, 10) = 0, 10, MOD(G215, 10)))+INDEX(Factor!$AE$4:$AJ$13, _xlfn.XMATCH(MonsterData!$G215, Factor!$AE$4:$AE$13, 1),4))</f>
        <v>5250</v>
      </c>
      <c r="X215" s="21" cm="1">
        <f t="array" ref="X215">O215*VLOOKUP($I215, Factor!$B$4:$G$8, 5, 0)*VLOOKUP($J215, Factor!$B$12:$G$13, 5, 0)*VLOOKUP($K215, Factor!$B$17:$G$18, 5, 0)*VLOOKUP($H215, Factor!$J$4:$O$7, 5, 0)*VLOOKUP($F215, Factor!$Q$4:$V$15, 5, 0)*IF(MOD($G215,10)=0, 10, MOD($G215, 10))*((INDEX(Factor!$X$4:$AC$13, _xlfn.XMATCH($G215, Factor!$X$4:$X$13, 1),5)*IF(MOD(G215, 10) = 0, 10, MOD(G215, 10)))+INDEX(Factor!$AE$4:$AJ$13, _xlfn.XMATCH(MonsterData!$G215, Factor!$AE$4:$AE$13, 1),5))</f>
        <v>420</v>
      </c>
      <c r="Y215" s="21" cm="1">
        <f t="array" ref="Y215">P215*VLOOKUP($I215, Factor!$B$4:$G$8, 6, 0)*VLOOKUP($J215, Factor!$B$12:$G$13, 6, 0)*VLOOKUP($K215, Factor!$B$17:$G$18, 6, 0)*VLOOKUP($H215, Factor!$J$4:$O$7, 2, 0)*VLOOKUP($F215, Factor!$Q$4:$V$15, 6, 0)*IF(MOD($G215,10)=0, 10, MOD($G215, 10))*((INDEX(Factor!$X$4:$AC$13, _xlfn.XMATCH($G215, Factor!$X$4:$X$13, 1),6)*IF(MOD(G215, 10) = 0, 10, MOD(G215, 10)))+INDEX(Factor!$AE$4:$AJ$13, _xlfn.XMATCH(MonsterData!$G215, Factor!$AE$4:$AE$13, 1),6))</f>
        <v>2519.9999999999995</v>
      </c>
      <c r="Z215" s="21">
        <f>$Q215*VLOOKUP($J215, Factor!$B$12:$H$13, 7, 0)</f>
        <v>1</v>
      </c>
      <c r="AA215" s="13">
        <v>1</v>
      </c>
      <c r="AB215" s="21">
        <f t="shared" ref="AB215:AB278" si="13">IF(J215 = "ml", 0, $Z215*$AA215)</f>
        <v>0</v>
      </c>
      <c r="AC215" s="13" t="s">
        <v>396</v>
      </c>
      <c r="AD215" s="15" t="s">
        <v>391</v>
      </c>
    </row>
    <row r="216" spans="1:30" ht="15.75" customHeight="1">
      <c r="A216" s="16" t="str">
        <f>T216&amp;"_"&amp;F216&amp;VLOOKUP($C216, Factor!$AM$4:$AY$30, 7, 0)&amp;IF(COUNTIFS($C$4:C215, C216, $F$4:F215, F216)+1&gt;=100, COUNTIFS($C$4:C215, C216, $F$4:F215, F216)+1,IF(COUNTIFS($C$4:C215, C216, $F$4:F215, F216)+1&gt;=10, "0"&amp;COUNTIFS($C$4:C215, C216, $F$4:F215, F216)+1, "00"&amp;COUNTIFS($C$4:C215, C216, $F$4:F215, F216)+1))</f>
        <v>enpc_F04_A_Lava_001</v>
      </c>
      <c r="B216" s="16"/>
      <c r="C216" s="16" t="s">
        <v>35</v>
      </c>
      <c r="D216" s="17" t="str">
        <f t="shared" si="12"/>
        <v>라바</v>
      </c>
      <c r="E216" s="17" t="str">
        <f>VLOOKUP($C216, Factor!$AM$4:$AY$30, 8, 0)</f>
        <v>S</v>
      </c>
      <c r="F216" s="17" t="s">
        <v>384</v>
      </c>
      <c r="G216" s="20">
        <v>33</v>
      </c>
      <c r="H216" s="16" t="s">
        <v>54</v>
      </c>
      <c r="I216" s="17" t="str">
        <f>VLOOKUP($C216, Factor!$AM$4:$AY$30, 11, 0)</f>
        <v>A</v>
      </c>
      <c r="J216" s="17" t="str">
        <f>VLOOKUP($C216, Factor!$AM$4:$AY$30, 12, 0)</f>
        <v>ml</v>
      </c>
      <c r="K216" s="17" t="str">
        <f>VLOOKUP($C216, Factor!$AM$4:$AY$30, 13, 0)</f>
        <v>L</v>
      </c>
      <c r="L216" s="17">
        <v>1</v>
      </c>
      <c r="M216" s="17">
        <v>1</v>
      </c>
      <c r="N216" s="17">
        <v>1</v>
      </c>
      <c r="O216" s="17">
        <v>1</v>
      </c>
      <c r="P216" s="17">
        <v>1</v>
      </c>
      <c r="Q216" s="17">
        <v>1</v>
      </c>
      <c r="R216" s="17" t="str">
        <f>VLOOKUP($C216, Factor!$AM$4:$AY$30, 9, 0)</f>
        <v>Small</v>
      </c>
      <c r="S216" s="17" t="s">
        <v>88</v>
      </c>
      <c r="T216" s="17" t="str">
        <f>VLOOKUP($C216, Factor!$AM$4:$AY$30, 10, 0)</f>
        <v>enpc</v>
      </c>
      <c r="U216" s="17" cm="1">
        <f t="array" ref="U216">L216*VLOOKUP($I216, Factor!$B$4:$G$8, 2, 0)*VLOOKUP($J216, Factor!$B$12:$G$13, 2, 0)*VLOOKUP($K216, Factor!$B$17:$G$18, 2, 0)*VLOOKUP($H216, Factor!$J$4:$O$7, 2, 0)*VLOOKUP($F216, Factor!$Q$4:$V$15, 2, 0)*IF(MOD($G216,10)=0, 10, MOD($G216, 10))*((INDEX(Factor!$X$4:$AC$13, _xlfn.XMATCH($G216, Factor!$X$4:$X$13, 1),2)*IF(MOD(G216, 10) = 0, 10, MOD(G216, 10)))+INDEX(Factor!$AE$4:$AJ$13, _xlfn.XMATCH(MonsterData!$G216, Factor!$AE$4:$AE$13, 1),2))</f>
        <v>4147.2</v>
      </c>
      <c r="V216" s="17" cm="1">
        <f t="array" ref="V216">M216*VLOOKUP($I216, Factor!$B$4:$G$8, 3, 0)*VLOOKUP($J216, Factor!$B$12:$G$13, 3, 0)*VLOOKUP($K216, Factor!$B$17:$G$18, 3, 0)*VLOOKUP($H216, Factor!$J$4:$O$7, 3, 0)*VLOOKUP($F216, Factor!$Q$4:$V$15, 3, 0)*IF(MOD($G216,10)=0, 10, MOD($G216, 10))*((INDEX(Factor!$X$4:$AC$13, _xlfn.XMATCH($G216, Factor!$X$4:$X$13, 1),3)*IF(MOD(G216, 10) = 0, 10, MOD(G216, 10)))+INDEX(Factor!$AE$4:$AJ$13, _xlfn.XMATCH(MonsterData!$G216, Factor!$AE$4:$AE$13, 1),3))</f>
        <v>207.36000000000004</v>
      </c>
      <c r="W216" s="17" cm="1">
        <f t="array" ref="W216">N216*VLOOKUP($I216, Factor!$B$4:$G$8, 4, 0)*VLOOKUP($J216, Factor!$B$12:$G$13, 4, 0)*VLOOKUP($K216, Factor!$B$17:$G$18, 4, 0)*VLOOKUP($H216, Factor!$J$4:$O$7, 4, 0)*VLOOKUP($F216, Factor!$Q$4:$V$15, 4, 0)*IF(MOD($G216,10)=0, 10, MOD($G216, 10))*((INDEX(Factor!$X$4:$AC$13, _xlfn.XMATCH($G216, Factor!$X$4:$X$13, 1),4)*IF(MOD(G216, 10) = 0, 10, MOD(G216, 10)))+INDEX(Factor!$AE$4:$AJ$13, _xlfn.XMATCH(MonsterData!$G216, Factor!$AE$4:$AE$13, 1),4))</f>
        <v>124.41600000000001</v>
      </c>
      <c r="X216" s="17" cm="1">
        <f t="array" ref="X216">O216*VLOOKUP($I216, Factor!$B$4:$G$8, 5, 0)*VLOOKUP($J216, Factor!$B$12:$G$13, 5, 0)*VLOOKUP($K216, Factor!$B$17:$G$18, 5, 0)*VLOOKUP($H216, Factor!$J$4:$O$7, 5, 0)*VLOOKUP($F216, Factor!$Q$4:$V$15, 5, 0)*IF(MOD($G216,10)=0, 10, MOD($G216, 10))*((INDEX(Factor!$X$4:$AC$13, _xlfn.XMATCH($G216, Factor!$X$4:$X$13, 1),5)*IF(MOD(G216, 10) = 0, 10, MOD(G216, 10)))+INDEX(Factor!$AE$4:$AJ$13, _xlfn.XMATCH(MonsterData!$G216, Factor!$AE$4:$AE$13, 1),5))</f>
        <v>34.560000000000009</v>
      </c>
      <c r="Y216" s="17" cm="1">
        <f t="array" ref="Y216">P216*VLOOKUP($I216, Factor!$B$4:$G$8, 6, 0)*VLOOKUP($J216, Factor!$B$12:$G$13, 6, 0)*VLOOKUP($K216, Factor!$B$17:$G$18, 6, 0)*VLOOKUP($H216, Factor!$J$4:$O$7, 2, 0)*VLOOKUP($F216, Factor!$Q$4:$V$15, 6, 0)*IF(MOD($G216,10)=0, 10, MOD($G216, 10))*((INDEX(Factor!$X$4:$AC$13, _xlfn.XMATCH($G216, Factor!$X$4:$X$13, 1),6)*IF(MOD(G216, 10) = 0, 10, MOD(G216, 10)))+INDEX(Factor!$AE$4:$AJ$13, _xlfn.XMATCH(MonsterData!$G216, Factor!$AE$4:$AE$13, 1),6))</f>
        <v>138.24000000000004</v>
      </c>
      <c r="Z216" s="17">
        <f>$Q216*VLOOKUP($J216, Factor!$B$12:$H$13, 7, 0)</f>
        <v>1</v>
      </c>
      <c r="AA216" s="17">
        <v>1</v>
      </c>
      <c r="AB216" s="17">
        <f t="shared" si="13"/>
        <v>0</v>
      </c>
      <c r="AC216" s="17" t="s">
        <v>139</v>
      </c>
      <c r="AD216" s="19" t="s">
        <v>142</v>
      </c>
    </row>
    <row r="217" spans="1:30" ht="15.75" customHeight="1">
      <c r="A217" s="13" t="str">
        <f>T217&amp;"_"&amp;F217&amp;VLOOKUP($C217, Factor!$AM$4:$AY$30, 7, 0)&amp;IF(COUNTIFS($C$4:C216, C217, $F$4:F216, F217)+1&gt;=100, COUNTIFS($C$4:C216, C217, $F$4:F216, F217)+1,IF(COUNTIFS($C$4:C216, C217, $F$4:F216, F217)+1&gt;=10, "0"&amp;COUNTIFS($C$4:C216, C217, $F$4:F216, F217)+1, "00"&amp;COUNTIFS($C$4:C216, C217, $F$4:F216, F217)+1))</f>
        <v>enpc_F04_A_Cocoon_001</v>
      </c>
      <c r="B217" s="13"/>
      <c r="C217" s="13" t="s">
        <v>270</v>
      </c>
      <c r="D217" s="21" t="str">
        <f t="shared" si="12"/>
        <v>코쿤</v>
      </c>
      <c r="E217" s="21" t="str">
        <f>VLOOKUP($C217, Factor!$AM$4:$AY$30, 8, 0)</f>
        <v>M</v>
      </c>
      <c r="F217" s="21" t="s">
        <v>384</v>
      </c>
      <c r="G217" s="22">
        <v>33</v>
      </c>
      <c r="H217" s="13" t="s">
        <v>55</v>
      </c>
      <c r="I217" s="21" t="str">
        <f>VLOOKUP($C217, Factor!$AM$4:$AY$30, 11, 0)</f>
        <v>A</v>
      </c>
      <c r="J217" s="21" t="str">
        <f>VLOOKUP($C217, Factor!$AM$4:$AY$30, 12, 0)</f>
        <v>ml</v>
      </c>
      <c r="K217" s="21" t="str">
        <f>VLOOKUP($C217, Factor!$AM$4:$AY$30, 13, 0)</f>
        <v>L</v>
      </c>
      <c r="L217" s="13">
        <v>1</v>
      </c>
      <c r="M217" s="13">
        <v>1</v>
      </c>
      <c r="N217" s="13">
        <v>1</v>
      </c>
      <c r="O217" s="13">
        <v>1</v>
      </c>
      <c r="P217" s="13">
        <v>1</v>
      </c>
      <c r="Q217" s="13">
        <v>1</v>
      </c>
      <c r="R217" s="21" t="str">
        <f>VLOOKUP($C217, Factor!$AM$4:$AY$30, 9, 0)</f>
        <v>Midium</v>
      </c>
      <c r="S217" s="13" t="s">
        <v>408</v>
      </c>
      <c r="T217" s="21" t="str">
        <f>VLOOKUP($C217, Factor!$AM$4:$AY$30, 10, 0)</f>
        <v>enpc</v>
      </c>
      <c r="U217" s="21" cm="1">
        <f t="array" ref="U217">L217*VLOOKUP($I217, Factor!$B$4:$G$8, 2, 0)*VLOOKUP($J217, Factor!$B$12:$G$13, 2, 0)*VLOOKUP($K217, Factor!$B$17:$G$18, 2, 0)*VLOOKUP($H217, Factor!$J$4:$O$7, 2, 0)*VLOOKUP($F217, Factor!$Q$4:$V$15, 2, 0)*IF(MOD($G217,10)=0, 10, MOD($G217, 10))*((INDEX(Factor!$X$4:$AC$13, _xlfn.XMATCH($G217, Factor!$X$4:$X$13, 1),2)*IF(MOD(G217, 10) = 0, 10, MOD(G217, 10)))+INDEX(Factor!$AE$4:$AJ$13, _xlfn.XMATCH(MonsterData!$G217, Factor!$AE$4:$AE$13, 1),2))</f>
        <v>5184</v>
      </c>
      <c r="V217" s="21" cm="1">
        <f t="array" ref="V217">M217*VLOOKUP($I217, Factor!$B$4:$G$8, 3, 0)*VLOOKUP($J217, Factor!$B$12:$G$13, 3, 0)*VLOOKUP($K217, Factor!$B$17:$G$18, 3, 0)*VLOOKUP($H217, Factor!$J$4:$O$7, 3, 0)*VLOOKUP($F217, Factor!$Q$4:$V$15, 3, 0)*IF(MOD($G217,10)=0, 10, MOD($G217, 10))*((INDEX(Factor!$X$4:$AC$13, _xlfn.XMATCH($G217, Factor!$X$4:$X$13, 1),3)*IF(MOD(G217, 10) = 0, 10, MOD(G217, 10)))+INDEX(Factor!$AE$4:$AJ$13, _xlfn.XMATCH(MonsterData!$G217, Factor!$AE$4:$AE$13, 1),3))</f>
        <v>259.2</v>
      </c>
      <c r="W217" s="21" cm="1">
        <f t="array" ref="W217">N217*VLOOKUP($I217, Factor!$B$4:$G$8, 4, 0)*VLOOKUP($J217, Factor!$B$12:$G$13, 4, 0)*VLOOKUP($K217, Factor!$B$17:$G$18, 4, 0)*VLOOKUP($H217, Factor!$J$4:$O$7, 4, 0)*VLOOKUP($F217, Factor!$Q$4:$V$15, 4, 0)*IF(MOD($G217,10)=0, 10, MOD($G217, 10))*((INDEX(Factor!$X$4:$AC$13, _xlfn.XMATCH($G217, Factor!$X$4:$X$13, 1),4)*IF(MOD(G217, 10) = 0, 10, MOD(G217, 10)))+INDEX(Factor!$AE$4:$AJ$13, _xlfn.XMATCH(MonsterData!$G217, Factor!$AE$4:$AE$13, 1),4))</f>
        <v>155.52000000000001</v>
      </c>
      <c r="X217" s="21" cm="1">
        <f t="array" ref="X217">O217*VLOOKUP($I217, Factor!$B$4:$G$8, 5, 0)*VLOOKUP($J217, Factor!$B$12:$G$13, 5, 0)*VLOOKUP($K217, Factor!$B$17:$G$18, 5, 0)*VLOOKUP($H217, Factor!$J$4:$O$7, 5, 0)*VLOOKUP($F217, Factor!$Q$4:$V$15, 5, 0)*IF(MOD($G217,10)=0, 10, MOD($G217, 10))*((INDEX(Factor!$X$4:$AC$13, _xlfn.XMATCH($G217, Factor!$X$4:$X$13, 1),5)*IF(MOD(G217, 10) = 0, 10, MOD(G217, 10)))+INDEX(Factor!$AE$4:$AJ$13, _xlfn.XMATCH(MonsterData!$G217, Factor!$AE$4:$AE$13, 1),5))</f>
        <v>34.560000000000009</v>
      </c>
      <c r="Y217" s="21" cm="1">
        <f t="array" ref="Y217">P217*VLOOKUP($I217, Factor!$B$4:$G$8, 6, 0)*VLOOKUP($J217, Factor!$B$12:$G$13, 6, 0)*VLOOKUP($K217, Factor!$B$17:$G$18, 6, 0)*VLOOKUP($H217, Factor!$J$4:$O$7, 2, 0)*VLOOKUP($F217, Factor!$Q$4:$V$15, 6, 0)*IF(MOD($G217,10)=0, 10, MOD($G217, 10))*((INDEX(Factor!$X$4:$AC$13, _xlfn.XMATCH($G217, Factor!$X$4:$X$13, 1),6)*IF(MOD(G217, 10) = 0, 10, MOD(G217, 10)))+INDEX(Factor!$AE$4:$AJ$13, _xlfn.XMATCH(MonsterData!$G217, Factor!$AE$4:$AE$13, 1),6))</f>
        <v>172.8</v>
      </c>
      <c r="Z217" s="21">
        <f>$Q217*VLOOKUP($J217, Factor!$B$12:$H$13, 7, 0)</f>
        <v>1</v>
      </c>
      <c r="AA217" s="13">
        <v>1</v>
      </c>
      <c r="AB217" s="21">
        <f t="shared" si="13"/>
        <v>0</v>
      </c>
      <c r="AC217" s="13" t="s">
        <v>139</v>
      </c>
      <c r="AD217" s="15" t="s">
        <v>142</v>
      </c>
    </row>
    <row r="218" spans="1:30" ht="15.75" customHeight="1">
      <c r="A218" s="16" t="str">
        <f>T218&amp;"_"&amp;F218&amp;VLOOKUP($C218, Factor!$AM$4:$AY$30, 7, 0)&amp;IF(COUNTIFS($C$4:C217, C218, $F$4:F217, F218)+1&gt;=100, COUNTIFS($C$4:C217, C218, $F$4:F217, F218)+1,IF(COUNTIFS($C$4:C217, C218, $F$4:F217, F218)+1&gt;=10, "0"&amp;COUNTIFS($C$4:C217, C218, $F$4:F217, F218)+1, "00"&amp;COUNTIFS($C$4:C217, C218, $F$4:F217, F218)+1))</f>
        <v>enpc_F04_A_Antlion_001</v>
      </c>
      <c r="B218" s="16"/>
      <c r="C218" s="16" t="s">
        <v>38</v>
      </c>
      <c r="D218" s="17" t="str">
        <f t="shared" si="12"/>
        <v>앤틸리온</v>
      </c>
      <c r="E218" s="17" t="str">
        <f>VLOOKUP($C218, Factor!$AM$4:$AY$30, 8, 0)</f>
        <v>M</v>
      </c>
      <c r="F218" s="17" t="s">
        <v>112</v>
      </c>
      <c r="G218" s="20">
        <v>33</v>
      </c>
      <c r="H218" s="16" t="s">
        <v>55</v>
      </c>
      <c r="I218" s="17" t="str">
        <f>VLOOKUP($C218, Factor!$AM$4:$AY$30, 11, 0)</f>
        <v>A</v>
      </c>
      <c r="J218" s="17" t="str">
        <f>VLOOKUP($C218, Factor!$AM$4:$AY$30, 12, 0)</f>
        <v>ra</v>
      </c>
      <c r="K218" s="17" t="str">
        <f>VLOOKUP($C218, Factor!$AM$4:$AY$30, 13, 0)</f>
        <v>L</v>
      </c>
      <c r="L218" s="17">
        <v>1</v>
      </c>
      <c r="M218" s="17">
        <v>1</v>
      </c>
      <c r="N218" s="17">
        <v>1</v>
      </c>
      <c r="O218" s="17">
        <v>1</v>
      </c>
      <c r="P218" s="17">
        <v>1</v>
      </c>
      <c r="Q218" s="17">
        <v>1</v>
      </c>
      <c r="R218" s="17" t="str">
        <f>VLOOKUP($C218, Factor!$AM$4:$AY$30, 9, 0)</f>
        <v>Midium</v>
      </c>
      <c r="S218" s="17" t="s">
        <v>397</v>
      </c>
      <c r="T218" s="17" t="str">
        <f>VLOOKUP($C218, Factor!$AM$4:$AY$30, 10, 0)</f>
        <v>enpc</v>
      </c>
      <c r="U218" s="17" cm="1">
        <f t="array" ref="U218">L218*VLOOKUP($I218, Factor!$B$4:$G$8, 2, 0)*VLOOKUP($J218, Factor!$B$12:$G$13, 2, 0)*VLOOKUP($K218, Factor!$B$17:$G$18, 2, 0)*VLOOKUP($H218, Factor!$J$4:$O$7, 2, 0)*VLOOKUP($F218, Factor!$Q$4:$V$15, 2, 0)*IF(MOD($G218,10)=0, 10, MOD($G218, 10))*((INDEX(Factor!$X$4:$AC$13, _xlfn.XMATCH($G218, Factor!$X$4:$X$13, 1),2)*IF(MOD(G218, 10) = 0, 10, MOD(G218, 10)))+INDEX(Factor!$AE$4:$AJ$13, _xlfn.XMATCH(MonsterData!$G218, Factor!$AE$4:$AE$13, 1),2))</f>
        <v>4147.2</v>
      </c>
      <c r="V218" s="17" cm="1">
        <f t="array" ref="V218">M218*VLOOKUP($I218, Factor!$B$4:$G$8, 3, 0)*VLOOKUP($J218, Factor!$B$12:$G$13, 3, 0)*VLOOKUP($K218, Factor!$B$17:$G$18, 3, 0)*VLOOKUP($H218, Factor!$J$4:$O$7, 3, 0)*VLOOKUP($F218, Factor!$Q$4:$V$15, 3, 0)*IF(MOD($G218,10)=0, 10, MOD($G218, 10))*((INDEX(Factor!$X$4:$AC$13, _xlfn.XMATCH($G218, Factor!$X$4:$X$13, 1),3)*IF(MOD(G218, 10) = 0, 10, MOD(G218, 10)))+INDEX(Factor!$AE$4:$AJ$13, _xlfn.XMATCH(MonsterData!$G218, Factor!$AE$4:$AE$13, 1),3))</f>
        <v>207.36000000000004</v>
      </c>
      <c r="W218" s="17" cm="1">
        <f t="array" ref="W218">N218*VLOOKUP($I218, Factor!$B$4:$G$8, 4, 0)*VLOOKUP($J218, Factor!$B$12:$G$13, 4, 0)*VLOOKUP($K218, Factor!$B$17:$G$18, 4, 0)*VLOOKUP($H218, Factor!$J$4:$O$7, 4, 0)*VLOOKUP($F218, Factor!$Q$4:$V$15, 4, 0)*IF(MOD($G218,10)=0, 10, MOD($G218, 10))*((INDEX(Factor!$X$4:$AC$13, _xlfn.XMATCH($G218, Factor!$X$4:$X$13, 1),4)*IF(MOD(G218, 10) = 0, 10, MOD(G218, 10)))+INDEX(Factor!$AE$4:$AJ$13, _xlfn.XMATCH(MonsterData!$G218, Factor!$AE$4:$AE$13, 1),4))</f>
        <v>186.62399999999997</v>
      </c>
      <c r="X218" s="17" cm="1">
        <f t="array" ref="X218">O218*VLOOKUP($I218, Factor!$B$4:$G$8, 5, 0)*VLOOKUP($J218, Factor!$B$12:$G$13, 5, 0)*VLOOKUP($K218, Factor!$B$17:$G$18, 5, 0)*VLOOKUP($H218, Factor!$J$4:$O$7, 5, 0)*VLOOKUP($F218, Factor!$Q$4:$V$15, 5, 0)*IF(MOD($G218,10)=0, 10, MOD($G218, 10))*((INDEX(Factor!$X$4:$AC$13, _xlfn.XMATCH($G218, Factor!$X$4:$X$13, 1),5)*IF(MOD(G218, 10) = 0, 10, MOD(G218, 10)))+INDEX(Factor!$AE$4:$AJ$13, _xlfn.XMATCH(MonsterData!$G218, Factor!$AE$4:$AE$13, 1),5))</f>
        <v>51.840000000000011</v>
      </c>
      <c r="Y218" s="17" cm="1">
        <f t="array" ref="Y218">P218*VLOOKUP($I218, Factor!$B$4:$G$8, 6, 0)*VLOOKUP($J218, Factor!$B$12:$G$13, 6, 0)*VLOOKUP($K218, Factor!$B$17:$G$18, 6, 0)*VLOOKUP($H218, Factor!$J$4:$O$7, 2, 0)*VLOOKUP($F218, Factor!$Q$4:$V$15, 6, 0)*IF(MOD($G218,10)=0, 10, MOD($G218, 10))*((INDEX(Factor!$X$4:$AC$13, _xlfn.XMATCH($G218, Factor!$X$4:$X$13, 1),6)*IF(MOD(G218, 10) = 0, 10, MOD(G218, 10)))+INDEX(Factor!$AE$4:$AJ$13, _xlfn.XMATCH(MonsterData!$G218, Factor!$AE$4:$AE$13, 1),6))</f>
        <v>172.8</v>
      </c>
      <c r="Z218" s="17">
        <f>$Q218*VLOOKUP($J218, Factor!$B$12:$H$13, 7, 0)</f>
        <v>4</v>
      </c>
      <c r="AA218" s="17">
        <v>1</v>
      </c>
      <c r="AB218" s="17">
        <f t="shared" si="13"/>
        <v>4</v>
      </c>
      <c r="AC218" s="17" t="s">
        <v>139</v>
      </c>
      <c r="AD218" s="19" t="s">
        <v>142</v>
      </c>
    </row>
    <row r="219" spans="1:30" ht="15.75" customHeight="1">
      <c r="A219" s="13" t="str">
        <f>T219&amp;"_"&amp;F219&amp;VLOOKUP($C219, Factor!$AM$4:$AY$30, 7, 0)&amp;IF(COUNTIFS($C$4:C218, C219, $F$4:F218, F219)+1&gt;=100, COUNTIFS($C$4:C218, C219, $F$4:F218, F219)+1,IF(COUNTIFS($C$4:C218, C219, $F$4:F218, F219)+1&gt;=10, "0"&amp;COUNTIFS($C$4:C218, C219, $F$4:F218, F219)+1, "00"&amp;COUNTIFS($C$4:C218, C219, $F$4:F218, F219)+1))</f>
        <v>enpc_F04_A_Nymphe_001</v>
      </c>
      <c r="B219" s="13"/>
      <c r="C219" s="13" t="s">
        <v>39</v>
      </c>
      <c r="D219" s="21" t="str">
        <f t="shared" si="12"/>
        <v>님프</v>
      </c>
      <c r="E219" s="21" t="str">
        <f>VLOOKUP($C219, Factor!$AM$4:$AY$30, 8, 0)</f>
        <v>S</v>
      </c>
      <c r="F219" s="21" t="s">
        <v>112</v>
      </c>
      <c r="G219" s="22">
        <v>33</v>
      </c>
      <c r="H219" s="13" t="s">
        <v>55</v>
      </c>
      <c r="I219" s="21" t="str">
        <f>VLOOKUP($C219, Factor!$AM$4:$AY$30, 11, 0)</f>
        <v>A</v>
      </c>
      <c r="J219" s="21" t="str">
        <f>VLOOKUP($C219, Factor!$AM$4:$AY$30, 12, 0)</f>
        <v>ml</v>
      </c>
      <c r="K219" s="21" t="str">
        <f>VLOOKUP($C219, Factor!$AM$4:$AY$30, 13, 0)</f>
        <v>F</v>
      </c>
      <c r="L219" s="13">
        <v>1</v>
      </c>
      <c r="M219" s="13">
        <v>1</v>
      </c>
      <c r="N219" s="13">
        <v>1</v>
      </c>
      <c r="O219" s="13">
        <v>1</v>
      </c>
      <c r="P219" s="13">
        <v>1</v>
      </c>
      <c r="Q219" s="13">
        <v>1</v>
      </c>
      <c r="R219" s="21" t="str">
        <f>VLOOKUP($C219, Factor!$AM$4:$AY$30, 9, 0)</f>
        <v>Small</v>
      </c>
      <c r="S219" s="13" t="s">
        <v>409</v>
      </c>
      <c r="T219" s="21" t="str">
        <f>VLOOKUP($C219, Factor!$AM$4:$AY$30, 10, 0)</f>
        <v>enpc</v>
      </c>
      <c r="U219" s="21" cm="1">
        <f t="array" ref="U219">L219*VLOOKUP($I219, Factor!$B$4:$G$8, 2, 0)*VLOOKUP($J219, Factor!$B$12:$G$13, 2, 0)*VLOOKUP($K219, Factor!$B$17:$G$18, 2, 0)*VLOOKUP($H219, Factor!$J$4:$O$7, 2, 0)*VLOOKUP($F219, Factor!$Q$4:$V$15, 2, 0)*IF(MOD($G219,10)=0, 10, MOD($G219, 10))*((INDEX(Factor!$X$4:$AC$13, _xlfn.XMATCH($G219, Factor!$X$4:$X$13, 1),2)*IF(MOD(G219, 10) = 0, 10, MOD(G219, 10)))+INDEX(Factor!$AE$4:$AJ$13, _xlfn.XMATCH(MonsterData!$G219, Factor!$AE$4:$AE$13, 1),2))</f>
        <v>3456</v>
      </c>
      <c r="V219" s="21" cm="1">
        <f t="array" ref="V219">M219*VLOOKUP($I219, Factor!$B$4:$G$8, 3, 0)*VLOOKUP($J219, Factor!$B$12:$G$13, 3, 0)*VLOOKUP($K219, Factor!$B$17:$G$18, 3, 0)*VLOOKUP($H219, Factor!$J$4:$O$7, 3, 0)*VLOOKUP($F219, Factor!$Q$4:$V$15, 3, 0)*IF(MOD($G219,10)=0, 10, MOD($G219, 10))*((INDEX(Factor!$X$4:$AC$13, _xlfn.XMATCH($G219, Factor!$X$4:$X$13, 1),3)*IF(MOD(G219, 10) = 0, 10, MOD(G219, 10)))+INDEX(Factor!$AE$4:$AJ$13, _xlfn.XMATCH(MonsterData!$G219, Factor!$AE$4:$AE$13, 1),3))</f>
        <v>172.8</v>
      </c>
      <c r="W219" s="21" cm="1">
        <f t="array" ref="W219">N219*VLOOKUP($I219, Factor!$B$4:$G$8, 4, 0)*VLOOKUP($J219, Factor!$B$12:$G$13, 4, 0)*VLOOKUP($K219, Factor!$B$17:$G$18, 4, 0)*VLOOKUP($H219, Factor!$J$4:$O$7, 4, 0)*VLOOKUP($F219, Factor!$Q$4:$V$15, 4, 0)*IF(MOD($G219,10)=0, 10, MOD($G219, 10))*((INDEX(Factor!$X$4:$AC$13, _xlfn.XMATCH($G219, Factor!$X$4:$X$13, 1),4)*IF(MOD(G219, 10) = 0, 10, MOD(G219, 10)))+INDEX(Factor!$AE$4:$AJ$13, _xlfn.XMATCH(MonsterData!$G219, Factor!$AE$4:$AE$13, 1),4))</f>
        <v>103.68000000000002</v>
      </c>
      <c r="X219" s="21" cm="1">
        <f t="array" ref="X219">O219*VLOOKUP($I219, Factor!$B$4:$G$8, 5, 0)*VLOOKUP($J219, Factor!$B$12:$G$13, 5, 0)*VLOOKUP($K219, Factor!$B$17:$G$18, 5, 0)*VLOOKUP($H219, Factor!$J$4:$O$7, 5, 0)*VLOOKUP($F219, Factor!$Q$4:$V$15, 5, 0)*IF(MOD($G219,10)=0, 10, MOD($G219, 10))*((INDEX(Factor!$X$4:$AC$13, _xlfn.XMATCH($G219, Factor!$X$4:$X$13, 1),5)*IF(MOD(G219, 10) = 0, 10, MOD(G219, 10)))+INDEX(Factor!$AE$4:$AJ$13, _xlfn.XMATCH(MonsterData!$G219, Factor!$AE$4:$AE$13, 1),5))</f>
        <v>34.560000000000009</v>
      </c>
      <c r="Y219" s="21" cm="1">
        <f t="array" ref="Y219">P219*VLOOKUP($I219, Factor!$B$4:$G$8, 6, 0)*VLOOKUP($J219, Factor!$B$12:$G$13, 6, 0)*VLOOKUP($K219, Factor!$B$17:$G$18, 6, 0)*VLOOKUP($H219, Factor!$J$4:$O$7, 2, 0)*VLOOKUP($F219, Factor!$Q$4:$V$15, 6, 0)*IF(MOD($G219,10)=0, 10, MOD($G219, 10))*((INDEX(Factor!$X$4:$AC$13, _xlfn.XMATCH($G219, Factor!$X$4:$X$13, 1),6)*IF(MOD(G219, 10) = 0, 10, MOD(G219, 10)))+INDEX(Factor!$AE$4:$AJ$13, _xlfn.XMATCH(MonsterData!$G219, Factor!$AE$4:$AE$13, 1),6))</f>
        <v>518.4</v>
      </c>
      <c r="Z219" s="21">
        <f>$Q219*VLOOKUP($J219, Factor!$B$12:$H$13, 7, 0)</f>
        <v>1</v>
      </c>
      <c r="AA219" s="13">
        <v>1</v>
      </c>
      <c r="AB219" s="21">
        <f t="shared" si="13"/>
        <v>0</v>
      </c>
      <c r="AC219" s="13" t="s">
        <v>139</v>
      </c>
      <c r="AD219" s="15" t="s">
        <v>142</v>
      </c>
    </row>
    <row r="220" spans="1:30" ht="15.75" customHeight="1">
      <c r="A220" s="16" t="str">
        <f>T220&amp;"_"&amp;F220&amp;VLOOKUP($C220, Factor!$AM$4:$AY$30, 7, 0)&amp;IF(COUNTIFS($C$4:C219, C220, $F$4:F219, F220)+1&gt;=100, COUNTIFS($C$4:C219, C220, $F$4:F219, F220)+1,IF(COUNTIFS($C$4:C219, C220, $F$4:F219, F220)+1&gt;=10, "0"&amp;COUNTIFS($C$4:C219, C220, $F$4:F219, F220)+1, "00"&amp;COUNTIFS($C$4:C219, C220, $F$4:F219, F220)+1))</f>
        <v>enpc_F04_B_Golem_001</v>
      </c>
      <c r="B220" s="16"/>
      <c r="C220" s="16" t="s">
        <v>40</v>
      </c>
      <c r="D220" s="17" t="str">
        <f t="shared" si="12"/>
        <v>골렘</v>
      </c>
      <c r="E220" s="17" t="str">
        <f>VLOOKUP($C220, Factor!$AM$4:$AY$30, 8, 0)</f>
        <v>B</v>
      </c>
      <c r="F220" s="17" t="s">
        <v>112</v>
      </c>
      <c r="G220" s="20">
        <v>53</v>
      </c>
      <c r="H220" s="16" t="s">
        <v>57</v>
      </c>
      <c r="I220" s="17" t="str">
        <f>VLOOKUP($C220, Factor!$AM$4:$AY$30, 11, 0)</f>
        <v>B</v>
      </c>
      <c r="J220" s="17" t="str">
        <f>VLOOKUP($C220, Factor!$AM$4:$AY$30, 12, 0)</f>
        <v>ml</v>
      </c>
      <c r="K220" s="17" t="str">
        <f>VLOOKUP($C220, Factor!$AM$4:$AY$30, 13, 0)</f>
        <v>L</v>
      </c>
      <c r="L220" s="17">
        <v>1</v>
      </c>
      <c r="M220" s="17">
        <v>1</v>
      </c>
      <c r="N220" s="17">
        <v>1</v>
      </c>
      <c r="O220" s="17">
        <v>1</v>
      </c>
      <c r="P220" s="17">
        <v>1</v>
      </c>
      <c r="Q220" s="17">
        <v>1</v>
      </c>
      <c r="R220" s="17" t="str">
        <f>VLOOKUP($C220, Factor!$AM$4:$AY$30, 9, 0)</f>
        <v>Big</v>
      </c>
      <c r="S220" s="17" t="s">
        <v>398</v>
      </c>
      <c r="T220" s="17" t="str">
        <f>VLOOKUP($C220, Factor!$AM$4:$AY$30, 10, 0)</f>
        <v>enpc</v>
      </c>
      <c r="U220" s="17" cm="1">
        <f t="array" ref="U220">L220*VLOOKUP($I220, Factor!$B$4:$G$8, 2, 0)*VLOOKUP($J220, Factor!$B$12:$G$13, 2, 0)*VLOOKUP($K220, Factor!$B$17:$G$18, 2, 0)*VLOOKUP($H220, Factor!$J$4:$O$7, 2, 0)*VLOOKUP($F220, Factor!$Q$4:$V$15, 2, 0)*IF(MOD($G220,10)=0, 10, MOD($G220, 10))*((INDEX(Factor!$X$4:$AC$13, _xlfn.XMATCH($G220, Factor!$X$4:$X$13, 1),2)*IF(MOD(G220, 10) = 0, 10, MOD(G220, 10)))+INDEX(Factor!$AE$4:$AJ$13, _xlfn.XMATCH(MonsterData!$G220, Factor!$AE$4:$AE$13, 1),2))</f>
        <v>120960</v>
      </c>
      <c r="V220" s="17" cm="1">
        <f t="array" ref="V220">M220*VLOOKUP($I220, Factor!$B$4:$G$8, 3, 0)*VLOOKUP($J220, Factor!$B$12:$G$13, 3, 0)*VLOOKUP($K220, Factor!$B$17:$G$18, 3, 0)*VLOOKUP($H220, Factor!$J$4:$O$7, 3, 0)*VLOOKUP($F220, Factor!$Q$4:$V$15, 3, 0)*IF(MOD($G220,10)=0, 10, MOD($G220, 10))*((INDEX(Factor!$X$4:$AC$13, _xlfn.XMATCH($G220, Factor!$X$4:$X$13, 1),3)*IF(MOD(G220, 10) = 0, 10, MOD(G220, 10)))+INDEX(Factor!$AE$4:$AJ$13, _xlfn.XMATCH(MonsterData!$G220, Factor!$AE$4:$AE$13, 1),3))</f>
        <v>6048</v>
      </c>
      <c r="W220" s="17" cm="1">
        <f t="array" ref="W220">N220*VLOOKUP($I220, Factor!$B$4:$G$8, 4, 0)*VLOOKUP($J220, Factor!$B$12:$G$13, 4, 0)*VLOOKUP($K220, Factor!$B$17:$G$18, 4, 0)*VLOOKUP($H220, Factor!$J$4:$O$7, 4, 0)*VLOOKUP($F220, Factor!$Q$4:$V$15, 4, 0)*IF(MOD($G220,10)=0, 10, MOD($G220, 10))*((INDEX(Factor!$X$4:$AC$13, _xlfn.XMATCH($G220, Factor!$X$4:$X$13, 1),4)*IF(MOD(G220, 10) = 0, 10, MOD(G220, 10)))+INDEX(Factor!$AE$4:$AJ$13, _xlfn.XMATCH(MonsterData!$G220, Factor!$AE$4:$AE$13, 1),4))</f>
        <v>302.40000000000003</v>
      </c>
      <c r="X220" s="17" cm="1">
        <f t="array" ref="X220">O220*VLOOKUP($I220, Factor!$B$4:$G$8, 5, 0)*VLOOKUP($J220, Factor!$B$12:$G$13, 5, 0)*VLOOKUP($K220, Factor!$B$17:$G$18, 5, 0)*VLOOKUP($H220, Factor!$J$4:$O$7, 5, 0)*VLOOKUP($F220, Factor!$Q$4:$V$15, 5, 0)*IF(MOD($G220,10)=0, 10, MOD($G220, 10))*((INDEX(Factor!$X$4:$AC$13, _xlfn.XMATCH($G220, Factor!$X$4:$X$13, 1),5)*IF(MOD(G220, 10) = 0, 10, MOD(G220, 10)))+INDEX(Factor!$AE$4:$AJ$13, _xlfn.XMATCH(MonsterData!$G220, Factor!$AE$4:$AE$13, 1),5))</f>
        <v>322.56000000000006</v>
      </c>
      <c r="Y220" s="17" cm="1">
        <f t="array" ref="Y220">P220*VLOOKUP($I220, Factor!$B$4:$G$8, 6, 0)*VLOOKUP($J220, Factor!$B$12:$G$13, 6, 0)*VLOOKUP($K220, Factor!$B$17:$G$18, 6, 0)*VLOOKUP($H220, Factor!$J$4:$O$7, 2, 0)*VLOOKUP($F220, Factor!$Q$4:$V$15, 6, 0)*IF(MOD($G220,10)=0, 10, MOD($G220, 10))*((INDEX(Factor!$X$4:$AC$13, _xlfn.XMATCH($G220, Factor!$X$4:$X$13, 1),6)*IF(MOD(G220, 10) = 0, 10, MOD(G220, 10)))+INDEX(Factor!$AE$4:$AJ$13, _xlfn.XMATCH(MonsterData!$G220, Factor!$AE$4:$AE$13, 1),6))</f>
        <v>645.12000000000012</v>
      </c>
      <c r="Z220" s="17">
        <f>$Q220*VLOOKUP($J220, Factor!$B$12:$H$13, 7, 0)</f>
        <v>1</v>
      </c>
      <c r="AA220" s="17">
        <v>1</v>
      </c>
      <c r="AB220" s="17">
        <f t="shared" si="13"/>
        <v>0</v>
      </c>
      <c r="AC220" s="17" t="s">
        <v>140</v>
      </c>
      <c r="AD220" s="19" t="s">
        <v>143</v>
      </c>
    </row>
    <row r="221" spans="1:30" ht="15.75" customHeight="1">
      <c r="A221" s="13" t="str">
        <f>T221&amp;"_"&amp;F221&amp;VLOOKUP($C221, Factor!$AM$4:$AY$30, 7, 0)&amp;IF(COUNTIFS($C$4:C220, C221, $F$4:F220, F221)+1&gt;=100, COUNTIFS($C$4:C220, C221, $F$4:F220, F221)+1,IF(COUNTIFS($C$4:C220, C221, $F$4:F220, F221)+1&gt;=10, "0"&amp;COUNTIFS($C$4:C220, C221, $F$4:F220, F221)+1, "00"&amp;COUNTIFS($C$4:C220, C221, $F$4:F220, F221)+1))</f>
        <v>enpc_F04_B_Banshee_001</v>
      </c>
      <c r="B221" s="13"/>
      <c r="C221" s="13" t="s">
        <v>42</v>
      </c>
      <c r="D221" s="21" t="str">
        <f t="shared" si="12"/>
        <v>밴시</v>
      </c>
      <c r="E221" s="21" t="str">
        <f>VLOOKUP($C221, Factor!$AM$4:$AY$30, 8, 0)</f>
        <v>S</v>
      </c>
      <c r="F221" s="21" t="s">
        <v>112</v>
      </c>
      <c r="G221" s="22">
        <v>53</v>
      </c>
      <c r="H221" s="13" t="s">
        <v>56</v>
      </c>
      <c r="I221" s="21" t="str">
        <f>VLOOKUP($C221, Factor!$AM$4:$AY$30, 11, 0)</f>
        <v>B</v>
      </c>
      <c r="J221" s="21" t="str">
        <f>VLOOKUP($C221, Factor!$AM$4:$AY$30, 12, 0)</f>
        <v>ra</v>
      </c>
      <c r="K221" s="21" t="str">
        <f>VLOOKUP($C221, Factor!$AM$4:$AY$30, 13, 0)</f>
        <v>L</v>
      </c>
      <c r="L221" s="13">
        <v>1</v>
      </c>
      <c r="M221" s="13">
        <v>1</v>
      </c>
      <c r="N221" s="13">
        <v>1</v>
      </c>
      <c r="O221" s="13">
        <v>1</v>
      </c>
      <c r="P221" s="13">
        <v>1</v>
      </c>
      <c r="Q221" s="13">
        <v>1</v>
      </c>
      <c r="R221" s="21" t="str">
        <f>VLOOKUP($C221, Factor!$AM$4:$AY$30, 9, 0)</f>
        <v>Midium</v>
      </c>
      <c r="S221" s="13" t="s">
        <v>410</v>
      </c>
      <c r="T221" s="21" t="str">
        <f>VLOOKUP($C221, Factor!$AM$4:$AY$30, 10, 0)</f>
        <v>enpc</v>
      </c>
      <c r="U221" s="21" cm="1">
        <f t="array" ref="U221">L221*VLOOKUP($I221, Factor!$B$4:$G$8, 2, 0)*VLOOKUP($J221, Factor!$B$12:$G$13, 2, 0)*VLOOKUP($K221, Factor!$B$17:$G$18, 2, 0)*VLOOKUP($H221, Factor!$J$4:$O$7, 2, 0)*VLOOKUP($F221, Factor!$Q$4:$V$15, 2, 0)*IF(MOD($G221,10)=0, 10, MOD($G221, 10))*((INDEX(Factor!$X$4:$AC$13, _xlfn.XMATCH($G221, Factor!$X$4:$X$13, 1),2)*IF(MOD(G221, 10) = 0, 10, MOD(G221, 10)))+INDEX(Factor!$AE$4:$AJ$13, _xlfn.XMATCH(MonsterData!$G221, Factor!$AE$4:$AE$13, 1),2))</f>
        <v>48384</v>
      </c>
      <c r="V221" s="21" cm="1">
        <f t="array" ref="V221">M221*VLOOKUP($I221, Factor!$B$4:$G$8, 3, 0)*VLOOKUP($J221, Factor!$B$12:$G$13, 3, 0)*VLOOKUP($K221, Factor!$B$17:$G$18, 3, 0)*VLOOKUP($H221, Factor!$J$4:$O$7, 3, 0)*VLOOKUP($F221, Factor!$Q$4:$V$15, 3, 0)*IF(MOD($G221,10)=0, 10, MOD($G221, 10))*((INDEX(Factor!$X$4:$AC$13, _xlfn.XMATCH($G221, Factor!$X$4:$X$13, 1),3)*IF(MOD(G221, 10) = 0, 10, MOD(G221, 10)))+INDEX(Factor!$AE$4:$AJ$13, _xlfn.XMATCH(MonsterData!$G221, Factor!$AE$4:$AE$13, 1),3))</f>
        <v>2419.2000000000003</v>
      </c>
      <c r="W221" s="21" cm="1">
        <f t="array" ref="W221">N221*VLOOKUP($I221, Factor!$B$4:$G$8, 4, 0)*VLOOKUP($J221, Factor!$B$12:$G$13, 4, 0)*VLOOKUP($K221, Factor!$B$17:$G$18, 4, 0)*VLOOKUP($H221, Factor!$J$4:$O$7, 4, 0)*VLOOKUP($F221, Factor!$Q$4:$V$15, 4, 0)*IF(MOD($G221,10)=0, 10, MOD($G221, 10))*((INDEX(Factor!$X$4:$AC$13, _xlfn.XMATCH($G221, Factor!$X$4:$X$13, 1),4)*IF(MOD(G221, 10) = 0, 10, MOD(G221, 10)))+INDEX(Factor!$AE$4:$AJ$13, _xlfn.XMATCH(MonsterData!$G221, Factor!$AE$4:$AE$13, 1),4))</f>
        <v>7257.6</v>
      </c>
      <c r="X221" s="21" cm="1">
        <f t="array" ref="X221">O221*VLOOKUP($I221, Factor!$B$4:$G$8, 5, 0)*VLOOKUP($J221, Factor!$B$12:$G$13, 5, 0)*VLOOKUP($K221, Factor!$B$17:$G$18, 5, 0)*VLOOKUP($H221, Factor!$J$4:$O$7, 5, 0)*VLOOKUP($F221, Factor!$Q$4:$V$15, 5, 0)*IF(MOD($G221,10)=0, 10, MOD($G221, 10))*((INDEX(Factor!$X$4:$AC$13, _xlfn.XMATCH($G221, Factor!$X$4:$X$13, 1),5)*IF(MOD(G221, 10) = 0, 10, MOD(G221, 10)))+INDEX(Factor!$AE$4:$AJ$13, _xlfn.XMATCH(MonsterData!$G221, Factor!$AE$4:$AE$13, 1),5))</f>
        <v>217.72800000000004</v>
      </c>
      <c r="Y221" s="21" cm="1">
        <f t="array" ref="Y221">P221*VLOOKUP($I221, Factor!$B$4:$G$8, 6, 0)*VLOOKUP($J221, Factor!$B$12:$G$13, 6, 0)*VLOOKUP($K221, Factor!$B$17:$G$18, 6, 0)*VLOOKUP($H221, Factor!$J$4:$O$7, 2, 0)*VLOOKUP($F221, Factor!$Q$4:$V$15, 6, 0)*IF(MOD($G221,10)=0, 10, MOD($G221, 10))*((INDEX(Factor!$X$4:$AC$13, _xlfn.XMATCH($G221, Factor!$X$4:$X$13, 1),6)*IF(MOD(G221, 10) = 0, 10, MOD(G221, 10)))+INDEX(Factor!$AE$4:$AJ$13, _xlfn.XMATCH(MonsterData!$G221, Factor!$AE$4:$AE$13, 1),6))</f>
        <v>322.56000000000006</v>
      </c>
      <c r="Z221" s="21">
        <f>$Q221*VLOOKUP($J221, Factor!$B$12:$H$13, 7, 0)</f>
        <v>4</v>
      </c>
      <c r="AA221" s="13">
        <v>1</v>
      </c>
      <c r="AB221" s="21">
        <f t="shared" si="13"/>
        <v>4</v>
      </c>
      <c r="AC221" s="13" t="s">
        <v>141</v>
      </c>
      <c r="AD221" s="15" t="s">
        <v>144</v>
      </c>
    </row>
    <row r="222" spans="1:30" ht="15.75" customHeight="1">
      <c r="A222" s="16" t="str">
        <f>T222&amp;"_"&amp;F222&amp;VLOOKUP($C222, Factor!$AM$4:$AY$30, 7, 0)&amp;IF(COUNTIFS($C$4:C221, C222, $F$4:F221, F222)+1&gt;=100, COUNTIFS($C$4:C221, C222, $F$4:F221, F222)+1,IF(COUNTIFS($C$4:C221, C222, $F$4:F221, F222)+1&gt;=10, "0"&amp;COUNTIFS($C$4:C221, C222, $F$4:F221, F222)+1, "00"&amp;COUNTIFS($C$4:C221, C222, $F$4:F221, F222)+1))</f>
        <v>enpc_F04_A_Scarab_001</v>
      </c>
      <c r="B222" s="16"/>
      <c r="C222" s="16" t="s">
        <v>353</v>
      </c>
      <c r="D222" s="17" t="str">
        <f t="shared" si="12"/>
        <v>스캐럽</v>
      </c>
      <c r="E222" s="17" t="str">
        <f>VLOOKUP($C222, Factor!$AM$4:$AY$30, 8, 0)</f>
        <v>S</v>
      </c>
      <c r="F222" s="17" t="s">
        <v>112</v>
      </c>
      <c r="G222" s="20">
        <v>33</v>
      </c>
      <c r="H222" s="16" t="s">
        <v>55</v>
      </c>
      <c r="I222" s="17" t="str">
        <f>VLOOKUP($C222, Factor!$AM$4:$AY$30, 11, 0)</f>
        <v>A</v>
      </c>
      <c r="J222" s="17" t="str">
        <f>VLOOKUP($C222, Factor!$AM$4:$AY$30, 12, 0)</f>
        <v>ml</v>
      </c>
      <c r="K222" s="17" t="str">
        <f>VLOOKUP($C222, Factor!$AM$4:$AY$30, 13, 0)</f>
        <v>L</v>
      </c>
      <c r="L222" s="17">
        <v>1</v>
      </c>
      <c r="M222" s="17">
        <v>1</v>
      </c>
      <c r="N222" s="17">
        <v>1</v>
      </c>
      <c r="O222" s="17">
        <v>1</v>
      </c>
      <c r="P222" s="17">
        <v>1</v>
      </c>
      <c r="Q222" s="17">
        <v>1</v>
      </c>
      <c r="R222" s="17" t="str">
        <f>VLOOKUP($C222, Factor!$AM$4:$AY$30, 9, 0)</f>
        <v>Midium</v>
      </c>
      <c r="S222" s="17" t="s">
        <v>399</v>
      </c>
      <c r="T222" s="17" t="str">
        <f>VLOOKUP($C222, Factor!$AM$4:$AY$30, 10, 0)</f>
        <v>enpc</v>
      </c>
      <c r="U222" s="17" cm="1">
        <f t="array" ref="U222">L222*VLOOKUP($I222, Factor!$B$4:$G$8, 2, 0)*VLOOKUP($J222, Factor!$B$12:$G$13, 2, 0)*VLOOKUP($K222, Factor!$B$17:$G$18, 2, 0)*VLOOKUP($H222, Factor!$J$4:$O$7, 2, 0)*VLOOKUP($F222, Factor!$Q$4:$V$15, 2, 0)*IF(MOD($G222,10)=0, 10, MOD($G222, 10))*((INDEX(Factor!$X$4:$AC$13, _xlfn.XMATCH($G222, Factor!$X$4:$X$13, 1),2)*IF(MOD(G222, 10) = 0, 10, MOD(G222, 10)))+INDEX(Factor!$AE$4:$AJ$13, _xlfn.XMATCH(MonsterData!$G222, Factor!$AE$4:$AE$13, 1),2))</f>
        <v>5184</v>
      </c>
      <c r="V222" s="17" cm="1">
        <f t="array" ref="V222">M222*VLOOKUP($I222, Factor!$B$4:$G$8, 3, 0)*VLOOKUP($J222, Factor!$B$12:$G$13, 3, 0)*VLOOKUP($K222, Factor!$B$17:$G$18, 3, 0)*VLOOKUP($H222, Factor!$J$4:$O$7, 3, 0)*VLOOKUP($F222, Factor!$Q$4:$V$15, 3, 0)*IF(MOD($G222,10)=0, 10, MOD($G222, 10))*((INDEX(Factor!$X$4:$AC$13, _xlfn.XMATCH($G222, Factor!$X$4:$X$13, 1),3)*IF(MOD(G222, 10) = 0, 10, MOD(G222, 10)))+INDEX(Factor!$AE$4:$AJ$13, _xlfn.XMATCH(MonsterData!$G222, Factor!$AE$4:$AE$13, 1),3))</f>
        <v>259.2</v>
      </c>
      <c r="W222" s="17" cm="1">
        <f t="array" ref="W222">N222*VLOOKUP($I222, Factor!$B$4:$G$8, 4, 0)*VLOOKUP($J222, Factor!$B$12:$G$13, 4, 0)*VLOOKUP($K222, Factor!$B$17:$G$18, 4, 0)*VLOOKUP($H222, Factor!$J$4:$O$7, 4, 0)*VLOOKUP($F222, Factor!$Q$4:$V$15, 4, 0)*IF(MOD($G222,10)=0, 10, MOD($G222, 10))*((INDEX(Factor!$X$4:$AC$13, _xlfn.XMATCH($G222, Factor!$X$4:$X$13, 1),4)*IF(MOD(G222, 10) = 0, 10, MOD(G222, 10)))+INDEX(Factor!$AE$4:$AJ$13, _xlfn.XMATCH(MonsterData!$G222, Factor!$AE$4:$AE$13, 1),4))</f>
        <v>155.52000000000001</v>
      </c>
      <c r="X222" s="17" cm="1">
        <f t="array" ref="X222">O222*VLOOKUP($I222, Factor!$B$4:$G$8, 5, 0)*VLOOKUP($J222, Factor!$B$12:$G$13, 5, 0)*VLOOKUP($K222, Factor!$B$17:$G$18, 5, 0)*VLOOKUP($H222, Factor!$J$4:$O$7, 5, 0)*VLOOKUP($F222, Factor!$Q$4:$V$15, 5, 0)*IF(MOD($G222,10)=0, 10, MOD($G222, 10))*((INDEX(Factor!$X$4:$AC$13, _xlfn.XMATCH($G222, Factor!$X$4:$X$13, 1),5)*IF(MOD(G222, 10) = 0, 10, MOD(G222, 10)))+INDEX(Factor!$AE$4:$AJ$13, _xlfn.XMATCH(MonsterData!$G222, Factor!$AE$4:$AE$13, 1),5))</f>
        <v>34.560000000000009</v>
      </c>
      <c r="Y222" s="17" cm="1">
        <f t="array" ref="Y222">P222*VLOOKUP($I222, Factor!$B$4:$G$8, 6, 0)*VLOOKUP($J222, Factor!$B$12:$G$13, 6, 0)*VLOOKUP($K222, Factor!$B$17:$G$18, 6, 0)*VLOOKUP($H222, Factor!$J$4:$O$7, 2, 0)*VLOOKUP($F222, Factor!$Q$4:$V$15, 6, 0)*IF(MOD($G222,10)=0, 10, MOD($G222, 10))*((INDEX(Factor!$X$4:$AC$13, _xlfn.XMATCH($G222, Factor!$X$4:$X$13, 1),6)*IF(MOD(G222, 10) = 0, 10, MOD(G222, 10)))+INDEX(Factor!$AE$4:$AJ$13, _xlfn.XMATCH(MonsterData!$G222, Factor!$AE$4:$AE$13, 1),6))</f>
        <v>172.8</v>
      </c>
      <c r="Z222" s="17">
        <f>$Q222*VLOOKUP($J222, Factor!$B$12:$H$13, 7, 0)</f>
        <v>1</v>
      </c>
      <c r="AA222" s="17">
        <v>1</v>
      </c>
      <c r="AB222" s="17">
        <f t="shared" si="13"/>
        <v>0</v>
      </c>
      <c r="AC222" s="17" t="s">
        <v>139</v>
      </c>
      <c r="AD222" s="19" t="s">
        <v>387</v>
      </c>
    </row>
    <row r="223" spans="1:30" ht="15.75" customHeight="1">
      <c r="A223" s="13" t="str">
        <f>T223&amp;"_"&amp;F223&amp;VLOOKUP($C223, Factor!$AM$4:$AY$30, 7, 0)&amp;IF(COUNTIFS($C$4:C222, C223, $F$4:F222, F223)+1&gt;=100, COUNTIFS($C$4:C222, C223, $F$4:F222, F223)+1,IF(COUNTIFS($C$4:C222, C223, $F$4:F222, F223)+1&gt;=10, "0"&amp;COUNTIFS($C$4:C222, C223, $F$4:F222, F223)+1, "00"&amp;COUNTIFS($C$4:C222, C223, $F$4:F222, F223)+1))</f>
        <v>enpc_F04_A_Swarmlet_001</v>
      </c>
      <c r="B223" s="13"/>
      <c r="C223" s="13" t="s">
        <v>355</v>
      </c>
      <c r="D223" s="21" t="str">
        <f t="shared" si="12"/>
        <v>스웜렛</v>
      </c>
      <c r="E223" s="21" t="str">
        <f>VLOOKUP($C223, Factor!$AM$4:$AY$30, 8, 0)</f>
        <v>B</v>
      </c>
      <c r="F223" s="21" t="s">
        <v>112</v>
      </c>
      <c r="G223" s="22">
        <v>33</v>
      </c>
      <c r="H223" s="13" t="s">
        <v>56</v>
      </c>
      <c r="I223" s="21" t="str">
        <f>VLOOKUP($C223, Factor!$AM$4:$AY$30, 11, 0)</f>
        <v>A</v>
      </c>
      <c r="J223" s="21" t="str">
        <f>VLOOKUP($C223, Factor!$AM$4:$AY$30, 12, 0)</f>
        <v>ml</v>
      </c>
      <c r="K223" s="21" t="str">
        <f>VLOOKUP($C223, Factor!$AM$4:$AY$30, 13, 0)</f>
        <v>L</v>
      </c>
      <c r="L223" s="13">
        <v>1</v>
      </c>
      <c r="M223" s="13">
        <v>1</v>
      </c>
      <c r="N223" s="13">
        <v>1</v>
      </c>
      <c r="O223" s="13">
        <v>1</v>
      </c>
      <c r="P223" s="13">
        <v>1</v>
      </c>
      <c r="Q223" s="13">
        <v>1</v>
      </c>
      <c r="R223" s="21" t="str">
        <f>VLOOKUP($C223, Factor!$AM$4:$AY$30, 9, 0)</f>
        <v>Small</v>
      </c>
      <c r="S223" s="13" t="s">
        <v>405</v>
      </c>
      <c r="T223" s="21" t="str">
        <f>VLOOKUP($C223, Factor!$AM$4:$AY$30, 10, 0)</f>
        <v>enpc</v>
      </c>
      <c r="U223" s="21" cm="1">
        <f t="array" ref="U223">L223*VLOOKUP($I223, Factor!$B$4:$G$8, 2, 0)*VLOOKUP($J223, Factor!$B$12:$G$13, 2, 0)*VLOOKUP($K223, Factor!$B$17:$G$18, 2, 0)*VLOOKUP($H223, Factor!$J$4:$O$7, 2, 0)*VLOOKUP($F223, Factor!$Q$4:$V$15, 2, 0)*IF(MOD($G223,10)=0, 10, MOD($G223, 10))*((INDEX(Factor!$X$4:$AC$13, _xlfn.XMATCH($G223, Factor!$X$4:$X$13, 1),2)*IF(MOD(G223, 10) = 0, 10, MOD(G223, 10)))+INDEX(Factor!$AE$4:$AJ$13, _xlfn.XMATCH(MonsterData!$G223, Factor!$AE$4:$AE$13, 1),2))</f>
        <v>5184</v>
      </c>
      <c r="V223" s="21" cm="1">
        <f t="array" ref="V223">M223*VLOOKUP($I223, Factor!$B$4:$G$8, 3, 0)*VLOOKUP($J223, Factor!$B$12:$G$13, 3, 0)*VLOOKUP($K223, Factor!$B$17:$G$18, 3, 0)*VLOOKUP($H223, Factor!$J$4:$O$7, 3, 0)*VLOOKUP($F223, Factor!$Q$4:$V$15, 3, 0)*IF(MOD($G223,10)=0, 10, MOD($G223, 10))*((INDEX(Factor!$X$4:$AC$13, _xlfn.XMATCH($G223, Factor!$X$4:$X$13, 1),3)*IF(MOD(G223, 10) = 0, 10, MOD(G223, 10)))+INDEX(Factor!$AE$4:$AJ$13, _xlfn.XMATCH(MonsterData!$G223, Factor!$AE$4:$AE$13, 1),3))</f>
        <v>259.2</v>
      </c>
      <c r="W223" s="21" cm="1">
        <f t="array" ref="W223">N223*VLOOKUP($I223, Factor!$B$4:$G$8, 4, 0)*VLOOKUP($J223, Factor!$B$12:$G$13, 4, 0)*VLOOKUP($K223, Factor!$B$17:$G$18, 4, 0)*VLOOKUP($H223, Factor!$J$4:$O$7, 4, 0)*VLOOKUP($F223, Factor!$Q$4:$V$15, 4, 0)*IF(MOD($G223,10)=0, 10, MOD($G223, 10))*((INDEX(Factor!$X$4:$AC$13, _xlfn.XMATCH($G223, Factor!$X$4:$X$13, 1),4)*IF(MOD(G223, 10) = 0, 10, MOD(G223, 10)))+INDEX(Factor!$AE$4:$AJ$13, _xlfn.XMATCH(MonsterData!$G223, Factor!$AE$4:$AE$13, 1),4))</f>
        <v>311.04000000000002</v>
      </c>
      <c r="X223" s="21" cm="1">
        <f t="array" ref="X223">O223*VLOOKUP($I223, Factor!$B$4:$G$8, 5, 0)*VLOOKUP($J223, Factor!$B$12:$G$13, 5, 0)*VLOOKUP($K223, Factor!$B$17:$G$18, 5, 0)*VLOOKUP($H223, Factor!$J$4:$O$7, 5, 0)*VLOOKUP($F223, Factor!$Q$4:$V$15, 5, 0)*IF(MOD($G223,10)=0, 10, MOD($G223, 10))*((INDEX(Factor!$X$4:$AC$13, _xlfn.XMATCH($G223, Factor!$X$4:$X$13, 1),5)*IF(MOD(G223, 10) = 0, 10, MOD(G223, 10)))+INDEX(Factor!$AE$4:$AJ$13, _xlfn.XMATCH(MonsterData!$G223, Factor!$AE$4:$AE$13, 1),5))</f>
        <v>31.104000000000003</v>
      </c>
      <c r="Y223" s="21" cm="1">
        <f t="array" ref="Y223">P223*VLOOKUP($I223, Factor!$B$4:$G$8, 6, 0)*VLOOKUP($J223, Factor!$B$12:$G$13, 6, 0)*VLOOKUP($K223, Factor!$B$17:$G$18, 6, 0)*VLOOKUP($H223, Factor!$J$4:$O$7, 2, 0)*VLOOKUP($F223, Factor!$Q$4:$V$15, 6, 0)*IF(MOD($G223,10)=0, 10, MOD($G223, 10))*((INDEX(Factor!$X$4:$AC$13, _xlfn.XMATCH($G223, Factor!$X$4:$X$13, 1),6)*IF(MOD(G223, 10) = 0, 10, MOD(G223, 10)))+INDEX(Factor!$AE$4:$AJ$13, _xlfn.XMATCH(MonsterData!$G223, Factor!$AE$4:$AE$13, 1),6))</f>
        <v>172.8</v>
      </c>
      <c r="Z223" s="21">
        <f>$Q223*VLOOKUP($J223, Factor!$B$12:$H$13, 7, 0)</f>
        <v>1</v>
      </c>
      <c r="AA223" s="13">
        <v>1</v>
      </c>
      <c r="AB223" s="21">
        <f t="shared" si="13"/>
        <v>0</v>
      </c>
      <c r="AC223" s="13" t="s">
        <v>139</v>
      </c>
      <c r="AD223" s="15" t="s">
        <v>387</v>
      </c>
    </row>
    <row r="224" spans="1:30" ht="15.75" customHeight="1">
      <c r="A224" s="16" t="str">
        <f>T224&amp;"_"&amp;F224&amp;VLOOKUP($C224, Factor!$AM$4:$AY$30, 7, 0)&amp;IF(COUNTIFS($C$4:C223, C224, $F$4:F223, F224)+1&gt;=100, COUNTIFS($C$4:C223, C224, $F$4:F223, F224)+1,IF(COUNTIFS($C$4:C223, C224, $F$4:F223, F224)+1&gt;=10, "0"&amp;COUNTIFS($C$4:C223, C224, $F$4:F223, F224)+1, "00"&amp;COUNTIFS($C$4:C223, C224, $F$4:F223, F224)+1))</f>
        <v>enpc_F04_A_Mantis_001</v>
      </c>
      <c r="B224" s="16"/>
      <c r="C224" s="16" t="s">
        <v>357</v>
      </c>
      <c r="D224" s="17" t="str">
        <f t="shared" si="12"/>
        <v>맨티스</v>
      </c>
      <c r="E224" s="17" t="str">
        <f>VLOOKUP($C224, Factor!$AM$4:$AY$30, 8, 0)</f>
        <v>S</v>
      </c>
      <c r="F224" s="17" t="s">
        <v>112</v>
      </c>
      <c r="G224" s="20">
        <v>33</v>
      </c>
      <c r="H224" s="16" t="s">
        <v>55</v>
      </c>
      <c r="I224" s="17" t="str">
        <f>VLOOKUP($C224, Factor!$AM$4:$AY$30, 11, 0)</f>
        <v>A</v>
      </c>
      <c r="J224" s="17" t="str">
        <f>VLOOKUP($C224, Factor!$AM$4:$AY$30, 12, 0)</f>
        <v>ml</v>
      </c>
      <c r="K224" s="17" t="str">
        <f>VLOOKUP($C224, Factor!$AM$4:$AY$30, 13, 0)</f>
        <v>L</v>
      </c>
      <c r="L224" s="17">
        <v>1</v>
      </c>
      <c r="M224" s="17">
        <v>1</v>
      </c>
      <c r="N224" s="17">
        <v>1</v>
      </c>
      <c r="O224" s="17">
        <v>1</v>
      </c>
      <c r="P224" s="17">
        <v>1</v>
      </c>
      <c r="Q224" s="17">
        <v>1</v>
      </c>
      <c r="R224" s="17" t="str">
        <f>VLOOKUP($C224, Factor!$AM$4:$AY$30, 9, 0)</f>
        <v>Small</v>
      </c>
      <c r="S224" s="17" t="s">
        <v>400</v>
      </c>
      <c r="T224" s="17" t="str">
        <f>VLOOKUP($C224, Factor!$AM$4:$AY$30, 10, 0)</f>
        <v>enpc</v>
      </c>
      <c r="U224" s="17" cm="1">
        <f t="array" ref="U224">L224*VLOOKUP($I224, Factor!$B$4:$G$8, 2, 0)*VLOOKUP($J224, Factor!$B$12:$G$13, 2, 0)*VLOOKUP($K224, Factor!$B$17:$G$18, 2, 0)*VLOOKUP($H224, Factor!$J$4:$O$7, 2, 0)*VLOOKUP($F224, Factor!$Q$4:$V$15, 2, 0)*IF(MOD($G224,10)=0, 10, MOD($G224, 10))*((INDEX(Factor!$X$4:$AC$13, _xlfn.XMATCH($G224, Factor!$X$4:$X$13, 1),2)*IF(MOD(G224, 10) = 0, 10, MOD(G224, 10)))+INDEX(Factor!$AE$4:$AJ$13, _xlfn.XMATCH(MonsterData!$G224, Factor!$AE$4:$AE$13, 1),2))</f>
        <v>5184</v>
      </c>
      <c r="V224" s="17" cm="1">
        <f t="array" ref="V224">M224*VLOOKUP($I224, Factor!$B$4:$G$8, 3, 0)*VLOOKUP($J224, Factor!$B$12:$G$13, 3, 0)*VLOOKUP($K224, Factor!$B$17:$G$18, 3, 0)*VLOOKUP($H224, Factor!$J$4:$O$7, 3, 0)*VLOOKUP($F224, Factor!$Q$4:$V$15, 3, 0)*IF(MOD($G224,10)=0, 10, MOD($G224, 10))*((INDEX(Factor!$X$4:$AC$13, _xlfn.XMATCH($G224, Factor!$X$4:$X$13, 1),3)*IF(MOD(G224, 10) = 0, 10, MOD(G224, 10)))+INDEX(Factor!$AE$4:$AJ$13, _xlfn.XMATCH(MonsterData!$G224, Factor!$AE$4:$AE$13, 1),3))</f>
        <v>259.2</v>
      </c>
      <c r="W224" s="17" cm="1">
        <f t="array" ref="W224">N224*VLOOKUP($I224, Factor!$B$4:$G$8, 4, 0)*VLOOKUP($J224, Factor!$B$12:$G$13, 4, 0)*VLOOKUP($K224, Factor!$B$17:$G$18, 4, 0)*VLOOKUP($H224, Factor!$J$4:$O$7, 4, 0)*VLOOKUP($F224, Factor!$Q$4:$V$15, 4, 0)*IF(MOD($G224,10)=0, 10, MOD($G224, 10))*((INDEX(Factor!$X$4:$AC$13, _xlfn.XMATCH($G224, Factor!$X$4:$X$13, 1),4)*IF(MOD(G224, 10) = 0, 10, MOD(G224, 10)))+INDEX(Factor!$AE$4:$AJ$13, _xlfn.XMATCH(MonsterData!$G224, Factor!$AE$4:$AE$13, 1),4))</f>
        <v>155.52000000000001</v>
      </c>
      <c r="X224" s="17" cm="1">
        <f t="array" ref="X224">O224*VLOOKUP($I224, Factor!$B$4:$G$8, 5, 0)*VLOOKUP($J224, Factor!$B$12:$G$13, 5, 0)*VLOOKUP($K224, Factor!$B$17:$G$18, 5, 0)*VLOOKUP($H224, Factor!$J$4:$O$7, 5, 0)*VLOOKUP($F224, Factor!$Q$4:$V$15, 5, 0)*IF(MOD($G224,10)=0, 10, MOD($G224, 10))*((INDEX(Factor!$X$4:$AC$13, _xlfn.XMATCH($G224, Factor!$X$4:$X$13, 1),5)*IF(MOD(G224, 10) = 0, 10, MOD(G224, 10)))+INDEX(Factor!$AE$4:$AJ$13, _xlfn.XMATCH(MonsterData!$G224, Factor!$AE$4:$AE$13, 1),5))</f>
        <v>34.560000000000009</v>
      </c>
      <c r="Y224" s="17" cm="1">
        <f t="array" ref="Y224">P224*VLOOKUP($I224, Factor!$B$4:$G$8, 6, 0)*VLOOKUP($J224, Factor!$B$12:$G$13, 6, 0)*VLOOKUP($K224, Factor!$B$17:$G$18, 6, 0)*VLOOKUP($H224, Factor!$J$4:$O$7, 2, 0)*VLOOKUP($F224, Factor!$Q$4:$V$15, 6, 0)*IF(MOD($G224,10)=0, 10, MOD($G224, 10))*((INDEX(Factor!$X$4:$AC$13, _xlfn.XMATCH($G224, Factor!$X$4:$X$13, 1),6)*IF(MOD(G224, 10) = 0, 10, MOD(G224, 10)))+INDEX(Factor!$AE$4:$AJ$13, _xlfn.XMATCH(MonsterData!$G224, Factor!$AE$4:$AE$13, 1),6))</f>
        <v>172.8</v>
      </c>
      <c r="Z224" s="17">
        <f>$Q224*VLOOKUP($J224, Factor!$B$12:$H$13, 7, 0)</f>
        <v>1</v>
      </c>
      <c r="AA224" s="17">
        <v>1</v>
      </c>
      <c r="AB224" s="17">
        <f t="shared" si="13"/>
        <v>0</v>
      </c>
      <c r="AC224" s="17" t="s">
        <v>139</v>
      </c>
      <c r="AD224" s="19" t="s">
        <v>387</v>
      </c>
    </row>
    <row r="225" spans="1:30" ht="15.75" customHeight="1">
      <c r="A225" s="13" t="str">
        <f>T225&amp;"_"&amp;F225&amp;VLOOKUP($C225, Factor!$AM$4:$AY$30, 7, 0)&amp;IF(COUNTIFS($C$4:C224, C225, $F$4:F224, F225)+1&gt;=100, COUNTIFS($C$4:C224, C225, $F$4:F224, F225)+1,IF(COUNTIFS($C$4:C224, C225, $F$4:F224, F225)+1&gt;=10, "0"&amp;COUNTIFS($C$4:C224, C225, $F$4:F224, F225)+1, "00"&amp;COUNTIFS($C$4:C224, C225, $F$4:F224, F225)+1))</f>
        <v>enpc_F04_B_Kobold_001</v>
      </c>
      <c r="B225" s="13"/>
      <c r="C225" s="13" t="s">
        <v>359</v>
      </c>
      <c r="D225" s="21" t="str">
        <f t="shared" si="12"/>
        <v>코볼트</v>
      </c>
      <c r="E225" s="21" t="str">
        <f>VLOOKUP($C225, Factor!$AM$4:$AY$30, 8, 0)</f>
        <v>M</v>
      </c>
      <c r="F225" s="21" t="s">
        <v>112</v>
      </c>
      <c r="G225" s="22">
        <v>53</v>
      </c>
      <c r="H225" s="13" t="s">
        <v>56</v>
      </c>
      <c r="I225" s="21" t="str">
        <f>VLOOKUP($C225, Factor!$AM$4:$AY$30, 11, 0)</f>
        <v>B</v>
      </c>
      <c r="J225" s="21" t="str">
        <f>VLOOKUP($C225, Factor!$AM$4:$AY$30, 12, 0)</f>
        <v>ml</v>
      </c>
      <c r="K225" s="21" t="str">
        <f>VLOOKUP($C225, Factor!$AM$4:$AY$30, 13, 0)</f>
        <v>L</v>
      </c>
      <c r="L225" s="13">
        <v>1</v>
      </c>
      <c r="M225" s="13">
        <v>1</v>
      </c>
      <c r="N225" s="13">
        <v>1</v>
      </c>
      <c r="O225" s="13">
        <v>1</v>
      </c>
      <c r="P225" s="13">
        <v>1</v>
      </c>
      <c r="Q225" s="13">
        <v>1</v>
      </c>
      <c r="R225" s="21" t="str">
        <f>VLOOKUP($C225, Factor!$AM$4:$AY$30, 9, 0)</f>
        <v>Small</v>
      </c>
      <c r="S225" s="13" t="s">
        <v>406</v>
      </c>
      <c r="T225" s="21" t="str">
        <f>VLOOKUP($C225, Factor!$AM$4:$AY$30, 10, 0)</f>
        <v>enpc</v>
      </c>
      <c r="U225" s="21" cm="1">
        <f t="array" ref="U225">L225*VLOOKUP($I225, Factor!$B$4:$G$8, 2, 0)*VLOOKUP($J225, Factor!$B$12:$G$13, 2, 0)*VLOOKUP($K225, Factor!$B$17:$G$18, 2, 0)*VLOOKUP($H225, Factor!$J$4:$O$7, 2, 0)*VLOOKUP($F225, Factor!$Q$4:$V$15, 2, 0)*IF(MOD($G225,10)=0, 10, MOD($G225, 10))*((INDEX(Factor!$X$4:$AC$13, _xlfn.XMATCH($G225, Factor!$X$4:$X$13, 1),2)*IF(MOD(G225, 10) = 0, 10, MOD(G225, 10)))+INDEX(Factor!$AE$4:$AJ$13, _xlfn.XMATCH(MonsterData!$G225, Factor!$AE$4:$AE$13, 1),2))</f>
        <v>60480</v>
      </c>
      <c r="V225" s="21" cm="1">
        <f t="array" ref="V225">M225*VLOOKUP($I225, Factor!$B$4:$G$8, 3, 0)*VLOOKUP($J225, Factor!$B$12:$G$13, 3, 0)*VLOOKUP($K225, Factor!$B$17:$G$18, 3, 0)*VLOOKUP($H225, Factor!$J$4:$O$7, 3, 0)*VLOOKUP($F225, Factor!$Q$4:$V$15, 3, 0)*IF(MOD($G225,10)=0, 10, MOD($G225, 10))*((INDEX(Factor!$X$4:$AC$13, _xlfn.XMATCH($G225, Factor!$X$4:$X$13, 1),3)*IF(MOD(G225, 10) = 0, 10, MOD(G225, 10)))+INDEX(Factor!$AE$4:$AJ$13, _xlfn.XMATCH(MonsterData!$G225, Factor!$AE$4:$AE$13, 1),3))</f>
        <v>3024</v>
      </c>
      <c r="W225" s="21" cm="1">
        <f t="array" ref="W225">N225*VLOOKUP($I225, Factor!$B$4:$G$8, 4, 0)*VLOOKUP($J225, Factor!$B$12:$G$13, 4, 0)*VLOOKUP($K225, Factor!$B$17:$G$18, 4, 0)*VLOOKUP($H225, Factor!$J$4:$O$7, 4, 0)*VLOOKUP($F225, Factor!$Q$4:$V$15, 4, 0)*IF(MOD($G225,10)=0, 10, MOD($G225, 10))*((INDEX(Factor!$X$4:$AC$13, _xlfn.XMATCH($G225, Factor!$X$4:$X$13, 1),4)*IF(MOD(G225, 10) = 0, 10, MOD(G225, 10)))+INDEX(Factor!$AE$4:$AJ$13, _xlfn.XMATCH(MonsterData!$G225, Factor!$AE$4:$AE$13, 1),4))</f>
        <v>6048</v>
      </c>
      <c r="X225" s="21" cm="1">
        <f t="array" ref="X225">O225*VLOOKUP($I225, Factor!$B$4:$G$8, 5, 0)*VLOOKUP($J225, Factor!$B$12:$G$13, 5, 0)*VLOOKUP($K225, Factor!$B$17:$G$18, 5, 0)*VLOOKUP($H225, Factor!$J$4:$O$7, 5, 0)*VLOOKUP($F225, Factor!$Q$4:$V$15, 5, 0)*IF(MOD($G225,10)=0, 10, MOD($G225, 10))*((INDEX(Factor!$X$4:$AC$13, _xlfn.XMATCH($G225, Factor!$X$4:$X$13, 1),5)*IF(MOD(G225, 10) = 0, 10, MOD(G225, 10)))+INDEX(Factor!$AE$4:$AJ$13, _xlfn.XMATCH(MonsterData!$G225, Factor!$AE$4:$AE$13, 1),5))</f>
        <v>145.15200000000002</v>
      </c>
      <c r="Y225" s="21" cm="1">
        <f t="array" ref="Y225">P225*VLOOKUP($I225, Factor!$B$4:$G$8, 6, 0)*VLOOKUP($J225, Factor!$B$12:$G$13, 6, 0)*VLOOKUP($K225, Factor!$B$17:$G$18, 6, 0)*VLOOKUP($H225, Factor!$J$4:$O$7, 2, 0)*VLOOKUP($F225, Factor!$Q$4:$V$15, 6, 0)*IF(MOD($G225,10)=0, 10, MOD($G225, 10))*((INDEX(Factor!$X$4:$AC$13, _xlfn.XMATCH($G225, Factor!$X$4:$X$13, 1),6)*IF(MOD(G225, 10) = 0, 10, MOD(G225, 10)))+INDEX(Factor!$AE$4:$AJ$13, _xlfn.XMATCH(MonsterData!$G225, Factor!$AE$4:$AE$13, 1),6))</f>
        <v>322.56000000000006</v>
      </c>
      <c r="Z225" s="21">
        <f>$Q225*VLOOKUP($J225, Factor!$B$12:$H$13, 7, 0)</f>
        <v>1</v>
      </c>
      <c r="AA225" s="13">
        <v>1</v>
      </c>
      <c r="AB225" s="21">
        <f t="shared" si="13"/>
        <v>0</v>
      </c>
      <c r="AC225" s="13" t="s">
        <v>393</v>
      </c>
      <c r="AD225" s="15" t="s">
        <v>388</v>
      </c>
    </row>
    <row r="226" spans="1:30" ht="15.75" customHeight="1">
      <c r="A226" s="16" t="str">
        <f>T226&amp;"_"&amp;F226&amp;VLOOKUP($C226, Factor!$AM$4:$AY$30, 7, 0)&amp;IF(COUNTIFS($C$4:C225, C226, $F$4:F225, F226)+1&gt;=100, COUNTIFS($C$4:C225, C226, $F$4:F225, F226)+1,IF(COUNTIFS($C$4:C225, C226, $F$4:F225, F226)+1&gt;=10, "0"&amp;COUNTIFS($C$4:C225, C226, $F$4:F225, F226)+1, "00"&amp;COUNTIFS($C$4:C225, C226, $F$4:F225, F226)+1))</f>
        <v>enpc_F04_B_Ghoul_001</v>
      </c>
      <c r="B226" s="16"/>
      <c r="C226" s="16" t="s">
        <v>361</v>
      </c>
      <c r="D226" s="17" t="str">
        <f t="shared" si="12"/>
        <v>구울</v>
      </c>
      <c r="E226" s="17" t="str">
        <f>VLOOKUP($C226, Factor!$AM$4:$AY$30, 8, 0)</f>
        <v>M</v>
      </c>
      <c r="F226" s="17" t="s">
        <v>112</v>
      </c>
      <c r="G226" s="20">
        <v>53</v>
      </c>
      <c r="H226" s="16" t="s">
        <v>55</v>
      </c>
      <c r="I226" s="17" t="str">
        <f>VLOOKUP($C226, Factor!$AM$4:$AY$30, 11, 0)</f>
        <v>B</v>
      </c>
      <c r="J226" s="17" t="str">
        <f>VLOOKUP($C226, Factor!$AM$4:$AY$30, 12, 0)</f>
        <v>ml</v>
      </c>
      <c r="K226" s="17" t="str">
        <f>VLOOKUP($C226, Factor!$AM$4:$AY$30, 13, 0)</f>
        <v>L</v>
      </c>
      <c r="L226" s="17">
        <v>1</v>
      </c>
      <c r="M226" s="17">
        <v>1</v>
      </c>
      <c r="N226" s="17">
        <v>1</v>
      </c>
      <c r="O226" s="17">
        <v>1</v>
      </c>
      <c r="P226" s="17">
        <v>1</v>
      </c>
      <c r="Q226" s="17">
        <v>1</v>
      </c>
      <c r="R226" s="17" t="str">
        <f>VLOOKUP($C226, Factor!$AM$4:$AY$30, 9, 0)</f>
        <v>Midium</v>
      </c>
      <c r="S226" s="17" t="s">
        <v>401</v>
      </c>
      <c r="T226" s="17" t="str">
        <f>VLOOKUP($C226, Factor!$AM$4:$AY$30, 10, 0)</f>
        <v>enpc</v>
      </c>
      <c r="U226" s="17" cm="1">
        <f t="array" ref="U226">L226*VLOOKUP($I226, Factor!$B$4:$G$8, 2, 0)*VLOOKUP($J226, Factor!$B$12:$G$13, 2, 0)*VLOOKUP($K226, Factor!$B$17:$G$18, 2, 0)*VLOOKUP($H226, Factor!$J$4:$O$7, 2, 0)*VLOOKUP($F226, Factor!$Q$4:$V$15, 2, 0)*IF(MOD($G226,10)=0, 10, MOD($G226, 10))*((INDEX(Factor!$X$4:$AC$13, _xlfn.XMATCH($G226, Factor!$X$4:$X$13, 1),2)*IF(MOD(G226, 10) = 0, 10, MOD(G226, 10)))+INDEX(Factor!$AE$4:$AJ$13, _xlfn.XMATCH(MonsterData!$G226, Factor!$AE$4:$AE$13, 1),2))</f>
        <v>60480</v>
      </c>
      <c r="V226" s="17" cm="1">
        <f t="array" ref="V226">M226*VLOOKUP($I226, Factor!$B$4:$G$8, 3, 0)*VLOOKUP($J226, Factor!$B$12:$G$13, 3, 0)*VLOOKUP($K226, Factor!$B$17:$G$18, 3, 0)*VLOOKUP($H226, Factor!$J$4:$O$7, 3, 0)*VLOOKUP($F226, Factor!$Q$4:$V$15, 3, 0)*IF(MOD($G226,10)=0, 10, MOD($G226, 10))*((INDEX(Factor!$X$4:$AC$13, _xlfn.XMATCH($G226, Factor!$X$4:$X$13, 1),3)*IF(MOD(G226, 10) = 0, 10, MOD(G226, 10)))+INDEX(Factor!$AE$4:$AJ$13, _xlfn.XMATCH(MonsterData!$G226, Factor!$AE$4:$AE$13, 1),3))</f>
        <v>3024</v>
      </c>
      <c r="W226" s="17" cm="1">
        <f t="array" ref="W226">N226*VLOOKUP($I226, Factor!$B$4:$G$8, 4, 0)*VLOOKUP($J226, Factor!$B$12:$G$13, 4, 0)*VLOOKUP($K226, Factor!$B$17:$G$18, 4, 0)*VLOOKUP($H226, Factor!$J$4:$O$7, 4, 0)*VLOOKUP($F226, Factor!$Q$4:$V$15, 4, 0)*IF(MOD($G226,10)=0, 10, MOD($G226, 10))*((INDEX(Factor!$X$4:$AC$13, _xlfn.XMATCH($G226, Factor!$X$4:$X$13, 1),4)*IF(MOD(G226, 10) = 0, 10, MOD(G226, 10)))+INDEX(Factor!$AE$4:$AJ$13, _xlfn.XMATCH(MonsterData!$G226, Factor!$AE$4:$AE$13, 1),4))</f>
        <v>3024</v>
      </c>
      <c r="X226" s="17" cm="1">
        <f t="array" ref="X226">O226*VLOOKUP($I226, Factor!$B$4:$G$8, 5, 0)*VLOOKUP($J226, Factor!$B$12:$G$13, 5, 0)*VLOOKUP($K226, Factor!$B$17:$G$18, 5, 0)*VLOOKUP($H226, Factor!$J$4:$O$7, 5, 0)*VLOOKUP($F226, Factor!$Q$4:$V$15, 5, 0)*IF(MOD($G226,10)=0, 10, MOD($G226, 10))*((INDEX(Factor!$X$4:$AC$13, _xlfn.XMATCH($G226, Factor!$X$4:$X$13, 1),5)*IF(MOD(G226, 10) = 0, 10, MOD(G226, 10)))+INDEX(Factor!$AE$4:$AJ$13, _xlfn.XMATCH(MonsterData!$G226, Factor!$AE$4:$AE$13, 1),5))</f>
        <v>161.28000000000003</v>
      </c>
      <c r="Y226" s="17" cm="1">
        <f t="array" ref="Y226">P226*VLOOKUP($I226, Factor!$B$4:$G$8, 6, 0)*VLOOKUP($J226, Factor!$B$12:$G$13, 6, 0)*VLOOKUP($K226, Factor!$B$17:$G$18, 6, 0)*VLOOKUP($H226, Factor!$J$4:$O$7, 2, 0)*VLOOKUP($F226, Factor!$Q$4:$V$15, 6, 0)*IF(MOD($G226,10)=0, 10, MOD($G226, 10))*((INDEX(Factor!$X$4:$AC$13, _xlfn.XMATCH($G226, Factor!$X$4:$X$13, 1),6)*IF(MOD(G226, 10) = 0, 10, MOD(G226, 10)))+INDEX(Factor!$AE$4:$AJ$13, _xlfn.XMATCH(MonsterData!$G226, Factor!$AE$4:$AE$13, 1),6))</f>
        <v>322.56000000000006</v>
      </c>
      <c r="Z226" s="17">
        <f>$Q226*VLOOKUP($J226, Factor!$B$12:$H$13, 7, 0)</f>
        <v>1</v>
      </c>
      <c r="AA226" s="17">
        <v>1</v>
      </c>
      <c r="AB226" s="17">
        <f t="shared" si="13"/>
        <v>0</v>
      </c>
      <c r="AC226" s="17" t="s">
        <v>394</v>
      </c>
      <c r="AD226" s="19" t="s">
        <v>389</v>
      </c>
    </row>
    <row r="227" spans="1:30" ht="15.75" customHeight="1">
      <c r="A227" s="13" t="str">
        <f>T227&amp;"_"&amp;F227&amp;VLOOKUP($C227, Factor!$AM$4:$AY$30, 7, 0)&amp;IF(COUNTIFS($C$4:C226, C227, $F$4:F226, F227)+1&gt;=100, COUNTIFS($C$4:C226, C227, $F$4:F226, F227)+1,IF(COUNTIFS($C$4:C226, C227, $F$4:F226, F227)+1&gt;=10, "0"&amp;COUNTIFS($C$4:C226, C227, $F$4:F226, F227)+1, "00"&amp;COUNTIFS($C$4:C226, C227, $F$4:F226, F227)+1))</f>
        <v>enpc_F04_B_Gorgon_001</v>
      </c>
      <c r="B227" s="13"/>
      <c r="C227" s="13" t="s">
        <v>363</v>
      </c>
      <c r="D227" s="21" t="str">
        <f t="shared" si="12"/>
        <v>고르곤</v>
      </c>
      <c r="E227" s="21" t="str">
        <f>VLOOKUP($C227, Factor!$AM$4:$AY$30, 8, 0)</f>
        <v>B</v>
      </c>
      <c r="F227" s="21" t="s">
        <v>112</v>
      </c>
      <c r="G227" s="22">
        <v>53</v>
      </c>
      <c r="H227" s="13" t="s">
        <v>56</v>
      </c>
      <c r="I227" s="21" t="str">
        <f>VLOOKUP($C227, Factor!$AM$4:$AY$30, 11, 0)</f>
        <v>B</v>
      </c>
      <c r="J227" s="21" t="str">
        <f>VLOOKUP($C227, Factor!$AM$4:$AY$30, 12, 0)</f>
        <v>ml</v>
      </c>
      <c r="K227" s="21" t="str">
        <f>VLOOKUP($C227, Factor!$AM$4:$AY$30, 13, 0)</f>
        <v>L</v>
      </c>
      <c r="L227" s="13">
        <v>1</v>
      </c>
      <c r="M227" s="13">
        <v>1</v>
      </c>
      <c r="N227" s="13">
        <v>1</v>
      </c>
      <c r="O227" s="13">
        <v>1</v>
      </c>
      <c r="P227" s="13">
        <v>1</v>
      </c>
      <c r="Q227" s="13">
        <v>1</v>
      </c>
      <c r="R227" s="21" t="str">
        <f>VLOOKUP($C227, Factor!$AM$4:$AY$30, 9, 0)</f>
        <v>Midium</v>
      </c>
      <c r="S227" s="13" t="s">
        <v>407</v>
      </c>
      <c r="T227" s="21" t="str">
        <f>VLOOKUP($C227, Factor!$AM$4:$AY$30, 10, 0)</f>
        <v>enpc</v>
      </c>
      <c r="U227" s="21" cm="1">
        <f t="array" ref="U227">L227*VLOOKUP($I227, Factor!$B$4:$G$8, 2, 0)*VLOOKUP($J227, Factor!$B$12:$G$13, 2, 0)*VLOOKUP($K227, Factor!$B$17:$G$18, 2, 0)*VLOOKUP($H227, Factor!$J$4:$O$7, 2, 0)*VLOOKUP($F227, Factor!$Q$4:$V$15, 2, 0)*IF(MOD($G227,10)=0, 10, MOD($G227, 10))*((INDEX(Factor!$X$4:$AC$13, _xlfn.XMATCH($G227, Factor!$X$4:$X$13, 1),2)*IF(MOD(G227, 10) = 0, 10, MOD(G227, 10)))+INDEX(Factor!$AE$4:$AJ$13, _xlfn.XMATCH(MonsterData!$G227, Factor!$AE$4:$AE$13, 1),2))</f>
        <v>60480</v>
      </c>
      <c r="V227" s="21" cm="1">
        <f t="array" ref="V227">M227*VLOOKUP($I227, Factor!$B$4:$G$8, 3, 0)*VLOOKUP($J227, Factor!$B$12:$G$13, 3, 0)*VLOOKUP($K227, Factor!$B$17:$G$18, 3, 0)*VLOOKUP($H227, Factor!$J$4:$O$7, 3, 0)*VLOOKUP($F227, Factor!$Q$4:$V$15, 3, 0)*IF(MOD($G227,10)=0, 10, MOD($G227, 10))*((INDEX(Factor!$X$4:$AC$13, _xlfn.XMATCH($G227, Factor!$X$4:$X$13, 1),3)*IF(MOD(G227, 10) = 0, 10, MOD(G227, 10)))+INDEX(Factor!$AE$4:$AJ$13, _xlfn.XMATCH(MonsterData!$G227, Factor!$AE$4:$AE$13, 1),3))</f>
        <v>3024</v>
      </c>
      <c r="W227" s="21" cm="1">
        <f t="array" ref="W227">N227*VLOOKUP($I227, Factor!$B$4:$G$8, 4, 0)*VLOOKUP($J227, Factor!$B$12:$G$13, 4, 0)*VLOOKUP($K227, Factor!$B$17:$G$18, 4, 0)*VLOOKUP($H227, Factor!$J$4:$O$7, 4, 0)*VLOOKUP($F227, Factor!$Q$4:$V$15, 4, 0)*IF(MOD($G227,10)=0, 10, MOD($G227, 10))*((INDEX(Factor!$X$4:$AC$13, _xlfn.XMATCH($G227, Factor!$X$4:$X$13, 1),4)*IF(MOD(G227, 10) = 0, 10, MOD(G227, 10)))+INDEX(Factor!$AE$4:$AJ$13, _xlfn.XMATCH(MonsterData!$G227, Factor!$AE$4:$AE$13, 1),4))</f>
        <v>6048</v>
      </c>
      <c r="X227" s="21" cm="1">
        <f t="array" ref="X227">O227*VLOOKUP($I227, Factor!$B$4:$G$8, 5, 0)*VLOOKUP($J227, Factor!$B$12:$G$13, 5, 0)*VLOOKUP($K227, Factor!$B$17:$G$18, 5, 0)*VLOOKUP($H227, Factor!$J$4:$O$7, 5, 0)*VLOOKUP($F227, Factor!$Q$4:$V$15, 5, 0)*IF(MOD($G227,10)=0, 10, MOD($G227, 10))*((INDEX(Factor!$X$4:$AC$13, _xlfn.XMATCH($G227, Factor!$X$4:$X$13, 1),5)*IF(MOD(G227, 10) = 0, 10, MOD(G227, 10)))+INDEX(Factor!$AE$4:$AJ$13, _xlfn.XMATCH(MonsterData!$G227, Factor!$AE$4:$AE$13, 1),5))</f>
        <v>145.15200000000002</v>
      </c>
      <c r="Y227" s="21" cm="1">
        <f t="array" ref="Y227">P227*VLOOKUP($I227, Factor!$B$4:$G$8, 6, 0)*VLOOKUP($J227, Factor!$B$12:$G$13, 6, 0)*VLOOKUP($K227, Factor!$B$17:$G$18, 6, 0)*VLOOKUP($H227, Factor!$J$4:$O$7, 2, 0)*VLOOKUP($F227, Factor!$Q$4:$V$15, 6, 0)*IF(MOD($G227,10)=0, 10, MOD($G227, 10))*((INDEX(Factor!$X$4:$AC$13, _xlfn.XMATCH($G227, Factor!$X$4:$X$13, 1),6)*IF(MOD(G227, 10) = 0, 10, MOD(G227, 10)))+INDEX(Factor!$AE$4:$AJ$13, _xlfn.XMATCH(MonsterData!$G227, Factor!$AE$4:$AE$13, 1),6))</f>
        <v>322.56000000000006</v>
      </c>
      <c r="Z227" s="21">
        <f>$Q227*VLOOKUP($J227, Factor!$B$12:$H$13, 7, 0)</f>
        <v>1</v>
      </c>
      <c r="AA227" s="13">
        <v>1</v>
      </c>
      <c r="AB227" s="21">
        <f t="shared" si="13"/>
        <v>0</v>
      </c>
      <c r="AC227" s="13" t="s">
        <v>395</v>
      </c>
      <c r="AD227" s="15" t="s">
        <v>390</v>
      </c>
    </row>
    <row r="228" spans="1:30" ht="15.75" customHeight="1">
      <c r="A228" s="16" t="str">
        <f>T228&amp;"_"&amp;F228&amp;VLOOKUP($C228, Factor!$AM$4:$AY$30, 7, 0)&amp;IF(COUNTIFS($C$4:C227, C228, $F$4:F227, F228)+1&gt;=100, COUNTIFS($C$4:C227, C228, $F$4:F227, F228)+1,IF(COUNTIFS($C$4:C227, C228, $F$4:F227, F228)+1&gt;=10, "0"&amp;COUNTIFS($C$4:C227, C228, $F$4:F227, F228)+1, "00"&amp;COUNTIFS($C$4:C227, C228, $F$4:F227, F228)+1))</f>
        <v>enpc_F04_B_Gargoyle_001</v>
      </c>
      <c r="B228" s="16"/>
      <c r="C228" s="16" t="s">
        <v>365</v>
      </c>
      <c r="D228" s="17" t="str">
        <f t="shared" si="12"/>
        <v>가고일</v>
      </c>
      <c r="E228" s="17" t="str">
        <f>VLOOKUP($C228, Factor!$AM$4:$AY$30, 8, 0)</f>
        <v>B</v>
      </c>
      <c r="F228" s="17" t="s">
        <v>112</v>
      </c>
      <c r="G228" s="20">
        <v>53</v>
      </c>
      <c r="H228" s="16" t="s">
        <v>55</v>
      </c>
      <c r="I228" s="17" t="str">
        <f>VLOOKUP($C228, Factor!$AM$4:$AY$30, 11, 0)</f>
        <v>B</v>
      </c>
      <c r="J228" s="17" t="str">
        <f>VLOOKUP($C228, Factor!$AM$4:$AY$30, 12, 0)</f>
        <v>ml</v>
      </c>
      <c r="K228" s="17" t="str">
        <f>VLOOKUP($C228, Factor!$AM$4:$AY$30, 13, 0)</f>
        <v>F</v>
      </c>
      <c r="L228" s="17">
        <v>1</v>
      </c>
      <c r="M228" s="17">
        <v>1</v>
      </c>
      <c r="N228" s="17">
        <v>1</v>
      </c>
      <c r="O228" s="17">
        <v>1</v>
      </c>
      <c r="P228" s="17">
        <v>1</v>
      </c>
      <c r="Q228" s="17">
        <v>1</v>
      </c>
      <c r="R228" s="17" t="str">
        <f>VLOOKUP($C228, Factor!$AM$4:$AY$30, 9, 0)</f>
        <v>Big</v>
      </c>
      <c r="S228" s="17" t="s">
        <v>402</v>
      </c>
      <c r="T228" s="17" t="str">
        <f>VLOOKUP($C228, Factor!$AM$4:$AY$30, 10, 0)</f>
        <v>enpc</v>
      </c>
      <c r="U228" s="17" cm="1">
        <f t="array" ref="U228">L228*VLOOKUP($I228, Factor!$B$4:$G$8, 2, 0)*VLOOKUP($J228, Factor!$B$12:$G$13, 2, 0)*VLOOKUP($K228, Factor!$B$17:$G$18, 2, 0)*VLOOKUP($H228, Factor!$J$4:$O$7, 2, 0)*VLOOKUP($F228, Factor!$Q$4:$V$15, 2, 0)*IF(MOD($G228,10)=0, 10, MOD($G228, 10))*((INDEX(Factor!$X$4:$AC$13, _xlfn.XMATCH($G228, Factor!$X$4:$X$13, 1),2)*IF(MOD(G228, 10) = 0, 10, MOD(G228, 10)))+INDEX(Factor!$AE$4:$AJ$13, _xlfn.XMATCH(MonsterData!$G228, Factor!$AE$4:$AE$13, 1),2))</f>
        <v>40320</v>
      </c>
      <c r="V228" s="17" cm="1">
        <f t="array" ref="V228">M228*VLOOKUP($I228, Factor!$B$4:$G$8, 3, 0)*VLOOKUP($J228, Factor!$B$12:$G$13, 3, 0)*VLOOKUP($K228, Factor!$B$17:$G$18, 3, 0)*VLOOKUP($H228, Factor!$J$4:$O$7, 3, 0)*VLOOKUP($F228, Factor!$Q$4:$V$15, 3, 0)*IF(MOD($G228,10)=0, 10, MOD($G228, 10))*((INDEX(Factor!$X$4:$AC$13, _xlfn.XMATCH($G228, Factor!$X$4:$X$13, 1),3)*IF(MOD(G228, 10) = 0, 10, MOD(G228, 10)))+INDEX(Factor!$AE$4:$AJ$13, _xlfn.XMATCH(MonsterData!$G228, Factor!$AE$4:$AE$13, 1),3))</f>
        <v>2016</v>
      </c>
      <c r="W228" s="17" cm="1">
        <f t="array" ref="W228">N228*VLOOKUP($I228, Factor!$B$4:$G$8, 4, 0)*VLOOKUP($J228, Factor!$B$12:$G$13, 4, 0)*VLOOKUP($K228, Factor!$B$17:$G$18, 4, 0)*VLOOKUP($H228, Factor!$J$4:$O$7, 4, 0)*VLOOKUP($F228, Factor!$Q$4:$V$15, 4, 0)*IF(MOD($G228,10)=0, 10, MOD($G228, 10))*((INDEX(Factor!$X$4:$AC$13, _xlfn.XMATCH($G228, Factor!$X$4:$X$13, 1),4)*IF(MOD(G228, 10) = 0, 10, MOD(G228, 10)))+INDEX(Factor!$AE$4:$AJ$13, _xlfn.XMATCH(MonsterData!$G228, Factor!$AE$4:$AE$13, 1),4))</f>
        <v>2016</v>
      </c>
      <c r="X228" s="17" cm="1">
        <f t="array" ref="X228">O228*VLOOKUP($I228, Factor!$B$4:$G$8, 5, 0)*VLOOKUP($J228, Factor!$B$12:$G$13, 5, 0)*VLOOKUP($K228, Factor!$B$17:$G$18, 5, 0)*VLOOKUP($H228, Factor!$J$4:$O$7, 5, 0)*VLOOKUP($F228, Factor!$Q$4:$V$15, 5, 0)*IF(MOD($G228,10)=0, 10, MOD($G228, 10))*((INDEX(Factor!$X$4:$AC$13, _xlfn.XMATCH($G228, Factor!$X$4:$X$13, 1),5)*IF(MOD(G228, 10) = 0, 10, MOD(G228, 10)))+INDEX(Factor!$AE$4:$AJ$13, _xlfn.XMATCH(MonsterData!$G228, Factor!$AE$4:$AE$13, 1),5))</f>
        <v>161.28000000000003</v>
      </c>
      <c r="Y228" s="17" cm="1">
        <f t="array" ref="Y228">P228*VLOOKUP($I228, Factor!$B$4:$G$8, 6, 0)*VLOOKUP($J228, Factor!$B$12:$G$13, 6, 0)*VLOOKUP($K228, Factor!$B$17:$G$18, 6, 0)*VLOOKUP($H228, Factor!$J$4:$O$7, 2, 0)*VLOOKUP($F228, Factor!$Q$4:$V$15, 6, 0)*IF(MOD($G228,10)=0, 10, MOD($G228, 10))*((INDEX(Factor!$X$4:$AC$13, _xlfn.XMATCH($G228, Factor!$X$4:$X$13, 1),6)*IF(MOD(G228, 10) = 0, 10, MOD(G228, 10)))+INDEX(Factor!$AE$4:$AJ$13, _xlfn.XMATCH(MonsterData!$G228, Factor!$AE$4:$AE$13, 1),6))</f>
        <v>967.68000000000018</v>
      </c>
      <c r="Z228" s="17">
        <f>$Q228*VLOOKUP($J228, Factor!$B$12:$H$13, 7, 0)</f>
        <v>1</v>
      </c>
      <c r="AA228" s="17">
        <v>1</v>
      </c>
      <c r="AB228" s="17">
        <f t="shared" si="13"/>
        <v>0</v>
      </c>
      <c r="AC228" s="17" t="s">
        <v>396</v>
      </c>
      <c r="AD228" s="19" t="s">
        <v>391</v>
      </c>
    </row>
    <row r="229" spans="1:30" ht="15.75" customHeight="1">
      <c r="A229" s="13" t="str">
        <f>T229&amp;"_"&amp;F229&amp;VLOOKUP($C229, Factor!$AM$4:$AY$30, 7, 0)&amp;IF(COUNTIFS($C$4:C228, C229, $F$4:F228, F229)+1&gt;=100, COUNTIFS($C$4:C228, C229, $F$4:F228, F229)+1,IF(COUNTIFS($C$4:C228, C229, $F$4:F228, F229)+1&gt;=10, "0"&amp;COUNTIFS($C$4:C228, C229, $F$4:F228, F229)+1, "00"&amp;COUNTIFS($C$4:C228, C229, $F$4:F228, F229)+1))</f>
        <v>enpc_F04_A_Lava_002</v>
      </c>
      <c r="B229" s="13"/>
      <c r="C229" s="13" t="s">
        <v>35</v>
      </c>
      <c r="D229" s="21" t="str">
        <f t="shared" si="12"/>
        <v>라바</v>
      </c>
      <c r="E229" s="21" t="str">
        <f>VLOOKUP($C229, Factor!$AM$4:$AY$30, 8, 0)</f>
        <v>S</v>
      </c>
      <c r="F229" s="21" t="s">
        <v>112</v>
      </c>
      <c r="G229" s="22">
        <v>35</v>
      </c>
      <c r="H229" s="13" t="s">
        <v>54</v>
      </c>
      <c r="I229" s="21" t="str">
        <f>VLOOKUP($C229, Factor!$AM$4:$AY$30, 11, 0)</f>
        <v>A</v>
      </c>
      <c r="J229" s="21" t="str">
        <f>VLOOKUP($C229, Factor!$AM$4:$AY$30, 12, 0)</f>
        <v>ml</v>
      </c>
      <c r="K229" s="21" t="str">
        <f>VLOOKUP($C229, Factor!$AM$4:$AY$30, 13, 0)</f>
        <v>L</v>
      </c>
      <c r="L229" s="13">
        <v>1</v>
      </c>
      <c r="M229" s="13">
        <v>1</v>
      </c>
      <c r="N229" s="13">
        <v>1</v>
      </c>
      <c r="O229" s="13">
        <v>1</v>
      </c>
      <c r="P229" s="13">
        <v>1</v>
      </c>
      <c r="Q229" s="13">
        <v>1</v>
      </c>
      <c r="R229" s="21" t="str">
        <f>VLOOKUP($C229, Factor!$AM$4:$AY$30, 9, 0)</f>
        <v>Small</v>
      </c>
      <c r="S229" s="13" t="s">
        <v>88</v>
      </c>
      <c r="T229" s="21" t="str">
        <f>VLOOKUP($C229, Factor!$AM$4:$AY$30, 10, 0)</f>
        <v>enpc</v>
      </c>
      <c r="U229" s="21" cm="1">
        <f t="array" ref="U229">L229*VLOOKUP($I229, Factor!$B$4:$G$8, 2, 0)*VLOOKUP($J229, Factor!$B$12:$G$13, 2, 0)*VLOOKUP($K229, Factor!$B$17:$G$18, 2, 0)*VLOOKUP($H229, Factor!$J$4:$O$7, 2, 0)*VLOOKUP($F229, Factor!$Q$4:$V$15, 2, 0)*IF(MOD($G229,10)=0, 10, MOD($G229, 10))*((INDEX(Factor!$X$4:$AC$13, _xlfn.XMATCH($G229, Factor!$X$4:$X$13, 1),2)*IF(MOD(G229, 10) = 0, 10, MOD(G229, 10)))+INDEX(Factor!$AE$4:$AJ$13, _xlfn.XMATCH(MonsterData!$G229, Factor!$AE$4:$AE$13, 1),2))</f>
        <v>7680</v>
      </c>
      <c r="V229" s="21" cm="1">
        <f t="array" ref="V229">M229*VLOOKUP($I229, Factor!$B$4:$G$8, 3, 0)*VLOOKUP($J229, Factor!$B$12:$G$13, 3, 0)*VLOOKUP($K229, Factor!$B$17:$G$18, 3, 0)*VLOOKUP($H229, Factor!$J$4:$O$7, 3, 0)*VLOOKUP($F229, Factor!$Q$4:$V$15, 3, 0)*IF(MOD($G229,10)=0, 10, MOD($G229, 10))*((INDEX(Factor!$X$4:$AC$13, _xlfn.XMATCH($G229, Factor!$X$4:$X$13, 1),3)*IF(MOD(G229, 10) = 0, 10, MOD(G229, 10)))+INDEX(Factor!$AE$4:$AJ$13, _xlfn.XMATCH(MonsterData!$G229, Factor!$AE$4:$AE$13, 1),3))</f>
        <v>384.00000000000006</v>
      </c>
      <c r="W229" s="21" cm="1">
        <f t="array" ref="W229">N229*VLOOKUP($I229, Factor!$B$4:$G$8, 4, 0)*VLOOKUP($J229, Factor!$B$12:$G$13, 4, 0)*VLOOKUP($K229, Factor!$B$17:$G$18, 4, 0)*VLOOKUP($H229, Factor!$J$4:$O$7, 4, 0)*VLOOKUP($F229, Factor!$Q$4:$V$15, 4, 0)*IF(MOD($G229,10)=0, 10, MOD($G229, 10))*((INDEX(Factor!$X$4:$AC$13, _xlfn.XMATCH($G229, Factor!$X$4:$X$13, 1),4)*IF(MOD(G229, 10) = 0, 10, MOD(G229, 10)))+INDEX(Factor!$AE$4:$AJ$13, _xlfn.XMATCH(MonsterData!$G229, Factor!$AE$4:$AE$13, 1),4))</f>
        <v>230.40000000000003</v>
      </c>
      <c r="X229" s="21" cm="1">
        <f t="array" ref="X229">O229*VLOOKUP($I229, Factor!$B$4:$G$8, 5, 0)*VLOOKUP($J229, Factor!$B$12:$G$13, 5, 0)*VLOOKUP($K229, Factor!$B$17:$G$18, 5, 0)*VLOOKUP($H229, Factor!$J$4:$O$7, 5, 0)*VLOOKUP($F229, Factor!$Q$4:$V$15, 5, 0)*IF(MOD($G229,10)=0, 10, MOD($G229, 10))*((INDEX(Factor!$X$4:$AC$13, _xlfn.XMATCH($G229, Factor!$X$4:$X$13, 1),5)*IF(MOD(G229, 10) = 0, 10, MOD(G229, 10)))+INDEX(Factor!$AE$4:$AJ$13, _xlfn.XMATCH(MonsterData!$G229, Factor!$AE$4:$AE$13, 1),5))</f>
        <v>64</v>
      </c>
      <c r="Y229" s="21" cm="1">
        <f t="array" ref="Y229">P229*VLOOKUP($I229, Factor!$B$4:$G$8, 6, 0)*VLOOKUP($J229, Factor!$B$12:$G$13, 6, 0)*VLOOKUP($K229, Factor!$B$17:$G$18, 6, 0)*VLOOKUP($H229, Factor!$J$4:$O$7, 2, 0)*VLOOKUP($F229, Factor!$Q$4:$V$15, 6, 0)*IF(MOD($G229,10)=0, 10, MOD($G229, 10))*((INDEX(Factor!$X$4:$AC$13, _xlfn.XMATCH($G229, Factor!$X$4:$X$13, 1),6)*IF(MOD(G229, 10) = 0, 10, MOD(G229, 10)))+INDEX(Factor!$AE$4:$AJ$13, _xlfn.XMATCH(MonsterData!$G229, Factor!$AE$4:$AE$13, 1),6))</f>
        <v>256</v>
      </c>
      <c r="Z229" s="21">
        <f>$Q229*VLOOKUP($J229, Factor!$B$12:$H$13, 7, 0)</f>
        <v>1</v>
      </c>
      <c r="AA229" s="13">
        <v>1</v>
      </c>
      <c r="AB229" s="21">
        <f t="shared" si="13"/>
        <v>0</v>
      </c>
      <c r="AC229" s="13" t="s">
        <v>139</v>
      </c>
      <c r="AD229" s="15" t="s">
        <v>142</v>
      </c>
    </row>
    <row r="230" spans="1:30" ht="15.75" customHeight="1">
      <c r="A230" s="16" t="str">
        <f>T230&amp;"_"&amp;F230&amp;VLOOKUP($C230, Factor!$AM$4:$AY$30, 7, 0)&amp;IF(COUNTIFS($C$4:C229, C230, $F$4:F229, F230)+1&gt;=100, COUNTIFS($C$4:C229, C230, $F$4:F229, F230)+1,IF(COUNTIFS($C$4:C229, C230, $F$4:F229, F230)+1&gt;=10, "0"&amp;COUNTIFS($C$4:C229, C230, $F$4:F229, F230)+1, "00"&amp;COUNTIFS($C$4:C229, C230, $F$4:F229, F230)+1))</f>
        <v>enpc_F04_A_Cocoon_002</v>
      </c>
      <c r="B230" s="16"/>
      <c r="C230" s="16" t="s">
        <v>270</v>
      </c>
      <c r="D230" s="17" t="str">
        <f t="shared" si="12"/>
        <v>코쿤</v>
      </c>
      <c r="E230" s="17" t="str">
        <f>VLOOKUP($C230, Factor!$AM$4:$AY$30, 8, 0)</f>
        <v>M</v>
      </c>
      <c r="F230" s="17" t="s">
        <v>112</v>
      </c>
      <c r="G230" s="20">
        <v>35</v>
      </c>
      <c r="H230" s="16" t="s">
        <v>55</v>
      </c>
      <c r="I230" s="17" t="str">
        <f>VLOOKUP($C230, Factor!$AM$4:$AY$30, 11, 0)</f>
        <v>A</v>
      </c>
      <c r="J230" s="17" t="str">
        <f>VLOOKUP($C230, Factor!$AM$4:$AY$30, 12, 0)</f>
        <v>ml</v>
      </c>
      <c r="K230" s="17" t="str">
        <f>VLOOKUP($C230, Factor!$AM$4:$AY$30, 13, 0)</f>
        <v>L</v>
      </c>
      <c r="L230" s="17">
        <v>1</v>
      </c>
      <c r="M230" s="17">
        <v>1</v>
      </c>
      <c r="N230" s="17">
        <v>1</v>
      </c>
      <c r="O230" s="17">
        <v>1</v>
      </c>
      <c r="P230" s="17">
        <v>1</v>
      </c>
      <c r="Q230" s="17">
        <v>1</v>
      </c>
      <c r="R230" s="17" t="str">
        <f>VLOOKUP($C230, Factor!$AM$4:$AY$30, 9, 0)</f>
        <v>Midium</v>
      </c>
      <c r="S230" s="17" t="s">
        <v>196</v>
      </c>
      <c r="T230" s="17" t="str">
        <f>VLOOKUP($C230, Factor!$AM$4:$AY$30, 10, 0)</f>
        <v>enpc</v>
      </c>
      <c r="U230" s="17" cm="1">
        <f t="array" ref="U230">L230*VLOOKUP($I230, Factor!$B$4:$G$8, 2, 0)*VLOOKUP($J230, Factor!$B$12:$G$13, 2, 0)*VLOOKUP($K230, Factor!$B$17:$G$18, 2, 0)*VLOOKUP($H230, Factor!$J$4:$O$7, 2, 0)*VLOOKUP($F230, Factor!$Q$4:$V$15, 2, 0)*IF(MOD($G230,10)=0, 10, MOD($G230, 10))*((INDEX(Factor!$X$4:$AC$13, _xlfn.XMATCH($G230, Factor!$X$4:$X$13, 1),2)*IF(MOD(G230, 10) = 0, 10, MOD(G230, 10)))+INDEX(Factor!$AE$4:$AJ$13, _xlfn.XMATCH(MonsterData!$G230, Factor!$AE$4:$AE$13, 1),2))</f>
        <v>9600</v>
      </c>
      <c r="V230" s="17" cm="1">
        <f t="array" ref="V230">M230*VLOOKUP($I230, Factor!$B$4:$G$8, 3, 0)*VLOOKUP($J230, Factor!$B$12:$G$13, 3, 0)*VLOOKUP($K230, Factor!$B$17:$G$18, 3, 0)*VLOOKUP($H230, Factor!$J$4:$O$7, 3, 0)*VLOOKUP($F230, Factor!$Q$4:$V$15, 3, 0)*IF(MOD($G230,10)=0, 10, MOD($G230, 10))*((INDEX(Factor!$X$4:$AC$13, _xlfn.XMATCH($G230, Factor!$X$4:$X$13, 1),3)*IF(MOD(G230, 10) = 0, 10, MOD(G230, 10)))+INDEX(Factor!$AE$4:$AJ$13, _xlfn.XMATCH(MonsterData!$G230, Factor!$AE$4:$AE$13, 1),3))</f>
        <v>480</v>
      </c>
      <c r="W230" s="17" cm="1">
        <f t="array" ref="W230">N230*VLOOKUP($I230, Factor!$B$4:$G$8, 4, 0)*VLOOKUP($J230, Factor!$B$12:$G$13, 4, 0)*VLOOKUP($K230, Factor!$B$17:$G$18, 4, 0)*VLOOKUP($H230, Factor!$J$4:$O$7, 4, 0)*VLOOKUP($F230, Factor!$Q$4:$V$15, 4, 0)*IF(MOD($G230,10)=0, 10, MOD($G230, 10))*((INDEX(Factor!$X$4:$AC$13, _xlfn.XMATCH($G230, Factor!$X$4:$X$13, 1),4)*IF(MOD(G230, 10) = 0, 10, MOD(G230, 10)))+INDEX(Factor!$AE$4:$AJ$13, _xlfn.XMATCH(MonsterData!$G230, Factor!$AE$4:$AE$13, 1),4))</f>
        <v>288</v>
      </c>
      <c r="X230" s="17" cm="1">
        <f t="array" ref="X230">O230*VLOOKUP($I230, Factor!$B$4:$G$8, 5, 0)*VLOOKUP($J230, Factor!$B$12:$G$13, 5, 0)*VLOOKUP($K230, Factor!$B$17:$G$18, 5, 0)*VLOOKUP($H230, Factor!$J$4:$O$7, 5, 0)*VLOOKUP($F230, Factor!$Q$4:$V$15, 5, 0)*IF(MOD($G230,10)=0, 10, MOD($G230, 10))*((INDEX(Factor!$X$4:$AC$13, _xlfn.XMATCH($G230, Factor!$X$4:$X$13, 1),5)*IF(MOD(G230, 10) = 0, 10, MOD(G230, 10)))+INDEX(Factor!$AE$4:$AJ$13, _xlfn.XMATCH(MonsterData!$G230, Factor!$AE$4:$AE$13, 1),5))</f>
        <v>64</v>
      </c>
      <c r="Y230" s="17" cm="1">
        <f t="array" ref="Y230">P230*VLOOKUP($I230, Factor!$B$4:$G$8, 6, 0)*VLOOKUP($J230, Factor!$B$12:$G$13, 6, 0)*VLOOKUP($K230, Factor!$B$17:$G$18, 6, 0)*VLOOKUP($H230, Factor!$J$4:$O$7, 2, 0)*VLOOKUP($F230, Factor!$Q$4:$V$15, 6, 0)*IF(MOD($G230,10)=0, 10, MOD($G230, 10))*((INDEX(Factor!$X$4:$AC$13, _xlfn.XMATCH($G230, Factor!$X$4:$X$13, 1),6)*IF(MOD(G230, 10) = 0, 10, MOD(G230, 10)))+INDEX(Factor!$AE$4:$AJ$13, _xlfn.XMATCH(MonsterData!$G230, Factor!$AE$4:$AE$13, 1),6))</f>
        <v>320</v>
      </c>
      <c r="Z230" s="17">
        <f>$Q230*VLOOKUP($J230, Factor!$B$12:$H$13, 7, 0)</f>
        <v>1</v>
      </c>
      <c r="AA230" s="17">
        <v>1</v>
      </c>
      <c r="AB230" s="17">
        <f t="shared" si="13"/>
        <v>0</v>
      </c>
      <c r="AC230" s="17" t="s">
        <v>139</v>
      </c>
      <c r="AD230" s="19" t="s">
        <v>142</v>
      </c>
    </row>
    <row r="231" spans="1:30" ht="15.75" customHeight="1">
      <c r="A231" s="13" t="str">
        <f>T231&amp;"_"&amp;F231&amp;VLOOKUP($C231, Factor!$AM$4:$AY$30, 7, 0)&amp;IF(COUNTIFS($C$4:C230, C231, $F$4:F230, F231)+1&gt;=100, COUNTIFS($C$4:C230, C231, $F$4:F230, F231)+1,IF(COUNTIFS($C$4:C230, C231, $F$4:F230, F231)+1&gt;=10, "0"&amp;COUNTIFS($C$4:C230, C231, $F$4:F230, F231)+1, "00"&amp;COUNTIFS($C$4:C230, C231, $F$4:F230, F231)+1))</f>
        <v>enpc_F04_A_Antlion_002</v>
      </c>
      <c r="B231" s="13"/>
      <c r="C231" s="13" t="s">
        <v>38</v>
      </c>
      <c r="D231" s="21" t="str">
        <f t="shared" si="12"/>
        <v>앤틸리온</v>
      </c>
      <c r="E231" s="21" t="str">
        <f>VLOOKUP($C231, Factor!$AM$4:$AY$30, 8, 0)</f>
        <v>M</v>
      </c>
      <c r="F231" s="21" t="s">
        <v>112</v>
      </c>
      <c r="G231" s="22">
        <v>35</v>
      </c>
      <c r="H231" s="13" t="s">
        <v>55</v>
      </c>
      <c r="I231" s="21" t="str">
        <f>VLOOKUP($C231, Factor!$AM$4:$AY$30, 11, 0)</f>
        <v>A</v>
      </c>
      <c r="J231" s="21" t="str">
        <f>VLOOKUP($C231, Factor!$AM$4:$AY$30, 12, 0)</f>
        <v>ra</v>
      </c>
      <c r="K231" s="21" t="str">
        <f>VLOOKUP($C231, Factor!$AM$4:$AY$30, 13, 0)</f>
        <v>L</v>
      </c>
      <c r="L231" s="13">
        <v>1</v>
      </c>
      <c r="M231" s="13">
        <v>1</v>
      </c>
      <c r="N231" s="13">
        <v>1</v>
      </c>
      <c r="O231" s="13">
        <v>1</v>
      </c>
      <c r="P231" s="13">
        <v>1</v>
      </c>
      <c r="Q231" s="13">
        <v>1</v>
      </c>
      <c r="R231" s="21" t="str">
        <f>VLOOKUP($C231, Factor!$AM$4:$AY$30, 9, 0)</f>
        <v>Midium</v>
      </c>
      <c r="S231" s="13" t="s">
        <v>397</v>
      </c>
      <c r="T231" s="21" t="str">
        <f>VLOOKUP($C231, Factor!$AM$4:$AY$30, 10, 0)</f>
        <v>enpc</v>
      </c>
      <c r="U231" s="21" cm="1">
        <f t="array" ref="U231">L231*VLOOKUP($I231, Factor!$B$4:$G$8, 2, 0)*VLOOKUP($J231, Factor!$B$12:$G$13, 2, 0)*VLOOKUP($K231, Factor!$B$17:$G$18, 2, 0)*VLOOKUP($H231, Factor!$J$4:$O$7, 2, 0)*VLOOKUP($F231, Factor!$Q$4:$V$15, 2, 0)*IF(MOD($G231,10)=0, 10, MOD($G231, 10))*((INDEX(Factor!$X$4:$AC$13, _xlfn.XMATCH($G231, Factor!$X$4:$X$13, 1),2)*IF(MOD(G231, 10) = 0, 10, MOD(G231, 10)))+INDEX(Factor!$AE$4:$AJ$13, _xlfn.XMATCH(MonsterData!$G231, Factor!$AE$4:$AE$13, 1),2))</f>
        <v>7680</v>
      </c>
      <c r="V231" s="21" cm="1">
        <f t="array" ref="V231">M231*VLOOKUP($I231, Factor!$B$4:$G$8, 3, 0)*VLOOKUP($J231, Factor!$B$12:$G$13, 3, 0)*VLOOKUP($K231, Factor!$B$17:$G$18, 3, 0)*VLOOKUP($H231, Factor!$J$4:$O$7, 3, 0)*VLOOKUP($F231, Factor!$Q$4:$V$15, 3, 0)*IF(MOD($G231,10)=0, 10, MOD($G231, 10))*((INDEX(Factor!$X$4:$AC$13, _xlfn.XMATCH($G231, Factor!$X$4:$X$13, 1),3)*IF(MOD(G231, 10) = 0, 10, MOD(G231, 10)))+INDEX(Factor!$AE$4:$AJ$13, _xlfn.XMATCH(MonsterData!$G231, Factor!$AE$4:$AE$13, 1),3))</f>
        <v>384.00000000000006</v>
      </c>
      <c r="W231" s="21" cm="1">
        <f t="array" ref="W231">N231*VLOOKUP($I231, Factor!$B$4:$G$8, 4, 0)*VLOOKUP($J231, Factor!$B$12:$G$13, 4, 0)*VLOOKUP($K231, Factor!$B$17:$G$18, 4, 0)*VLOOKUP($H231, Factor!$J$4:$O$7, 4, 0)*VLOOKUP($F231, Factor!$Q$4:$V$15, 4, 0)*IF(MOD($G231,10)=0, 10, MOD($G231, 10))*((INDEX(Factor!$X$4:$AC$13, _xlfn.XMATCH($G231, Factor!$X$4:$X$13, 1),4)*IF(MOD(G231, 10) = 0, 10, MOD(G231, 10)))+INDEX(Factor!$AE$4:$AJ$13, _xlfn.XMATCH(MonsterData!$G231, Factor!$AE$4:$AE$13, 1),4))</f>
        <v>345.59999999999997</v>
      </c>
      <c r="X231" s="21" cm="1">
        <f t="array" ref="X231">O231*VLOOKUP($I231, Factor!$B$4:$G$8, 5, 0)*VLOOKUP($J231, Factor!$B$12:$G$13, 5, 0)*VLOOKUP($K231, Factor!$B$17:$G$18, 5, 0)*VLOOKUP($H231, Factor!$J$4:$O$7, 5, 0)*VLOOKUP($F231, Factor!$Q$4:$V$15, 5, 0)*IF(MOD($G231,10)=0, 10, MOD($G231, 10))*((INDEX(Factor!$X$4:$AC$13, _xlfn.XMATCH($G231, Factor!$X$4:$X$13, 1),5)*IF(MOD(G231, 10) = 0, 10, MOD(G231, 10)))+INDEX(Factor!$AE$4:$AJ$13, _xlfn.XMATCH(MonsterData!$G231, Factor!$AE$4:$AE$13, 1),5))</f>
        <v>96.000000000000014</v>
      </c>
      <c r="Y231" s="21" cm="1">
        <f t="array" ref="Y231">P231*VLOOKUP($I231, Factor!$B$4:$G$8, 6, 0)*VLOOKUP($J231, Factor!$B$12:$G$13, 6, 0)*VLOOKUP($K231, Factor!$B$17:$G$18, 6, 0)*VLOOKUP($H231, Factor!$J$4:$O$7, 2, 0)*VLOOKUP($F231, Factor!$Q$4:$V$15, 6, 0)*IF(MOD($G231,10)=0, 10, MOD($G231, 10))*((INDEX(Factor!$X$4:$AC$13, _xlfn.XMATCH($G231, Factor!$X$4:$X$13, 1),6)*IF(MOD(G231, 10) = 0, 10, MOD(G231, 10)))+INDEX(Factor!$AE$4:$AJ$13, _xlfn.XMATCH(MonsterData!$G231, Factor!$AE$4:$AE$13, 1),6))</f>
        <v>320</v>
      </c>
      <c r="Z231" s="21">
        <f>$Q231*VLOOKUP($J231, Factor!$B$12:$H$13, 7, 0)</f>
        <v>4</v>
      </c>
      <c r="AA231" s="13">
        <v>1</v>
      </c>
      <c r="AB231" s="21">
        <f t="shared" si="13"/>
        <v>4</v>
      </c>
      <c r="AC231" s="13" t="s">
        <v>139</v>
      </c>
      <c r="AD231" s="15" t="s">
        <v>142</v>
      </c>
    </row>
    <row r="232" spans="1:30" ht="15.75" customHeight="1">
      <c r="A232" s="16" t="str">
        <f>T232&amp;"_"&amp;F232&amp;VLOOKUP($C232, Factor!$AM$4:$AY$30, 7, 0)&amp;IF(COUNTIFS($C$4:C231, C232, $F$4:F231, F232)+1&gt;=100, COUNTIFS($C$4:C231, C232, $F$4:F231, F232)+1,IF(COUNTIFS($C$4:C231, C232, $F$4:F231, F232)+1&gt;=10, "0"&amp;COUNTIFS($C$4:C231, C232, $F$4:F231, F232)+1, "00"&amp;COUNTIFS($C$4:C231, C232, $F$4:F231, F232)+1))</f>
        <v>enpc_F04_A_Nymphe_002</v>
      </c>
      <c r="B232" s="16"/>
      <c r="C232" s="16" t="s">
        <v>39</v>
      </c>
      <c r="D232" s="17" t="str">
        <f t="shared" si="12"/>
        <v>님프</v>
      </c>
      <c r="E232" s="17" t="str">
        <f>VLOOKUP($C232, Factor!$AM$4:$AY$30, 8, 0)</f>
        <v>S</v>
      </c>
      <c r="F232" s="17" t="s">
        <v>112</v>
      </c>
      <c r="G232" s="20">
        <v>35</v>
      </c>
      <c r="H232" s="16" t="s">
        <v>55</v>
      </c>
      <c r="I232" s="17" t="str">
        <f>VLOOKUP($C232, Factor!$AM$4:$AY$30, 11, 0)</f>
        <v>A</v>
      </c>
      <c r="J232" s="17" t="str">
        <f>VLOOKUP($C232, Factor!$AM$4:$AY$30, 12, 0)</f>
        <v>ml</v>
      </c>
      <c r="K232" s="17" t="str">
        <f>VLOOKUP($C232, Factor!$AM$4:$AY$30, 13, 0)</f>
        <v>F</v>
      </c>
      <c r="L232" s="17">
        <v>1</v>
      </c>
      <c r="M232" s="17">
        <v>1</v>
      </c>
      <c r="N232" s="17">
        <v>1</v>
      </c>
      <c r="O232" s="17">
        <v>1</v>
      </c>
      <c r="P232" s="17">
        <v>1</v>
      </c>
      <c r="Q232" s="17">
        <v>1</v>
      </c>
      <c r="R232" s="17" t="str">
        <f>VLOOKUP($C232, Factor!$AM$4:$AY$30, 9, 0)</f>
        <v>Small</v>
      </c>
      <c r="S232" s="17" t="s">
        <v>197</v>
      </c>
      <c r="T232" s="17" t="str">
        <f>VLOOKUP($C232, Factor!$AM$4:$AY$30, 10, 0)</f>
        <v>enpc</v>
      </c>
      <c r="U232" s="17" cm="1">
        <f t="array" ref="U232">L232*VLOOKUP($I232, Factor!$B$4:$G$8, 2, 0)*VLOOKUP($J232, Factor!$B$12:$G$13, 2, 0)*VLOOKUP($K232, Factor!$B$17:$G$18, 2, 0)*VLOOKUP($H232, Factor!$J$4:$O$7, 2, 0)*VLOOKUP($F232, Factor!$Q$4:$V$15, 2, 0)*IF(MOD($G232,10)=0, 10, MOD($G232, 10))*((INDEX(Factor!$X$4:$AC$13, _xlfn.XMATCH($G232, Factor!$X$4:$X$13, 1),2)*IF(MOD(G232, 10) = 0, 10, MOD(G232, 10)))+INDEX(Factor!$AE$4:$AJ$13, _xlfn.XMATCH(MonsterData!$G232, Factor!$AE$4:$AE$13, 1),2))</f>
        <v>6400</v>
      </c>
      <c r="V232" s="17" cm="1">
        <f t="array" ref="V232">M232*VLOOKUP($I232, Factor!$B$4:$G$8, 3, 0)*VLOOKUP($J232, Factor!$B$12:$G$13, 3, 0)*VLOOKUP($K232, Factor!$B$17:$G$18, 3, 0)*VLOOKUP($H232, Factor!$J$4:$O$7, 3, 0)*VLOOKUP($F232, Factor!$Q$4:$V$15, 3, 0)*IF(MOD($G232,10)=0, 10, MOD($G232, 10))*((INDEX(Factor!$X$4:$AC$13, _xlfn.XMATCH($G232, Factor!$X$4:$X$13, 1),3)*IF(MOD(G232, 10) = 0, 10, MOD(G232, 10)))+INDEX(Factor!$AE$4:$AJ$13, _xlfn.XMATCH(MonsterData!$G232, Factor!$AE$4:$AE$13, 1),3))</f>
        <v>320</v>
      </c>
      <c r="W232" s="17" cm="1">
        <f t="array" ref="W232">N232*VLOOKUP($I232, Factor!$B$4:$G$8, 4, 0)*VLOOKUP($J232, Factor!$B$12:$G$13, 4, 0)*VLOOKUP($K232, Factor!$B$17:$G$18, 4, 0)*VLOOKUP($H232, Factor!$J$4:$O$7, 4, 0)*VLOOKUP($F232, Factor!$Q$4:$V$15, 4, 0)*IF(MOD($G232,10)=0, 10, MOD($G232, 10))*((INDEX(Factor!$X$4:$AC$13, _xlfn.XMATCH($G232, Factor!$X$4:$X$13, 1),4)*IF(MOD(G232, 10) = 0, 10, MOD(G232, 10)))+INDEX(Factor!$AE$4:$AJ$13, _xlfn.XMATCH(MonsterData!$G232, Factor!$AE$4:$AE$13, 1),4))</f>
        <v>192.00000000000003</v>
      </c>
      <c r="X232" s="17" cm="1">
        <f t="array" ref="X232">O232*VLOOKUP($I232, Factor!$B$4:$G$8, 5, 0)*VLOOKUP($J232, Factor!$B$12:$G$13, 5, 0)*VLOOKUP($K232, Factor!$B$17:$G$18, 5, 0)*VLOOKUP($H232, Factor!$J$4:$O$7, 5, 0)*VLOOKUP($F232, Factor!$Q$4:$V$15, 5, 0)*IF(MOD($G232,10)=0, 10, MOD($G232, 10))*((INDEX(Factor!$X$4:$AC$13, _xlfn.XMATCH($G232, Factor!$X$4:$X$13, 1),5)*IF(MOD(G232, 10) = 0, 10, MOD(G232, 10)))+INDEX(Factor!$AE$4:$AJ$13, _xlfn.XMATCH(MonsterData!$G232, Factor!$AE$4:$AE$13, 1),5))</f>
        <v>64</v>
      </c>
      <c r="Y232" s="17" cm="1">
        <f t="array" ref="Y232">P232*VLOOKUP($I232, Factor!$B$4:$G$8, 6, 0)*VLOOKUP($J232, Factor!$B$12:$G$13, 6, 0)*VLOOKUP($K232, Factor!$B$17:$G$18, 6, 0)*VLOOKUP($H232, Factor!$J$4:$O$7, 2, 0)*VLOOKUP($F232, Factor!$Q$4:$V$15, 6, 0)*IF(MOD($G232,10)=0, 10, MOD($G232, 10))*((INDEX(Factor!$X$4:$AC$13, _xlfn.XMATCH($G232, Factor!$X$4:$X$13, 1),6)*IF(MOD(G232, 10) = 0, 10, MOD(G232, 10)))+INDEX(Factor!$AE$4:$AJ$13, _xlfn.XMATCH(MonsterData!$G232, Factor!$AE$4:$AE$13, 1),6))</f>
        <v>960</v>
      </c>
      <c r="Z232" s="17">
        <f>$Q232*VLOOKUP($J232, Factor!$B$12:$H$13, 7, 0)</f>
        <v>1</v>
      </c>
      <c r="AA232" s="17">
        <v>1</v>
      </c>
      <c r="AB232" s="17">
        <f t="shared" si="13"/>
        <v>0</v>
      </c>
      <c r="AC232" s="17" t="s">
        <v>139</v>
      </c>
      <c r="AD232" s="19" t="s">
        <v>142</v>
      </c>
    </row>
    <row r="233" spans="1:30" ht="15.75" customHeight="1">
      <c r="A233" s="13" t="str">
        <f>T233&amp;"_"&amp;F233&amp;VLOOKUP($C233, Factor!$AM$4:$AY$30, 7, 0)&amp;IF(COUNTIFS($C$4:C232, C233, $F$4:F232, F233)+1&gt;=100, COUNTIFS($C$4:C232, C233, $F$4:F232, F233)+1,IF(COUNTIFS($C$4:C232, C233, $F$4:F232, F233)+1&gt;=10, "0"&amp;COUNTIFS($C$4:C232, C233, $F$4:F232, F233)+1, "00"&amp;COUNTIFS($C$4:C232, C233, $F$4:F232, F233)+1))</f>
        <v>enpc_F04_B_Golem_002</v>
      </c>
      <c r="B233" s="13"/>
      <c r="C233" s="13" t="s">
        <v>40</v>
      </c>
      <c r="D233" s="21" t="str">
        <f t="shared" si="12"/>
        <v>골렘</v>
      </c>
      <c r="E233" s="21" t="str">
        <f>VLOOKUP($C233, Factor!$AM$4:$AY$30, 8, 0)</f>
        <v>B</v>
      </c>
      <c r="F233" s="21" t="s">
        <v>112</v>
      </c>
      <c r="G233" s="22">
        <v>56</v>
      </c>
      <c r="H233" s="13" t="s">
        <v>57</v>
      </c>
      <c r="I233" s="21" t="str">
        <f>VLOOKUP($C233, Factor!$AM$4:$AY$30, 11, 0)</f>
        <v>B</v>
      </c>
      <c r="J233" s="21" t="str">
        <f>VLOOKUP($C233, Factor!$AM$4:$AY$30, 12, 0)</f>
        <v>ml</v>
      </c>
      <c r="K233" s="21" t="str">
        <f>VLOOKUP($C233, Factor!$AM$4:$AY$30, 13, 0)</f>
        <v>L</v>
      </c>
      <c r="L233" s="13">
        <v>1</v>
      </c>
      <c r="M233" s="13">
        <v>1</v>
      </c>
      <c r="N233" s="13">
        <v>1</v>
      </c>
      <c r="O233" s="13">
        <v>1</v>
      </c>
      <c r="P233" s="13">
        <v>1</v>
      </c>
      <c r="Q233" s="13">
        <v>1</v>
      </c>
      <c r="R233" s="21" t="str">
        <f>VLOOKUP($C233, Factor!$AM$4:$AY$30, 9, 0)</f>
        <v>Big</v>
      </c>
      <c r="S233" s="13" t="s">
        <v>398</v>
      </c>
      <c r="T233" s="21" t="str">
        <f>VLOOKUP($C233, Factor!$AM$4:$AY$30, 10, 0)</f>
        <v>enpc</v>
      </c>
      <c r="U233" s="21" cm="1">
        <f t="array" ref="U233">L233*VLOOKUP($I233, Factor!$B$4:$G$8, 2, 0)*VLOOKUP($J233, Factor!$B$12:$G$13, 2, 0)*VLOOKUP($K233, Factor!$B$17:$G$18, 2, 0)*VLOOKUP($H233, Factor!$J$4:$O$7, 2, 0)*VLOOKUP($F233, Factor!$Q$4:$V$15, 2, 0)*IF(MOD($G233,10)=0, 10, MOD($G233, 10))*((INDEX(Factor!$X$4:$AC$13, _xlfn.XMATCH($G233, Factor!$X$4:$X$13, 1),2)*IF(MOD(G233, 10) = 0, 10, MOD(G233, 10)))+INDEX(Factor!$AE$4:$AJ$13, _xlfn.XMATCH(MonsterData!$G233, Factor!$AE$4:$AE$13, 1),2))</f>
        <v>267840</v>
      </c>
      <c r="V233" s="21" cm="1">
        <f t="array" ref="V233">M233*VLOOKUP($I233, Factor!$B$4:$G$8, 3, 0)*VLOOKUP($J233, Factor!$B$12:$G$13, 3, 0)*VLOOKUP($K233, Factor!$B$17:$G$18, 3, 0)*VLOOKUP($H233, Factor!$J$4:$O$7, 3, 0)*VLOOKUP($F233, Factor!$Q$4:$V$15, 3, 0)*IF(MOD($G233,10)=0, 10, MOD($G233, 10))*((INDEX(Factor!$X$4:$AC$13, _xlfn.XMATCH($G233, Factor!$X$4:$X$13, 1),3)*IF(MOD(G233, 10) = 0, 10, MOD(G233, 10)))+INDEX(Factor!$AE$4:$AJ$13, _xlfn.XMATCH(MonsterData!$G233, Factor!$AE$4:$AE$13, 1),3))</f>
        <v>13392.000000000002</v>
      </c>
      <c r="W233" s="21" cm="1">
        <f t="array" ref="W233">N233*VLOOKUP($I233, Factor!$B$4:$G$8, 4, 0)*VLOOKUP($J233, Factor!$B$12:$G$13, 4, 0)*VLOOKUP($K233, Factor!$B$17:$G$18, 4, 0)*VLOOKUP($H233, Factor!$J$4:$O$7, 4, 0)*VLOOKUP($F233, Factor!$Q$4:$V$15, 4, 0)*IF(MOD($G233,10)=0, 10, MOD($G233, 10))*((INDEX(Factor!$X$4:$AC$13, _xlfn.XMATCH($G233, Factor!$X$4:$X$13, 1),4)*IF(MOD(G233, 10) = 0, 10, MOD(G233, 10)))+INDEX(Factor!$AE$4:$AJ$13, _xlfn.XMATCH(MonsterData!$G233, Factor!$AE$4:$AE$13, 1),4))</f>
        <v>669.6</v>
      </c>
      <c r="X233" s="21" cm="1">
        <f t="array" ref="X233">O233*VLOOKUP($I233, Factor!$B$4:$G$8, 5, 0)*VLOOKUP($J233, Factor!$B$12:$G$13, 5, 0)*VLOOKUP($K233, Factor!$B$17:$G$18, 5, 0)*VLOOKUP($H233, Factor!$J$4:$O$7, 5, 0)*VLOOKUP($F233, Factor!$Q$4:$V$15, 5, 0)*IF(MOD($G233,10)=0, 10, MOD($G233, 10))*((INDEX(Factor!$X$4:$AC$13, _xlfn.XMATCH($G233, Factor!$X$4:$X$13, 1),5)*IF(MOD(G233, 10) = 0, 10, MOD(G233, 10)))+INDEX(Factor!$AE$4:$AJ$13, _xlfn.XMATCH(MonsterData!$G233, Factor!$AE$4:$AE$13, 1),5))</f>
        <v>714.24000000000012</v>
      </c>
      <c r="Y233" s="21" cm="1">
        <f t="array" ref="Y233">P233*VLOOKUP($I233, Factor!$B$4:$G$8, 6, 0)*VLOOKUP($J233, Factor!$B$12:$G$13, 6, 0)*VLOOKUP($K233, Factor!$B$17:$G$18, 6, 0)*VLOOKUP($H233, Factor!$J$4:$O$7, 2, 0)*VLOOKUP($F233, Factor!$Q$4:$V$15, 6, 0)*IF(MOD($G233,10)=0, 10, MOD($G233, 10))*((INDEX(Factor!$X$4:$AC$13, _xlfn.XMATCH($G233, Factor!$X$4:$X$13, 1),6)*IF(MOD(G233, 10) = 0, 10, MOD(G233, 10)))+INDEX(Factor!$AE$4:$AJ$13, _xlfn.XMATCH(MonsterData!$G233, Factor!$AE$4:$AE$13, 1),6))</f>
        <v>1428.4800000000002</v>
      </c>
      <c r="Z233" s="21">
        <f>$Q233*VLOOKUP($J233, Factor!$B$12:$H$13, 7, 0)</f>
        <v>1</v>
      </c>
      <c r="AA233" s="13">
        <v>1</v>
      </c>
      <c r="AB233" s="21">
        <f t="shared" si="13"/>
        <v>0</v>
      </c>
      <c r="AC233" s="13" t="s">
        <v>140</v>
      </c>
      <c r="AD233" s="15" t="s">
        <v>143</v>
      </c>
    </row>
    <row r="234" spans="1:30" ht="15.75" customHeight="1">
      <c r="A234" s="16" t="str">
        <f>T234&amp;"_"&amp;F234&amp;VLOOKUP($C234, Factor!$AM$4:$AY$30, 7, 0)&amp;IF(COUNTIFS($C$4:C233, C234, $F$4:F233, F234)+1&gt;=100, COUNTIFS($C$4:C233, C234, $F$4:F233, F234)+1,IF(COUNTIFS($C$4:C233, C234, $F$4:F233, F234)+1&gt;=10, "0"&amp;COUNTIFS($C$4:C233, C234, $F$4:F233, F234)+1, "00"&amp;COUNTIFS($C$4:C233, C234, $F$4:F233, F234)+1))</f>
        <v>enpc_F04_B_Banshee_002</v>
      </c>
      <c r="B234" s="16"/>
      <c r="C234" s="16" t="s">
        <v>42</v>
      </c>
      <c r="D234" s="17" t="str">
        <f t="shared" si="12"/>
        <v>밴시</v>
      </c>
      <c r="E234" s="17" t="str">
        <f>VLOOKUP($C234, Factor!$AM$4:$AY$30, 8, 0)</f>
        <v>S</v>
      </c>
      <c r="F234" s="17" t="s">
        <v>112</v>
      </c>
      <c r="G234" s="20">
        <v>56</v>
      </c>
      <c r="H234" s="16" t="s">
        <v>56</v>
      </c>
      <c r="I234" s="17" t="str">
        <f>VLOOKUP($C234, Factor!$AM$4:$AY$30, 11, 0)</f>
        <v>B</v>
      </c>
      <c r="J234" s="17" t="str">
        <f>VLOOKUP($C234, Factor!$AM$4:$AY$30, 12, 0)</f>
        <v>ra</v>
      </c>
      <c r="K234" s="17" t="str">
        <f>VLOOKUP($C234, Factor!$AM$4:$AY$30, 13, 0)</f>
        <v>L</v>
      </c>
      <c r="L234" s="17">
        <v>1</v>
      </c>
      <c r="M234" s="17">
        <v>1</v>
      </c>
      <c r="N234" s="17">
        <v>1</v>
      </c>
      <c r="O234" s="17">
        <v>1</v>
      </c>
      <c r="P234" s="17">
        <v>1</v>
      </c>
      <c r="Q234" s="17">
        <v>1</v>
      </c>
      <c r="R234" s="17" t="str">
        <f>VLOOKUP($C234, Factor!$AM$4:$AY$30, 9, 0)</f>
        <v>Midium</v>
      </c>
      <c r="S234" s="17" t="s">
        <v>198</v>
      </c>
      <c r="T234" s="17" t="str">
        <f>VLOOKUP($C234, Factor!$AM$4:$AY$30, 10, 0)</f>
        <v>enpc</v>
      </c>
      <c r="U234" s="17" cm="1">
        <f t="array" ref="U234">L234*VLOOKUP($I234, Factor!$B$4:$G$8, 2, 0)*VLOOKUP($J234, Factor!$B$12:$G$13, 2, 0)*VLOOKUP($K234, Factor!$B$17:$G$18, 2, 0)*VLOOKUP($H234, Factor!$J$4:$O$7, 2, 0)*VLOOKUP($F234, Factor!$Q$4:$V$15, 2, 0)*IF(MOD($G234,10)=0, 10, MOD($G234, 10))*((INDEX(Factor!$X$4:$AC$13, _xlfn.XMATCH($G234, Factor!$X$4:$X$13, 1),2)*IF(MOD(G234, 10) = 0, 10, MOD(G234, 10)))+INDEX(Factor!$AE$4:$AJ$13, _xlfn.XMATCH(MonsterData!$G234, Factor!$AE$4:$AE$13, 1),2))</f>
        <v>107136.00000000001</v>
      </c>
      <c r="V234" s="17" cm="1">
        <f t="array" ref="V234">M234*VLOOKUP($I234, Factor!$B$4:$G$8, 3, 0)*VLOOKUP($J234, Factor!$B$12:$G$13, 3, 0)*VLOOKUP($K234, Factor!$B$17:$G$18, 3, 0)*VLOOKUP($H234, Factor!$J$4:$O$7, 3, 0)*VLOOKUP($F234, Factor!$Q$4:$V$15, 3, 0)*IF(MOD($G234,10)=0, 10, MOD($G234, 10))*((INDEX(Factor!$X$4:$AC$13, _xlfn.XMATCH($G234, Factor!$X$4:$X$13, 1),3)*IF(MOD(G234, 10) = 0, 10, MOD(G234, 10)))+INDEX(Factor!$AE$4:$AJ$13, _xlfn.XMATCH(MonsterData!$G234, Factor!$AE$4:$AE$13, 1),3))</f>
        <v>5356.8</v>
      </c>
      <c r="W234" s="17" cm="1">
        <f t="array" ref="W234">N234*VLOOKUP($I234, Factor!$B$4:$G$8, 4, 0)*VLOOKUP($J234, Factor!$B$12:$G$13, 4, 0)*VLOOKUP($K234, Factor!$B$17:$G$18, 4, 0)*VLOOKUP($H234, Factor!$J$4:$O$7, 4, 0)*VLOOKUP($F234, Factor!$Q$4:$V$15, 4, 0)*IF(MOD($G234,10)=0, 10, MOD($G234, 10))*((INDEX(Factor!$X$4:$AC$13, _xlfn.XMATCH($G234, Factor!$X$4:$X$13, 1),4)*IF(MOD(G234, 10) = 0, 10, MOD(G234, 10)))+INDEX(Factor!$AE$4:$AJ$13, _xlfn.XMATCH(MonsterData!$G234, Factor!$AE$4:$AE$13, 1),4))</f>
        <v>16070.400000000001</v>
      </c>
      <c r="X234" s="17" cm="1">
        <f t="array" ref="X234">O234*VLOOKUP($I234, Factor!$B$4:$G$8, 5, 0)*VLOOKUP($J234, Factor!$B$12:$G$13, 5, 0)*VLOOKUP($K234, Factor!$B$17:$G$18, 5, 0)*VLOOKUP($H234, Factor!$J$4:$O$7, 5, 0)*VLOOKUP($F234, Factor!$Q$4:$V$15, 5, 0)*IF(MOD($G234,10)=0, 10, MOD($G234, 10))*((INDEX(Factor!$X$4:$AC$13, _xlfn.XMATCH($G234, Factor!$X$4:$X$13, 1),5)*IF(MOD(G234, 10) = 0, 10, MOD(G234, 10)))+INDEX(Factor!$AE$4:$AJ$13, _xlfn.XMATCH(MonsterData!$G234, Factor!$AE$4:$AE$13, 1),5))</f>
        <v>482.11200000000008</v>
      </c>
      <c r="Y234" s="17" cm="1">
        <f t="array" ref="Y234">P234*VLOOKUP($I234, Factor!$B$4:$G$8, 6, 0)*VLOOKUP($J234, Factor!$B$12:$G$13, 6, 0)*VLOOKUP($K234, Factor!$B$17:$G$18, 6, 0)*VLOOKUP($H234, Factor!$J$4:$O$7, 2, 0)*VLOOKUP($F234, Factor!$Q$4:$V$15, 6, 0)*IF(MOD($G234,10)=0, 10, MOD($G234, 10))*((INDEX(Factor!$X$4:$AC$13, _xlfn.XMATCH($G234, Factor!$X$4:$X$13, 1),6)*IF(MOD(G234, 10) = 0, 10, MOD(G234, 10)))+INDEX(Factor!$AE$4:$AJ$13, _xlfn.XMATCH(MonsterData!$G234, Factor!$AE$4:$AE$13, 1),6))</f>
        <v>714.24000000000012</v>
      </c>
      <c r="Z234" s="17">
        <f>$Q234*VLOOKUP($J234, Factor!$B$12:$H$13, 7, 0)</f>
        <v>4</v>
      </c>
      <c r="AA234" s="17">
        <v>1</v>
      </c>
      <c r="AB234" s="17">
        <f t="shared" si="13"/>
        <v>4</v>
      </c>
      <c r="AC234" s="17" t="s">
        <v>141</v>
      </c>
      <c r="AD234" s="19" t="s">
        <v>144</v>
      </c>
    </row>
    <row r="235" spans="1:30" ht="15.75" customHeight="1">
      <c r="A235" s="13" t="str">
        <f>T235&amp;"_"&amp;F235&amp;VLOOKUP($C235, Factor!$AM$4:$AY$30, 7, 0)&amp;IF(COUNTIFS($C$4:C234, C235, $F$4:F234, F235)+1&gt;=100, COUNTIFS($C$4:C234, C235, $F$4:F234, F235)+1,IF(COUNTIFS($C$4:C234, C235, $F$4:F234, F235)+1&gt;=10, "0"&amp;COUNTIFS($C$4:C234, C235, $F$4:F234, F235)+1, "00"&amp;COUNTIFS($C$4:C234, C235, $F$4:F234, F235)+1))</f>
        <v>enpc_F04_A_Scarab_002</v>
      </c>
      <c r="B235" s="13"/>
      <c r="C235" s="13" t="s">
        <v>353</v>
      </c>
      <c r="D235" s="21" t="str">
        <f t="shared" si="12"/>
        <v>스캐럽</v>
      </c>
      <c r="E235" s="21" t="str">
        <f>VLOOKUP($C235, Factor!$AM$4:$AY$30, 8, 0)</f>
        <v>S</v>
      </c>
      <c r="F235" s="21" t="s">
        <v>112</v>
      </c>
      <c r="G235" s="22">
        <v>35</v>
      </c>
      <c r="H235" s="13" t="s">
        <v>55</v>
      </c>
      <c r="I235" s="21" t="str">
        <f>VLOOKUP($C235, Factor!$AM$4:$AY$30, 11, 0)</f>
        <v>A</v>
      </c>
      <c r="J235" s="21" t="str">
        <f>VLOOKUP($C235, Factor!$AM$4:$AY$30, 12, 0)</f>
        <v>ml</v>
      </c>
      <c r="K235" s="21" t="str">
        <f>VLOOKUP($C235, Factor!$AM$4:$AY$30, 13, 0)</f>
        <v>L</v>
      </c>
      <c r="L235" s="13">
        <v>1</v>
      </c>
      <c r="M235" s="13">
        <v>1</v>
      </c>
      <c r="N235" s="13">
        <v>1</v>
      </c>
      <c r="O235" s="13">
        <v>1</v>
      </c>
      <c r="P235" s="13">
        <v>1</v>
      </c>
      <c r="Q235" s="13">
        <v>1</v>
      </c>
      <c r="R235" s="21" t="str">
        <f>VLOOKUP($C235, Factor!$AM$4:$AY$30, 9, 0)</f>
        <v>Midium</v>
      </c>
      <c r="S235" s="13" t="s">
        <v>399</v>
      </c>
      <c r="T235" s="21" t="str">
        <f>VLOOKUP($C235, Factor!$AM$4:$AY$30, 10, 0)</f>
        <v>enpc</v>
      </c>
      <c r="U235" s="21" cm="1">
        <f t="array" ref="U235">L235*VLOOKUP($I235, Factor!$B$4:$G$8, 2, 0)*VLOOKUP($J235, Factor!$B$12:$G$13, 2, 0)*VLOOKUP($K235, Factor!$B$17:$G$18, 2, 0)*VLOOKUP($H235, Factor!$J$4:$O$7, 2, 0)*VLOOKUP($F235, Factor!$Q$4:$V$15, 2, 0)*IF(MOD($G235,10)=0, 10, MOD($G235, 10))*((INDEX(Factor!$X$4:$AC$13, _xlfn.XMATCH($G235, Factor!$X$4:$X$13, 1),2)*IF(MOD(G235, 10) = 0, 10, MOD(G235, 10)))+INDEX(Factor!$AE$4:$AJ$13, _xlfn.XMATCH(MonsterData!$G235, Factor!$AE$4:$AE$13, 1),2))</f>
        <v>9600</v>
      </c>
      <c r="V235" s="21" cm="1">
        <f t="array" ref="V235">M235*VLOOKUP($I235, Factor!$B$4:$G$8, 3, 0)*VLOOKUP($J235, Factor!$B$12:$G$13, 3, 0)*VLOOKUP($K235, Factor!$B$17:$G$18, 3, 0)*VLOOKUP($H235, Factor!$J$4:$O$7, 3, 0)*VLOOKUP($F235, Factor!$Q$4:$V$15, 3, 0)*IF(MOD($G235,10)=0, 10, MOD($G235, 10))*((INDEX(Factor!$X$4:$AC$13, _xlfn.XMATCH($G235, Factor!$X$4:$X$13, 1),3)*IF(MOD(G235, 10) = 0, 10, MOD(G235, 10)))+INDEX(Factor!$AE$4:$AJ$13, _xlfn.XMATCH(MonsterData!$G235, Factor!$AE$4:$AE$13, 1),3))</f>
        <v>480</v>
      </c>
      <c r="W235" s="21" cm="1">
        <f t="array" ref="W235">N235*VLOOKUP($I235, Factor!$B$4:$G$8, 4, 0)*VLOOKUP($J235, Factor!$B$12:$G$13, 4, 0)*VLOOKUP($K235, Factor!$B$17:$G$18, 4, 0)*VLOOKUP($H235, Factor!$J$4:$O$7, 4, 0)*VLOOKUP($F235, Factor!$Q$4:$V$15, 4, 0)*IF(MOD($G235,10)=0, 10, MOD($G235, 10))*((INDEX(Factor!$X$4:$AC$13, _xlfn.XMATCH($G235, Factor!$X$4:$X$13, 1),4)*IF(MOD(G235, 10) = 0, 10, MOD(G235, 10)))+INDEX(Factor!$AE$4:$AJ$13, _xlfn.XMATCH(MonsterData!$G235, Factor!$AE$4:$AE$13, 1),4))</f>
        <v>288</v>
      </c>
      <c r="X235" s="21" cm="1">
        <f t="array" ref="X235">O235*VLOOKUP($I235, Factor!$B$4:$G$8, 5, 0)*VLOOKUP($J235, Factor!$B$12:$G$13, 5, 0)*VLOOKUP($K235, Factor!$B$17:$G$18, 5, 0)*VLOOKUP($H235, Factor!$J$4:$O$7, 5, 0)*VLOOKUP($F235, Factor!$Q$4:$V$15, 5, 0)*IF(MOD($G235,10)=0, 10, MOD($G235, 10))*((INDEX(Factor!$X$4:$AC$13, _xlfn.XMATCH($G235, Factor!$X$4:$X$13, 1),5)*IF(MOD(G235, 10) = 0, 10, MOD(G235, 10)))+INDEX(Factor!$AE$4:$AJ$13, _xlfn.XMATCH(MonsterData!$G235, Factor!$AE$4:$AE$13, 1),5))</f>
        <v>64</v>
      </c>
      <c r="Y235" s="21" cm="1">
        <f t="array" ref="Y235">P235*VLOOKUP($I235, Factor!$B$4:$G$8, 6, 0)*VLOOKUP($J235, Factor!$B$12:$G$13, 6, 0)*VLOOKUP($K235, Factor!$B$17:$G$18, 6, 0)*VLOOKUP($H235, Factor!$J$4:$O$7, 2, 0)*VLOOKUP($F235, Factor!$Q$4:$V$15, 6, 0)*IF(MOD($G235,10)=0, 10, MOD($G235, 10))*((INDEX(Factor!$X$4:$AC$13, _xlfn.XMATCH($G235, Factor!$X$4:$X$13, 1),6)*IF(MOD(G235, 10) = 0, 10, MOD(G235, 10)))+INDEX(Factor!$AE$4:$AJ$13, _xlfn.XMATCH(MonsterData!$G235, Factor!$AE$4:$AE$13, 1),6))</f>
        <v>320</v>
      </c>
      <c r="Z235" s="21">
        <f>$Q235*VLOOKUP($J235, Factor!$B$12:$H$13, 7, 0)</f>
        <v>1</v>
      </c>
      <c r="AA235" s="13">
        <v>1</v>
      </c>
      <c r="AB235" s="21">
        <f t="shared" si="13"/>
        <v>0</v>
      </c>
      <c r="AC235" s="13" t="s">
        <v>139</v>
      </c>
      <c r="AD235" s="15" t="s">
        <v>387</v>
      </c>
    </row>
    <row r="236" spans="1:30" ht="15.75" customHeight="1">
      <c r="A236" s="16" t="str">
        <f>T236&amp;"_"&amp;F236&amp;VLOOKUP($C236, Factor!$AM$4:$AY$30, 7, 0)&amp;IF(COUNTIFS($C$4:C235, C236, $F$4:F235, F236)+1&gt;=100, COUNTIFS($C$4:C235, C236, $F$4:F235, F236)+1,IF(COUNTIFS($C$4:C235, C236, $F$4:F235, F236)+1&gt;=10, "0"&amp;COUNTIFS($C$4:C235, C236, $F$4:F235, F236)+1, "00"&amp;COUNTIFS($C$4:C235, C236, $F$4:F235, F236)+1))</f>
        <v>enpc_F04_A_Swarmlet_002</v>
      </c>
      <c r="B236" s="16"/>
      <c r="C236" s="16" t="s">
        <v>355</v>
      </c>
      <c r="D236" s="17" t="str">
        <f t="shared" si="12"/>
        <v>스웜렛</v>
      </c>
      <c r="E236" s="17" t="str">
        <f>VLOOKUP($C236, Factor!$AM$4:$AY$30, 8, 0)</f>
        <v>B</v>
      </c>
      <c r="F236" s="17" t="s">
        <v>112</v>
      </c>
      <c r="G236" s="20">
        <v>35</v>
      </c>
      <c r="H236" s="16" t="s">
        <v>56</v>
      </c>
      <c r="I236" s="17" t="str">
        <f>VLOOKUP($C236, Factor!$AM$4:$AY$30, 11, 0)</f>
        <v>A</v>
      </c>
      <c r="J236" s="17" t="str">
        <f>VLOOKUP($C236, Factor!$AM$4:$AY$30, 12, 0)</f>
        <v>ml</v>
      </c>
      <c r="K236" s="17" t="str">
        <f>VLOOKUP($C236, Factor!$AM$4:$AY$30, 13, 0)</f>
        <v>L</v>
      </c>
      <c r="L236" s="17">
        <v>1</v>
      </c>
      <c r="M236" s="17">
        <v>1</v>
      </c>
      <c r="N236" s="17">
        <v>1</v>
      </c>
      <c r="O236" s="17">
        <v>1</v>
      </c>
      <c r="P236" s="17">
        <v>1</v>
      </c>
      <c r="Q236" s="17">
        <v>1</v>
      </c>
      <c r="R236" s="17" t="str">
        <f>VLOOKUP($C236, Factor!$AM$4:$AY$30, 9, 0)</f>
        <v>Small</v>
      </c>
      <c r="S236" s="17" t="s">
        <v>376</v>
      </c>
      <c r="T236" s="17" t="str">
        <f>VLOOKUP($C236, Factor!$AM$4:$AY$30, 10, 0)</f>
        <v>enpc</v>
      </c>
      <c r="U236" s="17" cm="1">
        <f t="array" ref="U236">L236*VLOOKUP($I236, Factor!$B$4:$G$8, 2, 0)*VLOOKUP($J236, Factor!$B$12:$G$13, 2, 0)*VLOOKUP($K236, Factor!$B$17:$G$18, 2, 0)*VLOOKUP($H236, Factor!$J$4:$O$7, 2, 0)*VLOOKUP($F236, Factor!$Q$4:$V$15, 2, 0)*IF(MOD($G236,10)=0, 10, MOD($G236, 10))*((INDEX(Factor!$X$4:$AC$13, _xlfn.XMATCH($G236, Factor!$X$4:$X$13, 1),2)*IF(MOD(G236, 10) = 0, 10, MOD(G236, 10)))+INDEX(Factor!$AE$4:$AJ$13, _xlfn.XMATCH(MonsterData!$G236, Factor!$AE$4:$AE$13, 1),2))</f>
        <v>9600</v>
      </c>
      <c r="V236" s="17" cm="1">
        <f t="array" ref="V236">M236*VLOOKUP($I236, Factor!$B$4:$G$8, 3, 0)*VLOOKUP($J236, Factor!$B$12:$G$13, 3, 0)*VLOOKUP($K236, Factor!$B$17:$G$18, 3, 0)*VLOOKUP($H236, Factor!$J$4:$O$7, 3, 0)*VLOOKUP($F236, Factor!$Q$4:$V$15, 3, 0)*IF(MOD($G236,10)=0, 10, MOD($G236, 10))*((INDEX(Factor!$X$4:$AC$13, _xlfn.XMATCH($G236, Factor!$X$4:$X$13, 1),3)*IF(MOD(G236, 10) = 0, 10, MOD(G236, 10)))+INDEX(Factor!$AE$4:$AJ$13, _xlfn.XMATCH(MonsterData!$G236, Factor!$AE$4:$AE$13, 1),3))</f>
        <v>480</v>
      </c>
      <c r="W236" s="17" cm="1">
        <f t="array" ref="W236">N236*VLOOKUP($I236, Factor!$B$4:$G$8, 4, 0)*VLOOKUP($J236, Factor!$B$12:$G$13, 4, 0)*VLOOKUP($K236, Factor!$B$17:$G$18, 4, 0)*VLOOKUP($H236, Factor!$J$4:$O$7, 4, 0)*VLOOKUP($F236, Factor!$Q$4:$V$15, 4, 0)*IF(MOD($G236,10)=0, 10, MOD($G236, 10))*((INDEX(Factor!$X$4:$AC$13, _xlfn.XMATCH($G236, Factor!$X$4:$X$13, 1),4)*IF(MOD(G236, 10) = 0, 10, MOD(G236, 10)))+INDEX(Factor!$AE$4:$AJ$13, _xlfn.XMATCH(MonsterData!$G236, Factor!$AE$4:$AE$13, 1),4))</f>
        <v>576</v>
      </c>
      <c r="X236" s="17" cm="1">
        <f t="array" ref="X236">O236*VLOOKUP($I236, Factor!$B$4:$G$8, 5, 0)*VLOOKUP($J236, Factor!$B$12:$G$13, 5, 0)*VLOOKUP($K236, Factor!$B$17:$G$18, 5, 0)*VLOOKUP($H236, Factor!$J$4:$O$7, 5, 0)*VLOOKUP($F236, Factor!$Q$4:$V$15, 5, 0)*IF(MOD($G236,10)=0, 10, MOD($G236, 10))*((INDEX(Factor!$X$4:$AC$13, _xlfn.XMATCH($G236, Factor!$X$4:$X$13, 1),5)*IF(MOD(G236, 10) = 0, 10, MOD(G236, 10)))+INDEX(Factor!$AE$4:$AJ$13, _xlfn.XMATCH(MonsterData!$G236, Factor!$AE$4:$AE$13, 1),5))</f>
        <v>57.600000000000009</v>
      </c>
      <c r="Y236" s="17" cm="1">
        <f t="array" ref="Y236">P236*VLOOKUP($I236, Factor!$B$4:$G$8, 6, 0)*VLOOKUP($J236, Factor!$B$12:$G$13, 6, 0)*VLOOKUP($K236, Factor!$B$17:$G$18, 6, 0)*VLOOKUP($H236, Factor!$J$4:$O$7, 2, 0)*VLOOKUP($F236, Factor!$Q$4:$V$15, 6, 0)*IF(MOD($G236,10)=0, 10, MOD($G236, 10))*((INDEX(Factor!$X$4:$AC$13, _xlfn.XMATCH($G236, Factor!$X$4:$X$13, 1),6)*IF(MOD(G236, 10) = 0, 10, MOD(G236, 10)))+INDEX(Factor!$AE$4:$AJ$13, _xlfn.XMATCH(MonsterData!$G236, Factor!$AE$4:$AE$13, 1),6))</f>
        <v>320</v>
      </c>
      <c r="Z236" s="17">
        <f>$Q236*VLOOKUP($J236, Factor!$B$12:$H$13, 7, 0)</f>
        <v>1</v>
      </c>
      <c r="AA236" s="17">
        <v>1</v>
      </c>
      <c r="AB236" s="17">
        <f t="shared" si="13"/>
        <v>0</v>
      </c>
      <c r="AC236" s="17" t="s">
        <v>139</v>
      </c>
      <c r="AD236" s="19" t="s">
        <v>387</v>
      </c>
    </row>
    <row r="237" spans="1:30" ht="15.75" customHeight="1">
      <c r="A237" s="13" t="str">
        <f>T237&amp;"_"&amp;F237&amp;VLOOKUP($C237, Factor!$AM$4:$AY$30, 7, 0)&amp;IF(COUNTIFS($C$4:C236, C237, $F$4:F236, F237)+1&gt;=100, COUNTIFS($C$4:C236, C237, $F$4:F236, F237)+1,IF(COUNTIFS($C$4:C236, C237, $F$4:F236, F237)+1&gt;=10, "0"&amp;COUNTIFS($C$4:C236, C237, $F$4:F236, F237)+1, "00"&amp;COUNTIFS($C$4:C236, C237, $F$4:F236, F237)+1))</f>
        <v>enpc_F04_A_Mantis_002</v>
      </c>
      <c r="B237" s="13"/>
      <c r="C237" s="13" t="s">
        <v>357</v>
      </c>
      <c r="D237" s="21" t="str">
        <f t="shared" si="12"/>
        <v>맨티스</v>
      </c>
      <c r="E237" s="21" t="str">
        <f>VLOOKUP($C237, Factor!$AM$4:$AY$30, 8, 0)</f>
        <v>S</v>
      </c>
      <c r="F237" s="21" t="s">
        <v>112</v>
      </c>
      <c r="G237" s="22">
        <v>35</v>
      </c>
      <c r="H237" s="13" t="s">
        <v>55</v>
      </c>
      <c r="I237" s="21" t="str">
        <f>VLOOKUP($C237, Factor!$AM$4:$AY$30, 11, 0)</f>
        <v>A</v>
      </c>
      <c r="J237" s="21" t="str">
        <f>VLOOKUP($C237, Factor!$AM$4:$AY$30, 12, 0)</f>
        <v>ml</v>
      </c>
      <c r="K237" s="21" t="str">
        <f>VLOOKUP($C237, Factor!$AM$4:$AY$30, 13, 0)</f>
        <v>L</v>
      </c>
      <c r="L237" s="13">
        <v>1</v>
      </c>
      <c r="M237" s="13">
        <v>1</v>
      </c>
      <c r="N237" s="13">
        <v>1</v>
      </c>
      <c r="O237" s="13">
        <v>1</v>
      </c>
      <c r="P237" s="13">
        <v>1</v>
      </c>
      <c r="Q237" s="13">
        <v>1</v>
      </c>
      <c r="R237" s="21" t="str">
        <f>VLOOKUP($C237, Factor!$AM$4:$AY$30, 9, 0)</f>
        <v>Small</v>
      </c>
      <c r="S237" s="13" t="s">
        <v>400</v>
      </c>
      <c r="T237" s="21" t="str">
        <f>VLOOKUP($C237, Factor!$AM$4:$AY$30, 10, 0)</f>
        <v>enpc</v>
      </c>
      <c r="U237" s="21" cm="1">
        <f t="array" ref="U237">L237*VLOOKUP($I237, Factor!$B$4:$G$8, 2, 0)*VLOOKUP($J237, Factor!$B$12:$G$13, 2, 0)*VLOOKUP($K237, Factor!$B$17:$G$18, 2, 0)*VLOOKUP($H237, Factor!$J$4:$O$7, 2, 0)*VLOOKUP($F237, Factor!$Q$4:$V$15, 2, 0)*IF(MOD($G237,10)=0, 10, MOD($G237, 10))*((INDEX(Factor!$X$4:$AC$13, _xlfn.XMATCH($G237, Factor!$X$4:$X$13, 1),2)*IF(MOD(G237, 10) = 0, 10, MOD(G237, 10)))+INDEX(Factor!$AE$4:$AJ$13, _xlfn.XMATCH(MonsterData!$G237, Factor!$AE$4:$AE$13, 1),2))</f>
        <v>9600</v>
      </c>
      <c r="V237" s="21" cm="1">
        <f t="array" ref="V237">M237*VLOOKUP($I237, Factor!$B$4:$G$8, 3, 0)*VLOOKUP($J237, Factor!$B$12:$G$13, 3, 0)*VLOOKUP($K237, Factor!$B$17:$G$18, 3, 0)*VLOOKUP($H237, Factor!$J$4:$O$7, 3, 0)*VLOOKUP($F237, Factor!$Q$4:$V$15, 3, 0)*IF(MOD($G237,10)=0, 10, MOD($G237, 10))*((INDEX(Factor!$X$4:$AC$13, _xlfn.XMATCH($G237, Factor!$X$4:$X$13, 1),3)*IF(MOD(G237, 10) = 0, 10, MOD(G237, 10)))+INDEX(Factor!$AE$4:$AJ$13, _xlfn.XMATCH(MonsterData!$G237, Factor!$AE$4:$AE$13, 1),3))</f>
        <v>480</v>
      </c>
      <c r="W237" s="21" cm="1">
        <f t="array" ref="W237">N237*VLOOKUP($I237, Factor!$B$4:$G$8, 4, 0)*VLOOKUP($J237, Factor!$B$12:$G$13, 4, 0)*VLOOKUP($K237, Factor!$B$17:$G$18, 4, 0)*VLOOKUP($H237, Factor!$J$4:$O$7, 4, 0)*VLOOKUP($F237, Factor!$Q$4:$V$15, 4, 0)*IF(MOD($G237,10)=0, 10, MOD($G237, 10))*((INDEX(Factor!$X$4:$AC$13, _xlfn.XMATCH($G237, Factor!$X$4:$X$13, 1),4)*IF(MOD(G237, 10) = 0, 10, MOD(G237, 10)))+INDEX(Factor!$AE$4:$AJ$13, _xlfn.XMATCH(MonsterData!$G237, Factor!$AE$4:$AE$13, 1),4))</f>
        <v>288</v>
      </c>
      <c r="X237" s="21" cm="1">
        <f t="array" ref="X237">O237*VLOOKUP($I237, Factor!$B$4:$G$8, 5, 0)*VLOOKUP($J237, Factor!$B$12:$G$13, 5, 0)*VLOOKUP($K237, Factor!$B$17:$G$18, 5, 0)*VLOOKUP($H237, Factor!$J$4:$O$7, 5, 0)*VLOOKUP($F237, Factor!$Q$4:$V$15, 5, 0)*IF(MOD($G237,10)=0, 10, MOD($G237, 10))*((INDEX(Factor!$X$4:$AC$13, _xlfn.XMATCH($G237, Factor!$X$4:$X$13, 1),5)*IF(MOD(G237, 10) = 0, 10, MOD(G237, 10)))+INDEX(Factor!$AE$4:$AJ$13, _xlfn.XMATCH(MonsterData!$G237, Factor!$AE$4:$AE$13, 1),5))</f>
        <v>64</v>
      </c>
      <c r="Y237" s="21" cm="1">
        <f t="array" ref="Y237">P237*VLOOKUP($I237, Factor!$B$4:$G$8, 6, 0)*VLOOKUP($J237, Factor!$B$12:$G$13, 6, 0)*VLOOKUP($K237, Factor!$B$17:$G$18, 6, 0)*VLOOKUP($H237, Factor!$J$4:$O$7, 2, 0)*VLOOKUP($F237, Factor!$Q$4:$V$15, 6, 0)*IF(MOD($G237,10)=0, 10, MOD($G237, 10))*((INDEX(Factor!$X$4:$AC$13, _xlfn.XMATCH($G237, Factor!$X$4:$X$13, 1),6)*IF(MOD(G237, 10) = 0, 10, MOD(G237, 10)))+INDEX(Factor!$AE$4:$AJ$13, _xlfn.XMATCH(MonsterData!$G237, Factor!$AE$4:$AE$13, 1),6))</f>
        <v>320</v>
      </c>
      <c r="Z237" s="21">
        <f>$Q237*VLOOKUP($J237, Factor!$B$12:$H$13, 7, 0)</f>
        <v>1</v>
      </c>
      <c r="AA237" s="13">
        <v>1</v>
      </c>
      <c r="AB237" s="21">
        <f t="shared" si="13"/>
        <v>0</v>
      </c>
      <c r="AC237" s="13" t="s">
        <v>139</v>
      </c>
      <c r="AD237" s="15" t="s">
        <v>387</v>
      </c>
    </row>
    <row r="238" spans="1:30" ht="15.75" customHeight="1">
      <c r="A238" s="16" t="str">
        <f>T238&amp;"_"&amp;F238&amp;VLOOKUP($C238, Factor!$AM$4:$AY$30, 7, 0)&amp;IF(COUNTIFS($C$4:C237, C238, $F$4:F237, F238)+1&gt;=100, COUNTIFS($C$4:C237, C238, $F$4:F237, F238)+1,IF(COUNTIFS($C$4:C237, C238, $F$4:F237, F238)+1&gt;=10, "0"&amp;COUNTIFS($C$4:C237, C238, $F$4:F237, F238)+1, "00"&amp;COUNTIFS($C$4:C237, C238, $F$4:F237, F238)+1))</f>
        <v>enpc_F04_B_Kobold_002</v>
      </c>
      <c r="B238" s="16"/>
      <c r="C238" s="16" t="s">
        <v>359</v>
      </c>
      <c r="D238" s="17" t="str">
        <f t="shared" si="12"/>
        <v>코볼트</v>
      </c>
      <c r="E238" s="17" t="str">
        <f>VLOOKUP($C238, Factor!$AM$4:$AY$30, 8, 0)</f>
        <v>M</v>
      </c>
      <c r="F238" s="17" t="s">
        <v>112</v>
      </c>
      <c r="G238" s="20">
        <v>56</v>
      </c>
      <c r="H238" s="16" t="s">
        <v>56</v>
      </c>
      <c r="I238" s="17" t="str">
        <f>VLOOKUP($C238, Factor!$AM$4:$AY$30, 11, 0)</f>
        <v>B</v>
      </c>
      <c r="J238" s="17" t="str">
        <f>VLOOKUP($C238, Factor!$AM$4:$AY$30, 12, 0)</f>
        <v>ml</v>
      </c>
      <c r="K238" s="17" t="str">
        <f>VLOOKUP($C238, Factor!$AM$4:$AY$30, 13, 0)</f>
        <v>L</v>
      </c>
      <c r="L238" s="17">
        <v>1</v>
      </c>
      <c r="M238" s="17">
        <v>1</v>
      </c>
      <c r="N238" s="17">
        <v>1</v>
      </c>
      <c r="O238" s="17">
        <v>1</v>
      </c>
      <c r="P238" s="17">
        <v>1</v>
      </c>
      <c r="Q238" s="17">
        <v>1</v>
      </c>
      <c r="R238" s="17" t="str">
        <f>VLOOKUP($C238, Factor!$AM$4:$AY$30, 9, 0)</f>
        <v>Small</v>
      </c>
      <c r="S238" s="17" t="s">
        <v>378</v>
      </c>
      <c r="T238" s="17" t="str">
        <f>VLOOKUP($C238, Factor!$AM$4:$AY$30, 10, 0)</f>
        <v>enpc</v>
      </c>
      <c r="U238" s="17" cm="1">
        <f t="array" ref="U238">L238*VLOOKUP($I238, Factor!$B$4:$G$8, 2, 0)*VLOOKUP($J238, Factor!$B$12:$G$13, 2, 0)*VLOOKUP($K238, Factor!$B$17:$G$18, 2, 0)*VLOOKUP($H238, Factor!$J$4:$O$7, 2, 0)*VLOOKUP($F238, Factor!$Q$4:$V$15, 2, 0)*IF(MOD($G238,10)=0, 10, MOD($G238, 10))*((INDEX(Factor!$X$4:$AC$13, _xlfn.XMATCH($G238, Factor!$X$4:$X$13, 1),2)*IF(MOD(G238, 10) = 0, 10, MOD(G238, 10)))+INDEX(Factor!$AE$4:$AJ$13, _xlfn.XMATCH(MonsterData!$G238, Factor!$AE$4:$AE$13, 1),2))</f>
        <v>133920</v>
      </c>
      <c r="V238" s="17" cm="1">
        <f t="array" ref="V238">M238*VLOOKUP($I238, Factor!$B$4:$G$8, 3, 0)*VLOOKUP($J238, Factor!$B$12:$G$13, 3, 0)*VLOOKUP($K238, Factor!$B$17:$G$18, 3, 0)*VLOOKUP($H238, Factor!$J$4:$O$7, 3, 0)*VLOOKUP($F238, Factor!$Q$4:$V$15, 3, 0)*IF(MOD($G238,10)=0, 10, MOD($G238, 10))*((INDEX(Factor!$X$4:$AC$13, _xlfn.XMATCH($G238, Factor!$X$4:$X$13, 1),3)*IF(MOD(G238, 10) = 0, 10, MOD(G238, 10)))+INDEX(Factor!$AE$4:$AJ$13, _xlfn.XMATCH(MonsterData!$G238, Factor!$AE$4:$AE$13, 1),3))</f>
        <v>6696.0000000000009</v>
      </c>
      <c r="W238" s="17" cm="1">
        <f t="array" ref="W238">N238*VLOOKUP($I238, Factor!$B$4:$G$8, 4, 0)*VLOOKUP($J238, Factor!$B$12:$G$13, 4, 0)*VLOOKUP($K238, Factor!$B$17:$G$18, 4, 0)*VLOOKUP($H238, Factor!$J$4:$O$7, 4, 0)*VLOOKUP($F238, Factor!$Q$4:$V$15, 4, 0)*IF(MOD($G238,10)=0, 10, MOD($G238, 10))*((INDEX(Factor!$X$4:$AC$13, _xlfn.XMATCH($G238, Factor!$X$4:$X$13, 1),4)*IF(MOD(G238, 10) = 0, 10, MOD(G238, 10)))+INDEX(Factor!$AE$4:$AJ$13, _xlfn.XMATCH(MonsterData!$G238, Factor!$AE$4:$AE$13, 1),4))</f>
        <v>13392.000000000002</v>
      </c>
      <c r="X238" s="17" cm="1">
        <f t="array" ref="X238">O238*VLOOKUP($I238, Factor!$B$4:$G$8, 5, 0)*VLOOKUP($J238, Factor!$B$12:$G$13, 5, 0)*VLOOKUP($K238, Factor!$B$17:$G$18, 5, 0)*VLOOKUP($H238, Factor!$J$4:$O$7, 5, 0)*VLOOKUP($F238, Factor!$Q$4:$V$15, 5, 0)*IF(MOD($G238,10)=0, 10, MOD($G238, 10))*((INDEX(Factor!$X$4:$AC$13, _xlfn.XMATCH($G238, Factor!$X$4:$X$13, 1),5)*IF(MOD(G238, 10) = 0, 10, MOD(G238, 10)))+INDEX(Factor!$AE$4:$AJ$13, _xlfn.XMATCH(MonsterData!$G238, Factor!$AE$4:$AE$13, 1),5))</f>
        <v>321.40800000000007</v>
      </c>
      <c r="Y238" s="17" cm="1">
        <f t="array" ref="Y238">P238*VLOOKUP($I238, Factor!$B$4:$G$8, 6, 0)*VLOOKUP($J238, Factor!$B$12:$G$13, 6, 0)*VLOOKUP($K238, Factor!$B$17:$G$18, 6, 0)*VLOOKUP($H238, Factor!$J$4:$O$7, 2, 0)*VLOOKUP($F238, Factor!$Q$4:$V$15, 6, 0)*IF(MOD($G238,10)=0, 10, MOD($G238, 10))*((INDEX(Factor!$X$4:$AC$13, _xlfn.XMATCH($G238, Factor!$X$4:$X$13, 1),6)*IF(MOD(G238, 10) = 0, 10, MOD(G238, 10)))+INDEX(Factor!$AE$4:$AJ$13, _xlfn.XMATCH(MonsterData!$G238, Factor!$AE$4:$AE$13, 1),6))</f>
        <v>714.24000000000012</v>
      </c>
      <c r="Z238" s="17">
        <f>$Q238*VLOOKUP($J238, Factor!$B$12:$H$13, 7, 0)</f>
        <v>1</v>
      </c>
      <c r="AA238" s="17">
        <v>1</v>
      </c>
      <c r="AB238" s="17">
        <f t="shared" si="13"/>
        <v>0</v>
      </c>
      <c r="AC238" s="17" t="s">
        <v>393</v>
      </c>
      <c r="AD238" s="19" t="s">
        <v>388</v>
      </c>
    </row>
    <row r="239" spans="1:30" ht="15.75" customHeight="1">
      <c r="A239" s="13" t="str">
        <f>T239&amp;"_"&amp;F239&amp;VLOOKUP($C239, Factor!$AM$4:$AY$30, 7, 0)&amp;IF(COUNTIFS($C$4:C238, C239, $F$4:F238, F239)+1&gt;=100, COUNTIFS($C$4:C238, C239, $F$4:F238, F239)+1,IF(COUNTIFS($C$4:C238, C239, $F$4:F238, F239)+1&gt;=10, "0"&amp;COUNTIFS($C$4:C238, C239, $F$4:F238, F239)+1, "00"&amp;COUNTIFS($C$4:C238, C239, $F$4:F238, F239)+1))</f>
        <v>enpc_F04_B_Ghoul_002</v>
      </c>
      <c r="B239" s="13"/>
      <c r="C239" s="13" t="s">
        <v>361</v>
      </c>
      <c r="D239" s="21" t="str">
        <f t="shared" si="12"/>
        <v>구울</v>
      </c>
      <c r="E239" s="21" t="str">
        <f>VLOOKUP($C239, Factor!$AM$4:$AY$30, 8, 0)</f>
        <v>M</v>
      </c>
      <c r="F239" s="21" t="s">
        <v>112</v>
      </c>
      <c r="G239" s="22">
        <v>56</v>
      </c>
      <c r="H239" s="13" t="s">
        <v>55</v>
      </c>
      <c r="I239" s="21" t="str">
        <f>VLOOKUP($C239, Factor!$AM$4:$AY$30, 11, 0)</f>
        <v>B</v>
      </c>
      <c r="J239" s="21" t="str">
        <f>VLOOKUP($C239, Factor!$AM$4:$AY$30, 12, 0)</f>
        <v>ml</v>
      </c>
      <c r="K239" s="21" t="str">
        <f>VLOOKUP($C239, Factor!$AM$4:$AY$30, 13, 0)</f>
        <v>L</v>
      </c>
      <c r="L239" s="13">
        <v>1</v>
      </c>
      <c r="M239" s="13">
        <v>1</v>
      </c>
      <c r="N239" s="13">
        <v>1</v>
      </c>
      <c r="O239" s="13">
        <v>1</v>
      </c>
      <c r="P239" s="13">
        <v>1</v>
      </c>
      <c r="Q239" s="13">
        <v>1</v>
      </c>
      <c r="R239" s="21" t="str">
        <f>VLOOKUP($C239, Factor!$AM$4:$AY$30, 9, 0)</f>
        <v>Midium</v>
      </c>
      <c r="S239" s="13" t="s">
        <v>401</v>
      </c>
      <c r="T239" s="21" t="str">
        <f>VLOOKUP($C239, Factor!$AM$4:$AY$30, 10, 0)</f>
        <v>enpc</v>
      </c>
      <c r="U239" s="21" cm="1">
        <f t="array" ref="U239">L239*VLOOKUP($I239, Factor!$B$4:$G$8, 2, 0)*VLOOKUP($J239, Factor!$B$12:$G$13, 2, 0)*VLOOKUP($K239, Factor!$B$17:$G$18, 2, 0)*VLOOKUP($H239, Factor!$J$4:$O$7, 2, 0)*VLOOKUP($F239, Factor!$Q$4:$V$15, 2, 0)*IF(MOD($G239,10)=0, 10, MOD($G239, 10))*((INDEX(Factor!$X$4:$AC$13, _xlfn.XMATCH($G239, Factor!$X$4:$X$13, 1),2)*IF(MOD(G239, 10) = 0, 10, MOD(G239, 10)))+INDEX(Factor!$AE$4:$AJ$13, _xlfn.XMATCH(MonsterData!$G239, Factor!$AE$4:$AE$13, 1),2))</f>
        <v>133920</v>
      </c>
      <c r="V239" s="21" cm="1">
        <f t="array" ref="V239">M239*VLOOKUP($I239, Factor!$B$4:$G$8, 3, 0)*VLOOKUP($J239, Factor!$B$12:$G$13, 3, 0)*VLOOKUP($K239, Factor!$B$17:$G$18, 3, 0)*VLOOKUP($H239, Factor!$J$4:$O$7, 3, 0)*VLOOKUP($F239, Factor!$Q$4:$V$15, 3, 0)*IF(MOD($G239,10)=0, 10, MOD($G239, 10))*((INDEX(Factor!$X$4:$AC$13, _xlfn.XMATCH($G239, Factor!$X$4:$X$13, 1),3)*IF(MOD(G239, 10) = 0, 10, MOD(G239, 10)))+INDEX(Factor!$AE$4:$AJ$13, _xlfn.XMATCH(MonsterData!$G239, Factor!$AE$4:$AE$13, 1),3))</f>
        <v>6696.0000000000009</v>
      </c>
      <c r="W239" s="21" cm="1">
        <f t="array" ref="W239">N239*VLOOKUP($I239, Factor!$B$4:$G$8, 4, 0)*VLOOKUP($J239, Factor!$B$12:$G$13, 4, 0)*VLOOKUP($K239, Factor!$B$17:$G$18, 4, 0)*VLOOKUP($H239, Factor!$J$4:$O$7, 4, 0)*VLOOKUP($F239, Factor!$Q$4:$V$15, 4, 0)*IF(MOD($G239,10)=0, 10, MOD($G239, 10))*((INDEX(Factor!$X$4:$AC$13, _xlfn.XMATCH($G239, Factor!$X$4:$X$13, 1),4)*IF(MOD(G239, 10) = 0, 10, MOD(G239, 10)))+INDEX(Factor!$AE$4:$AJ$13, _xlfn.XMATCH(MonsterData!$G239, Factor!$AE$4:$AE$13, 1),4))</f>
        <v>6696.0000000000009</v>
      </c>
      <c r="X239" s="21" cm="1">
        <f t="array" ref="X239">O239*VLOOKUP($I239, Factor!$B$4:$G$8, 5, 0)*VLOOKUP($J239, Factor!$B$12:$G$13, 5, 0)*VLOOKUP($K239, Factor!$B$17:$G$18, 5, 0)*VLOOKUP($H239, Factor!$J$4:$O$7, 5, 0)*VLOOKUP($F239, Factor!$Q$4:$V$15, 5, 0)*IF(MOD($G239,10)=0, 10, MOD($G239, 10))*((INDEX(Factor!$X$4:$AC$13, _xlfn.XMATCH($G239, Factor!$X$4:$X$13, 1),5)*IF(MOD(G239, 10) = 0, 10, MOD(G239, 10)))+INDEX(Factor!$AE$4:$AJ$13, _xlfn.XMATCH(MonsterData!$G239, Factor!$AE$4:$AE$13, 1),5))</f>
        <v>357.12000000000006</v>
      </c>
      <c r="Y239" s="21" cm="1">
        <f t="array" ref="Y239">P239*VLOOKUP($I239, Factor!$B$4:$G$8, 6, 0)*VLOOKUP($J239, Factor!$B$12:$G$13, 6, 0)*VLOOKUP($K239, Factor!$B$17:$G$18, 6, 0)*VLOOKUP($H239, Factor!$J$4:$O$7, 2, 0)*VLOOKUP($F239, Factor!$Q$4:$V$15, 6, 0)*IF(MOD($G239,10)=0, 10, MOD($G239, 10))*((INDEX(Factor!$X$4:$AC$13, _xlfn.XMATCH($G239, Factor!$X$4:$X$13, 1),6)*IF(MOD(G239, 10) = 0, 10, MOD(G239, 10)))+INDEX(Factor!$AE$4:$AJ$13, _xlfn.XMATCH(MonsterData!$G239, Factor!$AE$4:$AE$13, 1),6))</f>
        <v>714.24000000000012</v>
      </c>
      <c r="Z239" s="21">
        <f>$Q239*VLOOKUP($J239, Factor!$B$12:$H$13, 7, 0)</f>
        <v>1</v>
      </c>
      <c r="AA239" s="13">
        <v>1</v>
      </c>
      <c r="AB239" s="21">
        <f t="shared" si="13"/>
        <v>0</v>
      </c>
      <c r="AC239" s="13" t="s">
        <v>394</v>
      </c>
      <c r="AD239" s="15" t="s">
        <v>389</v>
      </c>
    </row>
    <row r="240" spans="1:30" ht="15.75" customHeight="1">
      <c r="A240" s="16" t="str">
        <f>T240&amp;"_"&amp;F240&amp;VLOOKUP($C240, Factor!$AM$4:$AY$30, 7, 0)&amp;IF(COUNTIFS($C$4:C239, C240, $F$4:F239, F240)+1&gt;=100, COUNTIFS($C$4:C239, C240, $F$4:F239, F240)+1,IF(COUNTIFS($C$4:C239, C240, $F$4:F239, F240)+1&gt;=10, "0"&amp;COUNTIFS($C$4:C239, C240, $F$4:F239, F240)+1, "00"&amp;COUNTIFS($C$4:C239, C240, $F$4:F239, F240)+1))</f>
        <v>enpc_F04_B_Gorgon_002</v>
      </c>
      <c r="B240" s="16"/>
      <c r="C240" s="16" t="s">
        <v>363</v>
      </c>
      <c r="D240" s="17" t="str">
        <f t="shared" si="12"/>
        <v>고르곤</v>
      </c>
      <c r="E240" s="17" t="str">
        <f>VLOOKUP($C240, Factor!$AM$4:$AY$30, 8, 0)</f>
        <v>B</v>
      </c>
      <c r="F240" s="17" t="s">
        <v>112</v>
      </c>
      <c r="G240" s="20">
        <v>56</v>
      </c>
      <c r="H240" s="16" t="s">
        <v>56</v>
      </c>
      <c r="I240" s="17" t="str">
        <f>VLOOKUP($C240, Factor!$AM$4:$AY$30, 11, 0)</f>
        <v>B</v>
      </c>
      <c r="J240" s="17" t="str">
        <f>VLOOKUP($C240, Factor!$AM$4:$AY$30, 12, 0)</f>
        <v>ml</v>
      </c>
      <c r="K240" s="17" t="str">
        <f>VLOOKUP($C240, Factor!$AM$4:$AY$30, 13, 0)</f>
        <v>L</v>
      </c>
      <c r="L240" s="17">
        <v>1</v>
      </c>
      <c r="M240" s="17">
        <v>1</v>
      </c>
      <c r="N240" s="17">
        <v>1</v>
      </c>
      <c r="O240" s="17">
        <v>1</v>
      </c>
      <c r="P240" s="17">
        <v>1</v>
      </c>
      <c r="Q240" s="17">
        <v>1</v>
      </c>
      <c r="R240" s="17" t="str">
        <f>VLOOKUP($C240, Factor!$AM$4:$AY$30, 9, 0)</f>
        <v>Midium</v>
      </c>
      <c r="S240" s="17" t="s">
        <v>380</v>
      </c>
      <c r="T240" s="17" t="str">
        <f>VLOOKUP($C240, Factor!$AM$4:$AY$30, 10, 0)</f>
        <v>enpc</v>
      </c>
      <c r="U240" s="17" cm="1">
        <f t="array" ref="U240">L240*VLOOKUP($I240, Factor!$B$4:$G$8, 2, 0)*VLOOKUP($J240, Factor!$B$12:$G$13, 2, 0)*VLOOKUP($K240, Factor!$B$17:$G$18, 2, 0)*VLOOKUP($H240, Factor!$J$4:$O$7, 2, 0)*VLOOKUP($F240, Factor!$Q$4:$V$15, 2, 0)*IF(MOD($G240,10)=0, 10, MOD($G240, 10))*((INDEX(Factor!$X$4:$AC$13, _xlfn.XMATCH($G240, Factor!$X$4:$X$13, 1),2)*IF(MOD(G240, 10) = 0, 10, MOD(G240, 10)))+INDEX(Factor!$AE$4:$AJ$13, _xlfn.XMATCH(MonsterData!$G240, Factor!$AE$4:$AE$13, 1),2))</f>
        <v>133920</v>
      </c>
      <c r="V240" s="17" cm="1">
        <f t="array" ref="V240">M240*VLOOKUP($I240, Factor!$B$4:$G$8, 3, 0)*VLOOKUP($J240, Factor!$B$12:$G$13, 3, 0)*VLOOKUP($K240, Factor!$B$17:$G$18, 3, 0)*VLOOKUP($H240, Factor!$J$4:$O$7, 3, 0)*VLOOKUP($F240, Factor!$Q$4:$V$15, 3, 0)*IF(MOD($G240,10)=0, 10, MOD($G240, 10))*((INDEX(Factor!$X$4:$AC$13, _xlfn.XMATCH($G240, Factor!$X$4:$X$13, 1),3)*IF(MOD(G240, 10) = 0, 10, MOD(G240, 10)))+INDEX(Factor!$AE$4:$AJ$13, _xlfn.XMATCH(MonsterData!$G240, Factor!$AE$4:$AE$13, 1),3))</f>
        <v>6696.0000000000009</v>
      </c>
      <c r="W240" s="17" cm="1">
        <f t="array" ref="W240">N240*VLOOKUP($I240, Factor!$B$4:$G$8, 4, 0)*VLOOKUP($J240, Factor!$B$12:$G$13, 4, 0)*VLOOKUP($K240, Factor!$B$17:$G$18, 4, 0)*VLOOKUP($H240, Factor!$J$4:$O$7, 4, 0)*VLOOKUP($F240, Factor!$Q$4:$V$15, 4, 0)*IF(MOD($G240,10)=0, 10, MOD($G240, 10))*((INDEX(Factor!$X$4:$AC$13, _xlfn.XMATCH($G240, Factor!$X$4:$X$13, 1),4)*IF(MOD(G240, 10) = 0, 10, MOD(G240, 10)))+INDEX(Factor!$AE$4:$AJ$13, _xlfn.XMATCH(MonsterData!$G240, Factor!$AE$4:$AE$13, 1),4))</f>
        <v>13392.000000000002</v>
      </c>
      <c r="X240" s="17" cm="1">
        <f t="array" ref="X240">O240*VLOOKUP($I240, Factor!$B$4:$G$8, 5, 0)*VLOOKUP($J240, Factor!$B$12:$G$13, 5, 0)*VLOOKUP($K240, Factor!$B$17:$G$18, 5, 0)*VLOOKUP($H240, Factor!$J$4:$O$7, 5, 0)*VLOOKUP($F240, Factor!$Q$4:$V$15, 5, 0)*IF(MOD($G240,10)=0, 10, MOD($G240, 10))*((INDEX(Factor!$X$4:$AC$13, _xlfn.XMATCH($G240, Factor!$X$4:$X$13, 1),5)*IF(MOD(G240, 10) = 0, 10, MOD(G240, 10)))+INDEX(Factor!$AE$4:$AJ$13, _xlfn.XMATCH(MonsterData!$G240, Factor!$AE$4:$AE$13, 1),5))</f>
        <v>321.40800000000007</v>
      </c>
      <c r="Y240" s="17" cm="1">
        <f t="array" ref="Y240">P240*VLOOKUP($I240, Factor!$B$4:$G$8, 6, 0)*VLOOKUP($J240, Factor!$B$12:$G$13, 6, 0)*VLOOKUP($K240, Factor!$B$17:$G$18, 6, 0)*VLOOKUP($H240, Factor!$J$4:$O$7, 2, 0)*VLOOKUP($F240, Factor!$Q$4:$V$15, 6, 0)*IF(MOD($G240,10)=0, 10, MOD($G240, 10))*((INDEX(Factor!$X$4:$AC$13, _xlfn.XMATCH($G240, Factor!$X$4:$X$13, 1),6)*IF(MOD(G240, 10) = 0, 10, MOD(G240, 10)))+INDEX(Factor!$AE$4:$AJ$13, _xlfn.XMATCH(MonsterData!$G240, Factor!$AE$4:$AE$13, 1),6))</f>
        <v>714.24000000000012</v>
      </c>
      <c r="Z240" s="17">
        <f>$Q240*VLOOKUP($J240, Factor!$B$12:$H$13, 7, 0)</f>
        <v>1</v>
      </c>
      <c r="AA240" s="17">
        <v>1</v>
      </c>
      <c r="AB240" s="17">
        <f t="shared" si="13"/>
        <v>0</v>
      </c>
      <c r="AC240" s="17" t="s">
        <v>395</v>
      </c>
      <c r="AD240" s="19" t="s">
        <v>390</v>
      </c>
    </row>
    <row r="241" spans="1:30" ht="15.75" customHeight="1">
      <c r="A241" s="13" t="str">
        <f>T241&amp;"_"&amp;F241&amp;VLOOKUP($C241, Factor!$AM$4:$AY$30, 7, 0)&amp;IF(COUNTIFS($C$4:C240, C241, $F$4:F240, F241)+1&gt;=100, COUNTIFS($C$4:C240, C241, $F$4:F240, F241)+1,IF(COUNTIFS($C$4:C240, C241, $F$4:F240, F241)+1&gt;=10, "0"&amp;COUNTIFS($C$4:C240, C241, $F$4:F240, F241)+1, "00"&amp;COUNTIFS($C$4:C240, C241, $F$4:F240, F241)+1))</f>
        <v>enpc_F04_B_Gargoyle_002</v>
      </c>
      <c r="B241" s="13"/>
      <c r="C241" s="13" t="s">
        <v>365</v>
      </c>
      <c r="D241" s="21" t="str">
        <f t="shared" si="12"/>
        <v>가고일</v>
      </c>
      <c r="E241" s="21" t="str">
        <f>VLOOKUP($C241, Factor!$AM$4:$AY$30, 8, 0)</f>
        <v>B</v>
      </c>
      <c r="F241" s="21" t="s">
        <v>112</v>
      </c>
      <c r="G241" s="22">
        <v>56</v>
      </c>
      <c r="H241" s="13" t="s">
        <v>55</v>
      </c>
      <c r="I241" s="21" t="str">
        <f>VLOOKUP($C241, Factor!$AM$4:$AY$30, 11, 0)</f>
        <v>B</v>
      </c>
      <c r="J241" s="21" t="str">
        <f>VLOOKUP($C241, Factor!$AM$4:$AY$30, 12, 0)</f>
        <v>ml</v>
      </c>
      <c r="K241" s="21" t="str">
        <f>VLOOKUP($C241, Factor!$AM$4:$AY$30, 13, 0)</f>
        <v>F</v>
      </c>
      <c r="L241" s="13">
        <v>1</v>
      </c>
      <c r="M241" s="13">
        <v>1</v>
      </c>
      <c r="N241" s="13">
        <v>1</v>
      </c>
      <c r="O241" s="13">
        <v>1</v>
      </c>
      <c r="P241" s="13">
        <v>1</v>
      </c>
      <c r="Q241" s="13">
        <v>1</v>
      </c>
      <c r="R241" s="21" t="str">
        <f>VLOOKUP($C241, Factor!$AM$4:$AY$30, 9, 0)</f>
        <v>Big</v>
      </c>
      <c r="S241" s="13" t="s">
        <v>402</v>
      </c>
      <c r="T241" s="21" t="str">
        <f>VLOOKUP($C241, Factor!$AM$4:$AY$30, 10, 0)</f>
        <v>enpc</v>
      </c>
      <c r="U241" s="21" cm="1">
        <f t="array" ref="U241">L241*VLOOKUP($I241, Factor!$B$4:$G$8, 2, 0)*VLOOKUP($J241, Factor!$B$12:$G$13, 2, 0)*VLOOKUP($K241, Factor!$B$17:$G$18, 2, 0)*VLOOKUP($H241, Factor!$J$4:$O$7, 2, 0)*VLOOKUP($F241, Factor!$Q$4:$V$15, 2, 0)*IF(MOD($G241,10)=0, 10, MOD($G241, 10))*((INDEX(Factor!$X$4:$AC$13, _xlfn.XMATCH($G241, Factor!$X$4:$X$13, 1),2)*IF(MOD(G241, 10) = 0, 10, MOD(G241, 10)))+INDEX(Factor!$AE$4:$AJ$13, _xlfn.XMATCH(MonsterData!$G241, Factor!$AE$4:$AE$13, 1),2))</f>
        <v>89280</v>
      </c>
      <c r="V241" s="21" cm="1">
        <f t="array" ref="V241">M241*VLOOKUP($I241, Factor!$B$4:$G$8, 3, 0)*VLOOKUP($J241, Factor!$B$12:$G$13, 3, 0)*VLOOKUP($K241, Factor!$B$17:$G$18, 3, 0)*VLOOKUP($H241, Factor!$J$4:$O$7, 3, 0)*VLOOKUP($F241, Factor!$Q$4:$V$15, 3, 0)*IF(MOD($G241,10)=0, 10, MOD($G241, 10))*((INDEX(Factor!$X$4:$AC$13, _xlfn.XMATCH($G241, Factor!$X$4:$X$13, 1),3)*IF(MOD(G241, 10) = 0, 10, MOD(G241, 10)))+INDEX(Factor!$AE$4:$AJ$13, _xlfn.XMATCH(MonsterData!$G241, Factor!$AE$4:$AE$13, 1),3))</f>
        <v>4464</v>
      </c>
      <c r="W241" s="21" cm="1">
        <f t="array" ref="W241">N241*VLOOKUP($I241, Factor!$B$4:$G$8, 4, 0)*VLOOKUP($J241, Factor!$B$12:$G$13, 4, 0)*VLOOKUP($K241, Factor!$B$17:$G$18, 4, 0)*VLOOKUP($H241, Factor!$J$4:$O$7, 4, 0)*VLOOKUP($F241, Factor!$Q$4:$V$15, 4, 0)*IF(MOD($G241,10)=0, 10, MOD($G241, 10))*((INDEX(Factor!$X$4:$AC$13, _xlfn.XMATCH($G241, Factor!$X$4:$X$13, 1),4)*IF(MOD(G241, 10) = 0, 10, MOD(G241, 10)))+INDEX(Factor!$AE$4:$AJ$13, _xlfn.XMATCH(MonsterData!$G241, Factor!$AE$4:$AE$13, 1),4))</f>
        <v>4464</v>
      </c>
      <c r="X241" s="21" cm="1">
        <f t="array" ref="X241">O241*VLOOKUP($I241, Factor!$B$4:$G$8, 5, 0)*VLOOKUP($J241, Factor!$B$12:$G$13, 5, 0)*VLOOKUP($K241, Factor!$B$17:$G$18, 5, 0)*VLOOKUP($H241, Factor!$J$4:$O$7, 5, 0)*VLOOKUP($F241, Factor!$Q$4:$V$15, 5, 0)*IF(MOD($G241,10)=0, 10, MOD($G241, 10))*((INDEX(Factor!$X$4:$AC$13, _xlfn.XMATCH($G241, Factor!$X$4:$X$13, 1),5)*IF(MOD(G241, 10) = 0, 10, MOD(G241, 10)))+INDEX(Factor!$AE$4:$AJ$13, _xlfn.XMATCH(MonsterData!$G241, Factor!$AE$4:$AE$13, 1),5))</f>
        <v>357.12000000000006</v>
      </c>
      <c r="Y241" s="21" cm="1">
        <f t="array" ref="Y241">P241*VLOOKUP($I241, Factor!$B$4:$G$8, 6, 0)*VLOOKUP($J241, Factor!$B$12:$G$13, 6, 0)*VLOOKUP($K241, Factor!$B$17:$G$18, 6, 0)*VLOOKUP($H241, Factor!$J$4:$O$7, 2, 0)*VLOOKUP($F241, Factor!$Q$4:$V$15, 6, 0)*IF(MOD($G241,10)=0, 10, MOD($G241, 10))*((INDEX(Factor!$X$4:$AC$13, _xlfn.XMATCH($G241, Factor!$X$4:$X$13, 1),6)*IF(MOD(G241, 10) = 0, 10, MOD(G241, 10)))+INDEX(Factor!$AE$4:$AJ$13, _xlfn.XMATCH(MonsterData!$G241, Factor!$AE$4:$AE$13, 1),6))</f>
        <v>2142.7200000000003</v>
      </c>
      <c r="Z241" s="21">
        <f>$Q241*VLOOKUP($J241, Factor!$B$12:$H$13, 7, 0)</f>
        <v>1</v>
      </c>
      <c r="AA241" s="13">
        <v>1</v>
      </c>
      <c r="AB241" s="21">
        <f t="shared" si="13"/>
        <v>0</v>
      </c>
      <c r="AC241" s="13" t="s">
        <v>396</v>
      </c>
      <c r="AD241" s="15" t="s">
        <v>391</v>
      </c>
    </row>
    <row r="242" spans="1:30" ht="15.75" customHeight="1">
      <c r="A242" s="16" t="str">
        <f>T242&amp;"_"&amp;F242&amp;VLOOKUP($C242, Factor!$AM$4:$AY$30, 7, 0)&amp;IF(COUNTIFS($C$4:C241, C242, $F$4:F241, F242)+1&gt;=100, COUNTIFS($C$4:C241, C242, $F$4:F241, F242)+1,IF(COUNTIFS($C$4:C241, C242, $F$4:F241, F242)+1&gt;=10, "0"&amp;COUNTIFS($C$4:C241, C242, $F$4:F241, F242)+1, "00"&amp;COUNTIFS($C$4:C241, C242, $F$4:F241, F242)+1))</f>
        <v>enpc_F04_A_Lava_003</v>
      </c>
      <c r="B242" s="16"/>
      <c r="C242" s="16" t="s">
        <v>35</v>
      </c>
      <c r="D242" s="17" t="str">
        <f t="shared" si="12"/>
        <v>라바</v>
      </c>
      <c r="E242" s="17" t="str">
        <f>VLOOKUP($C242, Factor!$AM$4:$AY$30, 8, 0)</f>
        <v>S</v>
      </c>
      <c r="F242" s="17" t="s">
        <v>112</v>
      </c>
      <c r="G242" s="20">
        <v>37</v>
      </c>
      <c r="H242" s="16" t="s">
        <v>54</v>
      </c>
      <c r="I242" s="17" t="str">
        <f>VLOOKUP($C242, Factor!$AM$4:$AY$30, 11, 0)</f>
        <v>A</v>
      </c>
      <c r="J242" s="17" t="str">
        <f>VLOOKUP($C242, Factor!$AM$4:$AY$30, 12, 0)</f>
        <v>ml</v>
      </c>
      <c r="K242" s="17" t="str">
        <f>VLOOKUP($C242, Factor!$AM$4:$AY$30, 13, 0)</f>
        <v>L</v>
      </c>
      <c r="L242" s="17">
        <v>1</v>
      </c>
      <c r="M242" s="17">
        <v>1</v>
      </c>
      <c r="N242" s="17">
        <v>1</v>
      </c>
      <c r="O242" s="17">
        <v>1</v>
      </c>
      <c r="P242" s="17">
        <v>1</v>
      </c>
      <c r="Q242" s="17">
        <v>1</v>
      </c>
      <c r="R242" s="17" t="str">
        <f>VLOOKUP($C242, Factor!$AM$4:$AY$30, 9, 0)</f>
        <v>Small</v>
      </c>
      <c r="S242" s="17" t="s">
        <v>88</v>
      </c>
      <c r="T242" s="17" t="str">
        <f>VLOOKUP($C242, Factor!$AM$4:$AY$30, 10, 0)</f>
        <v>enpc</v>
      </c>
      <c r="U242" s="17" cm="1">
        <f t="array" ref="U242">L242*VLOOKUP($I242, Factor!$B$4:$G$8, 2, 0)*VLOOKUP($J242, Factor!$B$12:$G$13, 2, 0)*VLOOKUP($K242, Factor!$B$17:$G$18, 2, 0)*VLOOKUP($H242, Factor!$J$4:$O$7, 2, 0)*VLOOKUP($F242, Factor!$Q$4:$V$15, 2, 0)*IF(MOD($G242,10)=0, 10, MOD($G242, 10))*((INDEX(Factor!$X$4:$AC$13, _xlfn.XMATCH($G242, Factor!$X$4:$X$13, 1),2)*IF(MOD(G242, 10) = 0, 10, MOD(G242, 10)))+INDEX(Factor!$AE$4:$AJ$13, _xlfn.XMATCH(MonsterData!$G242, Factor!$AE$4:$AE$13, 1),2))</f>
        <v>11827.2</v>
      </c>
      <c r="V242" s="17" cm="1">
        <f t="array" ref="V242">M242*VLOOKUP($I242, Factor!$B$4:$G$8, 3, 0)*VLOOKUP($J242, Factor!$B$12:$G$13, 3, 0)*VLOOKUP($K242, Factor!$B$17:$G$18, 3, 0)*VLOOKUP($H242, Factor!$J$4:$O$7, 3, 0)*VLOOKUP($F242, Factor!$Q$4:$V$15, 3, 0)*IF(MOD($G242,10)=0, 10, MOD($G242, 10))*((INDEX(Factor!$X$4:$AC$13, _xlfn.XMATCH($G242, Factor!$X$4:$X$13, 1),3)*IF(MOD(G242, 10) = 0, 10, MOD(G242, 10)))+INDEX(Factor!$AE$4:$AJ$13, _xlfn.XMATCH(MonsterData!$G242, Factor!$AE$4:$AE$13, 1),3))</f>
        <v>591.36000000000024</v>
      </c>
      <c r="W242" s="17" cm="1">
        <f t="array" ref="W242">N242*VLOOKUP($I242, Factor!$B$4:$G$8, 4, 0)*VLOOKUP($J242, Factor!$B$12:$G$13, 4, 0)*VLOOKUP($K242, Factor!$B$17:$G$18, 4, 0)*VLOOKUP($H242, Factor!$J$4:$O$7, 4, 0)*VLOOKUP($F242, Factor!$Q$4:$V$15, 4, 0)*IF(MOD($G242,10)=0, 10, MOD($G242, 10))*((INDEX(Factor!$X$4:$AC$13, _xlfn.XMATCH($G242, Factor!$X$4:$X$13, 1),4)*IF(MOD(G242, 10) = 0, 10, MOD(G242, 10)))+INDEX(Factor!$AE$4:$AJ$13, _xlfn.XMATCH(MonsterData!$G242, Factor!$AE$4:$AE$13, 1),4))</f>
        <v>354.81600000000009</v>
      </c>
      <c r="X242" s="17" cm="1">
        <f t="array" ref="X242">O242*VLOOKUP($I242, Factor!$B$4:$G$8, 5, 0)*VLOOKUP($J242, Factor!$B$12:$G$13, 5, 0)*VLOOKUP($K242, Factor!$B$17:$G$18, 5, 0)*VLOOKUP($H242, Factor!$J$4:$O$7, 5, 0)*VLOOKUP($F242, Factor!$Q$4:$V$15, 5, 0)*IF(MOD($G242,10)=0, 10, MOD($G242, 10))*((INDEX(Factor!$X$4:$AC$13, _xlfn.XMATCH($G242, Factor!$X$4:$X$13, 1),5)*IF(MOD(G242, 10) = 0, 10, MOD(G242, 10)))+INDEX(Factor!$AE$4:$AJ$13, _xlfn.XMATCH(MonsterData!$G242, Factor!$AE$4:$AE$13, 1),5))</f>
        <v>98.560000000000016</v>
      </c>
      <c r="Y242" s="17" cm="1">
        <f t="array" ref="Y242">P242*VLOOKUP($I242, Factor!$B$4:$G$8, 6, 0)*VLOOKUP($J242, Factor!$B$12:$G$13, 6, 0)*VLOOKUP($K242, Factor!$B$17:$G$18, 6, 0)*VLOOKUP($H242, Factor!$J$4:$O$7, 2, 0)*VLOOKUP($F242, Factor!$Q$4:$V$15, 6, 0)*IF(MOD($G242,10)=0, 10, MOD($G242, 10))*((INDEX(Factor!$X$4:$AC$13, _xlfn.XMATCH($G242, Factor!$X$4:$X$13, 1),6)*IF(MOD(G242, 10) = 0, 10, MOD(G242, 10)))+INDEX(Factor!$AE$4:$AJ$13, _xlfn.XMATCH(MonsterData!$G242, Factor!$AE$4:$AE$13, 1),6))</f>
        <v>394.24000000000007</v>
      </c>
      <c r="Z242" s="17">
        <f>$Q242*VLOOKUP($J242, Factor!$B$12:$H$13, 7, 0)</f>
        <v>1</v>
      </c>
      <c r="AA242" s="17">
        <v>1</v>
      </c>
      <c r="AB242" s="17">
        <f t="shared" si="13"/>
        <v>0</v>
      </c>
      <c r="AC242" s="17" t="s">
        <v>139</v>
      </c>
      <c r="AD242" s="19" t="s">
        <v>142</v>
      </c>
    </row>
    <row r="243" spans="1:30" ht="15.75" customHeight="1">
      <c r="A243" s="13" t="str">
        <f>T243&amp;"_"&amp;F243&amp;VLOOKUP($C243, Factor!$AM$4:$AY$30, 7, 0)&amp;IF(COUNTIFS($C$4:C242, C243, $F$4:F242, F243)+1&gt;=100, COUNTIFS($C$4:C242, C243, $F$4:F242, F243)+1,IF(COUNTIFS($C$4:C242, C243, $F$4:F242, F243)+1&gt;=10, "0"&amp;COUNTIFS($C$4:C242, C243, $F$4:F242, F243)+1, "00"&amp;COUNTIFS($C$4:C242, C243, $F$4:F242, F243)+1))</f>
        <v>enpc_F04_A_Cocoon_003</v>
      </c>
      <c r="B243" s="13"/>
      <c r="C243" s="13" t="s">
        <v>270</v>
      </c>
      <c r="D243" s="21" t="str">
        <f t="shared" si="12"/>
        <v>코쿤</v>
      </c>
      <c r="E243" s="21" t="str">
        <f>VLOOKUP($C243, Factor!$AM$4:$AY$30, 8, 0)</f>
        <v>M</v>
      </c>
      <c r="F243" s="21" t="s">
        <v>112</v>
      </c>
      <c r="G243" s="22">
        <v>37</v>
      </c>
      <c r="H243" s="13" t="s">
        <v>55</v>
      </c>
      <c r="I243" s="21" t="str">
        <f>VLOOKUP($C243, Factor!$AM$4:$AY$30, 11, 0)</f>
        <v>A</v>
      </c>
      <c r="J243" s="21" t="str">
        <f>VLOOKUP($C243, Factor!$AM$4:$AY$30, 12, 0)</f>
        <v>ml</v>
      </c>
      <c r="K243" s="21" t="str">
        <f>VLOOKUP($C243, Factor!$AM$4:$AY$30, 13, 0)</f>
        <v>L</v>
      </c>
      <c r="L243" s="13">
        <v>1</v>
      </c>
      <c r="M243" s="13">
        <v>1</v>
      </c>
      <c r="N243" s="13">
        <v>1</v>
      </c>
      <c r="O243" s="13">
        <v>1</v>
      </c>
      <c r="P243" s="13">
        <v>1</v>
      </c>
      <c r="Q243" s="13">
        <v>1</v>
      </c>
      <c r="R243" s="21" t="str">
        <f>VLOOKUP($C243, Factor!$AM$4:$AY$30, 9, 0)</f>
        <v>Midium</v>
      </c>
      <c r="S243" s="13" t="s">
        <v>408</v>
      </c>
      <c r="T243" s="21" t="str">
        <f>VLOOKUP($C243, Factor!$AM$4:$AY$30, 10, 0)</f>
        <v>enpc</v>
      </c>
      <c r="U243" s="21" cm="1">
        <f t="array" ref="U243">L243*VLOOKUP($I243, Factor!$B$4:$G$8, 2, 0)*VLOOKUP($J243, Factor!$B$12:$G$13, 2, 0)*VLOOKUP($K243, Factor!$B$17:$G$18, 2, 0)*VLOOKUP($H243, Factor!$J$4:$O$7, 2, 0)*VLOOKUP($F243, Factor!$Q$4:$V$15, 2, 0)*IF(MOD($G243,10)=0, 10, MOD($G243, 10))*((INDEX(Factor!$X$4:$AC$13, _xlfn.XMATCH($G243, Factor!$X$4:$X$13, 1),2)*IF(MOD(G243, 10) = 0, 10, MOD(G243, 10)))+INDEX(Factor!$AE$4:$AJ$13, _xlfn.XMATCH(MonsterData!$G243, Factor!$AE$4:$AE$13, 1),2))</f>
        <v>14784.000000000002</v>
      </c>
      <c r="V243" s="21" cm="1">
        <f t="array" ref="V243">M243*VLOOKUP($I243, Factor!$B$4:$G$8, 3, 0)*VLOOKUP($J243, Factor!$B$12:$G$13, 3, 0)*VLOOKUP($K243, Factor!$B$17:$G$18, 3, 0)*VLOOKUP($H243, Factor!$J$4:$O$7, 3, 0)*VLOOKUP($F243, Factor!$Q$4:$V$15, 3, 0)*IF(MOD($G243,10)=0, 10, MOD($G243, 10))*((INDEX(Factor!$X$4:$AC$13, _xlfn.XMATCH($G243, Factor!$X$4:$X$13, 1),3)*IF(MOD(G243, 10) = 0, 10, MOD(G243, 10)))+INDEX(Factor!$AE$4:$AJ$13, _xlfn.XMATCH(MonsterData!$G243, Factor!$AE$4:$AE$13, 1),3))</f>
        <v>739.2</v>
      </c>
      <c r="W243" s="21" cm="1">
        <f t="array" ref="W243">N243*VLOOKUP($I243, Factor!$B$4:$G$8, 4, 0)*VLOOKUP($J243, Factor!$B$12:$G$13, 4, 0)*VLOOKUP($K243, Factor!$B$17:$G$18, 4, 0)*VLOOKUP($H243, Factor!$J$4:$O$7, 4, 0)*VLOOKUP($F243, Factor!$Q$4:$V$15, 4, 0)*IF(MOD($G243,10)=0, 10, MOD($G243, 10))*((INDEX(Factor!$X$4:$AC$13, _xlfn.XMATCH($G243, Factor!$X$4:$X$13, 1),4)*IF(MOD(G243, 10) = 0, 10, MOD(G243, 10)))+INDEX(Factor!$AE$4:$AJ$13, _xlfn.XMATCH(MonsterData!$G243, Factor!$AE$4:$AE$13, 1),4))</f>
        <v>443.52000000000004</v>
      </c>
      <c r="X243" s="21" cm="1">
        <f t="array" ref="X243">O243*VLOOKUP($I243, Factor!$B$4:$G$8, 5, 0)*VLOOKUP($J243, Factor!$B$12:$G$13, 5, 0)*VLOOKUP($K243, Factor!$B$17:$G$18, 5, 0)*VLOOKUP($H243, Factor!$J$4:$O$7, 5, 0)*VLOOKUP($F243, Factor!$Q$4:$V$15, 5, 0)*IF(MOD($G243,10)=0, 10, MOD($G243, 10))*((INDEX(Factor!$X$4:$AC$13, _xlfn.XMATCH($G243, Factor!$X$4:$X$13, 1),5)*IF(MOD(G243, 10) = 0, 10, MOD(G243, 10)))+INDEX(Factor!$AE$4:$AJ$13, _xlfn.XMATCH(MonsterData!$G243, Factor!$AE$4:$AE$13, 1),5))</f>
        <v>98.560000000000016</v>
      </c>
      <c r="Y243" s="21" cm="1">
        <f t="array" ref="Y243">P243*VLOOKUP($I243, Factor!$B$4:$G$8, 6, 0)*VLOOKUP($J243, Factor!$B$12:$G$13, 6, 0)*VLOOKUP($K243, Factor!$B$17:$G$18, 6, 0)*VLOOKUP($H243, Factor!$J$4:$O$7, 2, 0)*VLOOKUP($F243, Factor!$Q$4:$V$15, 6, 0)*IF(MOD($G243,10)=0, 10, MOD($G243, 10))*((INDEX(Factor!$X$4:$AC$13, _xlfn.XMATCH($G243, Factor!$X$4:$X$13, 1),6)*IF(MOD(G243, 10) = 0, 10, MOD(G243, 10)))+INDEX(Factor!$AE$4:$AJ$13, _xlfn.XMATCH(MonsterData!$G243, Factor!$AE$4:$AE$13, 1),6))</f>
        <v>492.80000000000007</v>
      </c>
      <c r="Z243" s="21">
        <f>$Q243*VLOOKUP($J243, Factor!$B$12:$H$13, 7, 0)</f>
        <v>1</v>
      </c>
      <c r="AA243" s="13">
        <v>1</v>
      </c>
      <c r="AB243" s="21">
        <f t="shared" si="13"/>
        <v>0</v>
      </c>
      <c r="AC243" s="13" t="s">
        <v>139</v>
      </c>
      <c r="AD243" s="15" t="s">
        <v>142</v>
      </c>
    </row>
    <row r="244" spans="1:30" ht="15.75" customHeight="1">
      <c r="A244" s="16" t="str">
        <f>T244&amp;"_"&amp;F244&amp;VLOOKUP($C244, Factor!$AM$4:$AY$30, 7, 0)&amp;IF(COUNTIFS($C$4:C243, C244, $F$4:F243, F244)+1&gt;=100, COUNTIFS($C$4:C243, C244, $F$4:F243, F244)+1,IF(COUNTIFS($C$4:C243, C244, $F$4:F243, F244)+1&gt;=10, "0"&amp;COUNTIFS($C$4:C243, C244, $F$4:F243, F244)+1, "00"&amp;COUNTIFS($C$4:C243, C244, $F$4:F243, F244)+1))</f>
        <v>enpc_F04_A_Antlion_003</v>
      </c>
      <c r="B244" s="16"/>
      <c r="C244" s="16" t="s">
        <v>38</v>
      </c>
      <c r="D244" s="17" t="str">
        <f t="shared" si="12"/>
        <v>앤틸리온</v>
      </c>
      <c r="E244" s="17" t="str">
        <f>VLOOKUP($C244, Factor!$AM$4:$AY$30, 8, 0)</f>
        <v>M</v>
      </c>
      <c r="F244" s="17" t="s">
        <v>112</v>
      </c>
      <c r="G244" s="20">
        <v>37</v>
      </c>
      <c r="H244" s="16" t="s">
        <v>55</v>
      </c>
      <c r="I244" s="17" t="str">
        <f>VLOOKUP($C244, Factor!$AM$4:$AY$30, 11, 0)</f>
        <v>A</v>
      </c>
      <c r="J244" s="17" t="str">
        <f>VLOOKUP($C244, Factor!$AM$4:$AY$30, 12, 0)</f>
        <v>ra</v>
      </c>
      <c r="K244" s="17" t="str">
        <f>VLOOKUP($C244, Factor!$AM$4:$AY$30, 13, 0)</f>
        <v>L</v>
      </c>
      <c r="L244" s="17">
        <v>1</v>
      </c>
      <c r="M244" s="17">
        <v>1</v>
      </c>
      <c r="N244" s="17">
        <v>1</v>
      </c>
      <c r="O244" s="17">
        <v>1</v>
      </c>
      <c r="P244" s="17">
        <v>1</v>
      </c>
      <c r="Q244" s="17">
        <v>1</v>
      </c>
      <c r="R244" s="17" t="str">
        <f>VLOOKUP($C244, Factor!$AM$4:$AY$30, 9, 0)</f>
        <v>Midium</v>
      </c>
      <c r="S244" s="17" t="s">
        <v>397</v>
      </c>
      <c r="T244" s="17" t="str">
        <f>VLOOKUP($C244, Factor!$AM$4:$AY$30, 10, 0)</f>
        <v>enpc</v>
      </c>
      <c r="U244" s="17" cm="1">
        <f t="array" ref="U244">L244*VLOOKUP($I244, Factor!$B$4:$G$8, 2, 0)*VLOOKUP($J244, Factor!$B$12:$G$13, 2, 0)*VLOOKUP($K244, Factor!$B$17:$G$18, 2, 0)*VLOOKUP($H244, Factor!$J$4:$O$7, 2, 0)*VLOOKUP($F244, Factor!$Q$4:$V$15, 2, 0)*IF(MOD($G244,10)=0, 10, MOD($G244, 10))*((INDEX(Factor!$X$4:$AC$13, _xlfn.XMATCH($G244, Factor!$X$4:$X$13, 1),2)*IF(MOD(G244, 10) = 0, 10, MOD(G244, 10)))+INDEX(Factor!$AE$4:$AJ$13, _xlfn.XMATCH(MonsterData!$G244, Factor!$AE$4:$AE$13, 1),2))</f>
        <v>11827.2</v>
      </c>
      <c r="V244" s="17" cm="1">
        <f t="array" ref="V244">M244*VLOOKUP($I244, Factor!$B$4:$G$8, 3, 0)*VLOOKUP($J244, Factor!$B$12:$G$13, 3, 0)*VLOOKUP($K244, Factor!$B$17:$G$18, 3, 0)*VLOOKUP($H244, Factor!$J$4:$O$7, 3, 0)*VLOOKUP($F244, Factor!$Q$4:$V$15, 3, 0)*IF(MOD($G244,10)=0, 10, MOD($G244, 10))*((INDEX(Factor!$X$4:$AC$13, _xlfn.XMATCH($G244, Factor!$X$4:$X$13, 1),3)*IF(MOD(G244, 10) = 0, 10, MOD(G244, 10)))+INDEX(Factor!$AE$4:$AJ$13, _xlfn.XMATCH(MonsterData!$G244, Factor!$AE$4:$AE$13, 1),3))</f>
        <v>591.36000000000024</v>
      </c>
      <c r="W244" s="17" cm="1">
        <f t="array" ref="W244">N244*VLOOKUP($I244, Factor!$B$4:$G$8, 4, 0)*VLOOKUP($J244, Factor!$B$12:$G$13, 4, 0)*VLOOKUP($K244, Factor!$B$17:$G$18, 4, 0)*VLOOKUP($H244, Factor!$J$4:$O$7, 4, 0)*VLOOKUP($F244, Factor!$Q$4:$V$15, 4, 0)*IF(MOD($G244,10)=0, 10, MOD($G244, 10))*((INDEX(Factor!$X$4:$AC$13, _xlfn.XMATCH($G244, Factor!$X$4:$X$13, 1),4)*IF(MOD(G244, 10) = 0, 10, MOD(G244, 10)))+INDEX(Factor!$AE$4:$AJ$13, _xlfn.XMATCH(MonsterData!$G244, Factor!$AE$4:$AE$13, 1),4))</f>
        <v>532.22399999999993</v>
      </c>
      <c r="X244" s="17" cm="1">
        <f t="array" ref="X244">O244*VLOOKUP($I244, Factor!$B$4:$G$8, 5, 0)*VLOOKUP($J244, Factor!$B$12:$G$13, 5, 0)*VLOOKUP($K244, Factor!$B$17:$G$18, 5, 0)*VLOOKUP($H244, Factor!$J$4:$O$7, 5, 0)*VLOOKUP($F244, Factor!$Q$4:$V$15, 5, 0)*IF(MOD($G244,10)=0, 10, MOD($G244, 10))*((INDEX(Factor!$X$4:$AC$13, _xlfn.XMATCH($G244, Factor!$X$4:$X$13, 1),5)*IF(MOD(G244, 10) = 0, 10, MOD(G244, 10)))+INDEX(Factor!$AE$4:$AJ$13, _xlfn.XMATCH(MonsterData!$G244, Factor!$AE$4:$AE$13, 1),5))</f>
        <v>147.84000000000006</v>
      </c>
      <c r="Y244" s="17" cm="1">
        <f t="array" ref="Y244">P244*VLOOKUP($I244, Factor!$B$4:$G$8, 6, 0)*VLOOKUP($J244, Factor!$B$12:$G$13, 6, 0)*VLOOKUP($K244, Factor!$B$17:$G$18, 6, 0)*VLOOKUP($H244, Factor!$J$4:$O$7, 2, 0)*VLOOKUP($F244, Factor!$Q$4:$V$15, 6, 0)*IF(MOD($G244,10)=0, 10, MOD($G244, 10))*((INDEX(Factor!$X$4:$AC$13, _xlfn.XMATCH($G244, Factor!$X$4:$X$13, 1),6)*IF(MOD(G244, 10) = 0, 10, MOD(G244, 10)))+INDEX(Factor!$AE$4:$AJ$13, _xlfn.XMATCH(MonsterData!$G244, Factor!$AE$4:$AE$13, 1),6))</f>
        <v>492.80000000000007</v>
      </c>
      <c r="Z244" s="17">
        <f>$Q244*VLOOKUP($J244, Factor!$B$12:$H$13, 7, 0)</f>
        <v>4</v>
      </c>
      <c r="AA244" s="17">
        <v>1</v>
      </c>
      <c r="AB244" s="17">
        <f t="shared" si="13"/>
        <v>4</v>
      </c>
      <c r="AC244" s="17" t="s">
        <v>139</v>
      </c>
      <c r="AD244" s="19" t="s">
        <v>142</v>
      </c>
    </row>
    <row r="245" spans="1:30" ht="15.75" customHeight="1">
      <c r="A245" s="13" t="str">
        <f>T245&amp;"_"&amp;F245&amp;VLOOKUP($C245, Factor!$AM$4:$AY$30, 7, 0)&amp;IF(COUNTIFS($C$4:C244, C245, $F$4:F244, F245)+1&gt;=100, COUNTIFS($C$4:C244, C245, $F$4:F244, F245)+1,IF(COUNTIFS($C$4:C244, C245, $F$4:F244, F245)+1&gt;=10, "0"&amp;COUNTIFS($C$4:C244, C245, $F$4:F244, F245)+1, "00"&amp;COUNTIFS($C$4:C244, C245, $F$4:F244, F245)+1))</f>
        <v>enpc_F04_A_Nymphe_003</v>
      </c>
      <c r="B245" s="13"/>
      <c r="C245" s="13" t="s">
        <v>39</v>
      </c>
      <c r="D245" s="21" t="str">
        <f t="shared" si="12"/>
        <v>님프</v>
      </c>
      <c r="E245" s="21" t="str">
        <f>VLOOKUP($C245, Factor!$AM$4:$AY$30, 8, 0)</f>
        <v>S</v>
      </c>
      <c r="F245" s="21" t="s">
        <v>112</v>
      </c>
      <c r="G245" s="22">
        <v>37</v>
      </c>
      <c r="H245" s="13" t="s">
        <v>55</v>
      </c>
      <c r="I245" s="21" t="str">
        <f>VLOOKUP($C245, Factor!$AM$4:$AY$30, 11, 0)</f>
        <v>A</v>
      </c>
      <c r="J245" s="21" t="str">
        <f>VLOOKUP($C245, Factor!$AM$4:$AY$30, 12, 0)</f>
        <v>ml</v>
      </c>
      <c r="K245" s="21" t="str">
        <f>VLOOKUP($C245, Factor!$AM$4:$AY$30, 13, 0)</f>
        <v>F</v>
      </c>
      <c r="L245" s="13">
        <v>1</v>
      </c>
      <c r="M245" s="13">
        <v>1</v>
      </c>
      <c r="N245" s="13">
        <v>1</v>
      </c>
      <c r="O245" s="13">
        <v>1</v>
      </c>
      <c r="P245" s="13">
        <v>1</v>
      </c>
      <c r="Q245" s="13">
        <v>1</v>
      </c>
      <c r="R245" s="21" t="str">
        <f>VLOOKUP($C245, Factor!$AM$4:$AY$30, 9, 0)</f>
        <v>Small</v>
      </c>
      <c r="S245" s="13" t="s">
        <v>409</v>
      </c>
      <c r="T245" s="21" t="str">
        <f>VLOOKUP($C245, Factor!$AM$4:$AY$30, 10, 0)</f>
        <v>enpc</v>
      </c>
      <c r="U245" s="21" cm="1">
        <f t="array" ref="U245">L245*VLOOKUP($I245, Factor!$B$4:$G$8, 2, 0)*VLOOKUP($J245, Factor!$B$12:$G$13, 2, 0)*VLOOKUP($K245, Factor!$B$17:$G$18, 2, 0)*VLOOKUP($H245, Factor!$J$4:$O$7, 2, 0)*VLOOKUP($F245, Factor!$Q$4:$V$15, 2, 0)*IF(MOD($G245,10)=0, 10, MOD($G245, 10))*((INDEX(Factor!$X$4:$AC$13, _xlfn.XMATCH($G245, Factor!$X$4:$X$13, 1),2)*IF(MOD(G245, 10) = 0, 10, MOD(G245, 10)))+INDEX(Factor!$AE$4:$AJ$13, _xlfn.XMATCH(MonsterData!$G245, Factor!$AE$4:$AE$13, 1),2))</f>
        <v>9856</v>
      </c>
      <c r="V245" s="21" cm="1">
        <f t="array" ref="V245">M245*VLOOKUP($I245, Factor!$B$4:$G$8, 3, 0)*VLOOKUP($J245, Factor!$B$12:$G$13, 3, 0)*VLOOKUP($K245, Factor!$B$17:$G$18, 3, 0)*VLOOKUP($H245, Factor!$J$4:$O$7, 3, 0)*VLOOKUP($F245, Factor!$Q$4:$V$15, 3, 0)*IF(MOD($G245,10)=0, 10, MOD($G245, 10))*((INDEX(Factor!$X$4:$AC$13, _xlfn.XMATCH($G245, Factor!$X$4:$X$13, 1),3)*IF(MOD(G245, 10) = 0, 10, MOD(G245, 10)))+INDEX(Factor!$AE$4:$AJ$13, _xlfn.XMATCH(MonsterData!$G245, Factor!$AE$4:$AE$13, 1),3))</f>
        <v>492.80000000000007</v>
      </c>
      <c r="W245" s="21" cm="1">
        <f t="array" ref="W245">N245*VLOOKUP($I245, Factor!$B$4:$G$8, 4, 0)*VLOOKUP($J245, Factor!$B$12:$G$13, 4, 0)*VLOOKUP($K245, Factor!$B$17:$G$18, 4, 0)*VLOOKUP($H245, Factor!$J$4:$O$7, 4, 0)*VLOOKUP($F245, Factor!$Q$4:$V$15, 4, 0)*IF(MOD($G245,10)=0, 10, MOD($G245, 10))*((INDEX(Factor!$X$4:$AC$13, _xlfn.XMATCH($G245, Factor!$X$4:$X$13, 1),4)*IF(MOD(G245, 10) = 0, 10, MOD(G245, 10)))+INDEX(Factor!$AE$4:$AJ$13, _xlfn.XMATCH(MonsterData!$G245, Factor!$AE$4:$AE$13, 1),4))</f>
        <v>295.68000000000012</v>
      </c>
      <c r="X245" s="21" cm="1">
        <f t="array" ref="X245">O245*VLOOKUP($I245, Factor!$B$4:$G$8, 5, 0)*VLOOKUP($J245, Factor!$B$12:$G$13, 5, 0)*VLOOKUP($K245, Factor!$B$17:$G$18, 5, 0)*VLOOKUP($H245, Factor!$J$4:$O$7, 5, 0)*VLOOKUP($F245, Factor!$Q$4:$V$15, 5, 0)*IF(MOD($G245,10)=0, 10, MOD($G245, 10))*((INDEX(Factor!$X$4:$AC$13, _xlfn.XMATCH($G245, Factor!$X$4:$X$13, 1),5)*IF(MOD(G245, 10) = 0, 10, MOD(G245, 10)))+INDEX(Factor!$AE$4:$AJ$13, _xlfn.XMATCH(MonsterData!$G245, Factor!$AE$4:$AE$13, 1),5))</f>
        <v>98.560000000000016</v>
      </c>
      <c r="Y245" s="21" cm="1">
        <f t="array" ref="Y245">P245*VLOOKUP($I245, Factor!$B$4:$G$8, 6, 0)*VLOOKUP($J245, Factor!$B$12:$G$13, 6, 0)*VLOOKUP($K245, Factor!$B$17:$G$18, 6, 0)*VLOOKUP($H245, Factor!$J$4:$O$7, 2, 0)*VLOOKUP($F245, Factor!$Q$4:$V$15, 6, 0)*IF(MOD($G245,10)=0, 10, MOD($G245, 10))*((INDEX(Factor!$X$4:$AC$13, _xlfn.XMATCH($G245, Factor!$X$4:$X$13, 1),6)*IF(MOD(G245, 10) = 0, 10, MOD(G245, 10)))+INDEX(Factor!$AE$4:$AJ$13, _xlfn.XMATCH(MonsterData!$G245, Factor!$AE$4:$AE$13, 1),6))</f>
        <v>1478.4</v>
      </c>
      <c r="Z245" s="21">
        <f>$Q245*VLOOKUP($J245, Factor!$B$12:$H$13, 7, 0)</f>
        <v>1</v>
      </c>
      <c r="AA245" s="13">
        <v>1</v>
      </c>
      <c r="AB245" s="21">
        <f t="shared" si="13"/>
        <v>0</v>
      </c>
      <c r="AC245" s="13" t="s">
        <v>139</v>
      </c>
      <c r="AD245" s="15" t="s">
        <v>142</v>
      </c>
    </row>
    <row r="246" spans="1:30" ht="15.75" customHeight="1">
      <c r="A246" s="16" t="str">
        <f>T246&amp;"_"&amp;F246&amp;VLOOKUP($C246, Factor!$AM$4:$AY$30, 7, 0)&amp;IF(COUNTIFS($C$4:C245, C246, $F$4:F245, F246)+1&gt;=100, COUNTIFS($C$4:C245, C246, $F$4:F245, F246)+1,IF(COUNTIFS($C$4:C245, C246, $F$4:F245, F246)+1&gt;=10, "0"&amp;COUNTIFS($C$4:C245, C246, $F$4:F245, F246)+1, "00"&amp;COUNTIFS($C$4:C245, C246, $F$4:F245, F246)+1))</f>
        <v>enpc_F04_B_Golem_003</v>
      </c>
      <c r="B246" s="16"/>
      <c r="C246" s="16" t="s">
        <v>40</v>
      </c>
      <c r="D246" s="17" t="str">
        <f t="shared" si="12"/>
        <v>골렘</v>
      </c>
      <c r="E246" s="17" t="str">
        <f>VLOOKUP($C246, Factor!$AM$4:$AY$30, 8, 0)</f>
        <v>B</v>
      </c>
      <c r="F246" s="17" t="s">
        <v>112</v>
      </c>
      <c r="G246" s="20">
        <v>59</v>
      </c>
      <c r="H246" s="16" t="s">
        <v>57</v>
      </c>
      <c r="I246" s="17" t="str">
        <f>VLOOKUP($C246, Factor!$AM$4:$AY$30, 11, 0)</f>
        <v>B</v>
      </c>
      <c r="J246" s="17" t="str">
        <f>VLOOKUP($C246, Factor!$AM$4:$AY$30, 12, 0)</f>
        <v>ml</v>
      </c>
      <c r="K246" s="17" t="str">
        <f>VLOOKUP($C246, Factor!$AM$4:$AY$30, 13, 0)</f>
        <v>L</v>
      </c>
      <c r="L246" s="17">
        <v>1</v>
      </c>
      <c r="M246" s="17">
        <v>1</v>
      </c>
      <c r="N246" s="17">
        <v>1</v>
      </c>
      <c r="O246" s="17">
        <v>1</v>
      </c>
      <c r="P246" s="17">
        <v>1</v>
      </c>
      <c r="Q246" s="17">
        <v>1</v>
      </c>
      <c r="R246" s="17" t="str">
        <f>VLOOKUP($C246, Factor!$AM$4:$AY$30, 9, 0)</f>
        <v>Big</v>
      </c>
      <c r="S246" s="17" t="s">
        <v>398</v>
      </c>
      <c r="T246" s="17" t="str">
        <f>VLOOKUP($C246, Factor!$AM$4:$AY$30, 10, 0)</f>
        <v>enpc</v>
      </c>
      <c r="U246" s="17" cm="1">
        <f t="array" ref="U246">L246*VLOOKUP($I246, Factor!$B$4:$G$8, 2, 0)*VLOOKUP($J246, Factor!$B$12:$G$13, 2, 0)*VLOOKUP($K246, Factor!$B$17:$G$18, 2, 0)*VLOOKUP($H246, Factor!$J$4:$O$7, 2, 0)*VLOOKUP($F246, Factor!$Q$4:$V$15, 2, 0)*IF(MOD($G246,10)=0, 10, MOD($G246, 10))*((INDEX(Factor!$X$4:$AC$13, _xlfn.XMATCH($G246, Factor!$X$4:$X$13, 1),2)*IF(MOD(G246, 10) = 0, 10, MOD(G246, 10)))+INDEX(Factor!$AE$4:$AJ$13, _xlfn.XMATCH(MonsterData!$G246, Factor!$AE$4:$AE$13, 1),2))</f>
        <v>440639.99999999994</v>
      </c>
      <c r="V246" s="17" cm="1">
        <f t="array" ref="V246">M246*VLOOKUP($I246, Factor!$B$4:$G$8, 3, 0)*VLOOKUP($J246, Factor!$B$12:$G$13, 3, 0)*VLOOKUP($K246, Factor!$B$17:$G$18, 3, 0)*VLOOKUP($H246, Factor!$J$4:$O$7, 3, 0)*VLOOKUP($F246, Factor!$Q$4:$V$15, 3, 0)*IF(MOD($G246,10)=0, 10, MOD($G246, 10))*((INDEX(Factor!$X$4:$AC$13, _xlfn.XMATCH($G246, Factor!$X$4:$X$13, 1),3)*IF(MOD(G246, 10) = 0, 10, MOD(G246, 10)))+INDEX(Factor!$AE$4:$AJ$13, _xlfn.XMATCH(MonsterData!$G246, Factor!$AE$4:$AE$13, 1),3))</f>
        <v>22032</v>
      </c>
      <c r="W246" s="17" cm="1">
        <f t="array" ref="W246">N246*VLOOKUP($I246, Factor!$B$4:$G$8, 4, 0)*VLOOKUP($J246, Factor!$B$12:$G$13, 4, 0)*VLOOKUP($K246, Factor!$B$17:$G$18, 4, 0)*VLOOKUP($H246, Factor!$J$4:$O$7, 4, 0)*VLOOKUP($F246, Factor!$Q$4:$V$15, 4, 0)*IF(MOD($G246,10)=0, 10, MOD($G246, 10))*((INDEX(Factor!$X$4:$AC$13, _xlfn.XMATCH($G246, Factor!$X$4:$X$13, 1),4)*IF(MOD(G246, 10) = 0, 10, MOD(G246, 10)))+INDEX(Factor!$AE$4:$AJ$13, _xlfn.XMATCH(MonsterData!$G246, Factor!$AE$4:$AE$13, 1),4))</f>
        <v>1101.5999999999999</v>
      </c>
      <c r="X246" s="17" cm="1">
        <f t="array" ref="X246">O246*VLOOKUP($I246, Factor!$B$4:$G$8, 5, 0)*VLOOKUP($J246, Factor!$B$12:$G$13, 5, 0)*VLOOKUP($K246, Factor!$B$17:$G$18, 5, 0)*VLOOKUP($H246, Factor!$J$4:$O$7, 5, 0)*VLOOKUP($F246, Factor!$Q$4:$V$15, 5, 0)*IF(MOD($G246,10)=0, 10, MOD($G246, 10))*((INDEX(Factor!$X$4:$AC$13, _xlfn.XMATCH($G246, Factor!$X$4:$X$13, 1),5)*IF(MOD(G246, 10) = 0, 10, MOD(G246, 10)))+INDEX(Factor!$AE$4:$AJ$13, _xlfn.XMATCH(MonsterData!$G246, Factor!$AE$4:$AE$13, 1),5))</f>
        <v>1175.04</v>
      </c>
      <c r="Y246" s="17" cm="1">
        <f t="array" ref="Y246">P246*VLOOKUP($I246, Factor!$B$4:$G$8, 6, 0)*VLOOKUP($J246, Factor!$B$12:$G$13, 6, 0)*VLOOKUP($K246, Factor!$B$17:$G$18, 6, 0)*VLOOKUP($H246, Factor!$J$4:$O$7, 2, 0)*VLOOKUP($F246, Factor!$Q$4:$V$15, 6, 0)*IF(MOD($G246,10)=0, 10, MOD($G246, 10))*((INDEX(Factor!$X$4:$AC$13, _xlfn.XMATCH($G246, Factor!$X$4:$X$13, 1),6)*IF(MOD(G246, 10) = 0, 10, MOD(G246, 10)))+INDEX(Factor!$AE$4:$AJ$13, _xlfn.XMATCH(MonsterData!$G246, Factor!$AE$4:$AE$13, 1),6))</f>
        <v>2350.08</v>
      </c>
      <c r="Z246" s="17">
        <f>$Q246*VLOOKUP($J246, Factor!$B$12:$H$13, 7, 0)</f>
        <v>1</v>
      </c>
      <c r="AA246" s="17">
        <v>1</v>
      </c>
      <c r="AB246" s="17">
        <f t="shared" si="13"/>
        <v>0</v>
      </c>
      <c r="AC246" s="17" t="s">
        <v>140</v>
      </c>
      <c r="AD246" s="19" t="s">
        <v>143</v>
      </c>
    </row>
    <row r="247" spans="1:30" ht="15.75" customHeight="1">
      <c r="A247" s="13" t="str">
        <f>T247&amp;"_"&amp;F247&amp;VLOOKUP($C247, Factor!$AM$4:$AY$30, 7, 0)&amp;IF(COUNTIFS($C$4:C246, C247, $F$4:F246, F247)+1&gt;=100, COUNTIFS($C$4:C246, C247, $F$4:F246, F247)+1,IF(COUNTIFS($C$4:C246, C247, $F$4:F246, F247)+1&gt;=10, "0"&amp;COUNTIFS($C$4:C246, C247, $F$4:F246, F247)+1, "00"&amp;COUNTIFS($C$4:C246, C247, $F$4:F246, F247)+1))</f>
        <v>enpc_F04_B_Banshee_003</v>
      </c>
      <c r="B247" s="13"/>
      <c r="C247" s="13" t="s">
        <v>42</v>
      </c>
      <c r="D247" s="21" t="str">
        <f t="shared" si="12"/>
        <v>밴시</v>
      </c>
      <c r="E247" s="21" t="str">
        <f>VLOOKUP($C247, Factor!$AM$4:$AY$30, 8, 0)</f>
        <v>S</v>
      </c>
      <c r="F247" s="21" t="s">
        <v>112</v>
      </c>
      <c r="G247" s="22">
        <v>59</v>
      </c>
      <c r="H247" s="13" t="s">
        <v>56</v>
      </c>
      <c r="I247" s="21" t="str">
        <f>VLOOKUP($C247, Factor!$AM$4:$AY$30, 11, 0)</f>
        <v>B</v>
      </c>
      <c r="J247" s="21" t="str">
        <f>VLOOKUP($C247, Factor!$AM$4:$AY$30, 12, 0)</f>
        <v>ra</v>
      </c>
      <c r="K247" s="21" t="str">
        <f>VLOOKUP($C247, Factor!$AM$4:$AY$30, 13, 0)</f>
        <v>L</v>
      </c>
      <c r="L247" s="13">
        <v>1</v>
      </c>
      <c r="M247" s="13">
        <v>1</v>
      </c>
      <c r="N247" s="13">
        <v>1</v>
      </c>
      <c r="O247" s="13">
        <v>1</v>
      </c>
      <c r="P247" s="13">
        <v>1</v>
      </c>
      <c r="Q247" s="13">
        <v>1</v>
      </c>
      <c r="R247" s="21" t="str">
        <f>VLOOKUP($C247, Factor!$AM$4:$AY$30, 9, 0)</f>
        <v>Midium</v>
      </c>
      <c r="S247" s="13" t="s">
        <v>410</v>
      </c>
      <c r="T247" s="21" t="str">
        <f>VLOOKUP($C247, Factor!$AM$4:$AY$30, 10, 0)</f>
        <v>enpc</v>
      </c>
      <c r="U247" s="21" cm="1">
        <f t="array" ref="U247">L247*VLOOKUP($I247, Factor!$B$4:$G$8, 2, 0)*VLOOKUP($J247, Factor!$B$12:$G$13, 2, 0)*VLOOKUP($K247, Factor!$B$17:$G$18, 2, 0)*VLOOKUP($H247, Factor!$J$4:$O$7, 2, 0)*VLOOKUP($F247, Factor!$Q$4:$V$15, 2, 0)*IF(MOD($G247,10)=0, 10, MOD($G247, 10))*((INDEX(Factor!$X$4:$AC$13, _xlfn.XMATCH($G247, Factor!$X$4:$X$13, 1),2)*IF(MOD(G247, 10) = 0, 10, MOD(G247, 10)))+INDEX(Factor!$AE$4:$AJ$13, _xlfn.XMATCH(MonsterData!$G247, Factor!$AE$4:$AE$13, 1),2))</f>
        <v>176256</v>
      </c>
      <c r="V247" s="21" cm="1">
        <f t="array" ref="V247">M247*VLOOKUP($I247, Factor!$B$4:$G$8, 3, 0)*VLOOKUP($J247, Factor!$B$12:$G$13, 3, 0)*VLOOKUP($K247, Factor!$B$17:$G$18, 3, 0)*VLOOKUP($H247, Factor!$J$4:$O$7, 3, 0)*VLOOKUP($F247, Factor!$Q$4:$V$15, 3, 0)*IF(MOD($G247,10)=0, 10, MOD($G247, 10))*((INDEX(Factor!$X$4:$AC$13, _xlfn.XMATCH($G247, Factor!$X$4:$X$13, 1),3)*IF(MOD(G247, 10) = 0, 10, MOD(G247, 10)))+INDEX(Factor!$AE$4:$AJ$13, _xlfn.XMATCH(MonsterData!$G247, Factor!$AE$4:$AE$13, 1),3))</f>
        <v>8812.7999999999993</v>
      </c>
      <c r="W247" s="21" cm="1">
        <f t="array" ref="W247">N247*VLOOKUP($I247, Factor!$B$4:$G$8, 4, 0)*VLOOKUP($J247, Factor!$B$12:$G$13, 4, 0)*VLOOKUP($K247, Factor!$B$17:$G$18, 4, 0)*VLOOKUP($H247, Factor!$J$4:$O$7, 4, 0)*VLOOKUP($F247, Factor!$Q$4:$V$15, 4, 0)*IF(MOD($G247,10)=0, 10, MOD($G247, 10))*((INDEX(Factor!$X$4:$AC$13, _xlfn.XMATCH($G247, Factor!$X$4:$X$13, 1),4)*IF(MOD(G247, 10) = 0, 10, MOD(G247, 10)))+INDEX(Factor!$AE$4:$AJ$13, _xlfn.XMATCH(MonsterData!$G247, Factor!$AE$4:$AE$13, 1),4))</f>
        <v>26438.399999999998</v>
      </c>
      <c r="X247" s="21" cm="1">
        <f t="array" ref="X247">O247*VLOOKUP($I247, Factor!$B$4:$G$8, 5, 0)*VLOOKUP($J247, Factor!$B$12:$G$13, 5, 0)*VLOOKUP($K247, Factor!$B$17:$G$18, 5, 0)*VLOOKUP($H247, Factor!$J$4:$O$7, 5, 0)*VLOOKUP($F247, Factor!$Q$4:$V$15, 5, 0)*IF(MOD($G247,10)=0, 10, MOD($G247, 10))*((INDEX(Factor!$X$4:$AC$13, _xlfn.XMATCH($G247, Factor!$X$4:$X$13, 1),5)*IF(MOD(G247, 10) = 0, 10, MOD(G247, 10)))+INDEX(Factor!$AE$4:$AJ$13, _xlfn.XMATCH(MonsterData!$G247, Factor!$AE$4:$AE$13, 1),5))</f>
        <v>793.15200000000004</v>
      </c>
      <c r="Y247" s="21" cm="1">
        <f t="array" ref="Y247">P247*VLOOKUP($I247, Factor!$B$4:$G$8, 6, 0)*VLOOKUP($J247, Factor!$B$12:$G$13, 6, 0)*VLOOKUP($K247, Factor!$B$17:$G$18, 6, 0)*VLOOKUP($H247, Factor!$J$4:$O$7, 2, 0)*VLOOKUP($F247, Factor!$Q$4:$V$15, 6, 0)*IF(MOD($G247,10)=0, 10, MOD($G247, 10))*((INDEX(Factor!$X$4:$AC$13, _xlfn.XMATCH($G247, Factor!$X$4:$X$13, 1),6)*IF(MOD(G247, 10) = 0, 10, MOD(G247, 10)))+INDEX(Factor!$AE$4:$AJ$13, _xlfn.XMATCH(MonsterData!$G247, Factor!$AE$4:$AE$13, 1),6))</f>
        <v>1175.04</v>
      </c>
      <c r="Z247" s="21">
        <f>$Q247*VLOOKUP($J247, Factor!$B$12:$H$13, 7, 0)</f>
        <v>4</v>
      </c>
      <c r="AA247" s="13">
        <v>1</v>
      </c>
      <c r="AB247" s="21">
        <f t="shared" si="13"/>
        <v>4</v>
      </c>
      <c r="AC247" s="13" t="s">
        <v>141</v>
      </c>
      <c r="AD247" s="15" t="s">
        <v>144</v>
      </c>
    </row>
    <row r="248" spans="1:30" ht="15.75" customHeight="1">
      <c r="A248" s="16" t="str">
        <f>T248&amp;"_"&amp;F248&amp;VLOOKUP($C248, Factor!$AM$4:$AY$30, 7, 0)&amp;IF(COUNTIFS($C$4:C247, C248, $F$4:F247, F248)+1&gt;=100, COUNTIFS($C$4:C247, C248, $F$4:F247, F248)+1,IF(COUNTIFS($C$4:C247, C248, $F$4:F247, F248)+1&gt;=10, "0"&amp;COUNTIFS($C$4:C247, C248, $F$4:F247, F248)+1, "00"&amp;COUNTIFS($C$4:C247, C248, $F$4:F247, F248)+1))</f>
        <v>enpc_F04_A_Scarab_003</v>
      </c>
      <c r="B248" s="16"/>
      <c r="C248" s="16" t="s">
        <v>353</v>
      </c>
      <c r="D248" s="17" t="str">
        <f t="shared" si="12"/>
        <v>스캐럽</v>
      </c>
      <c r="E248" s="17" t="str">
        <f>VLOOKUP($C248, Factor!$AM$4:$AY$30, 8, 0)</f>
        <v>S</v>
      </c>
      <c r="F248" s="17" t="s">
        <v>112</v>
      </c>
      <c r="G248" s="20">
        <v>37</v>
      </c>
      <c r="H248" s="16" t="s">
        <v>55</v>
      </c>
      <c r="I248" s="17" t="str">
        <f>VLOOKUP($C248, Factor!$AM$4:$AY$30, 11, 0)</f>
        <v>A</v>
      </c>
      <c r="J248" s="17" t="str">
        <f>VLOOKUP($C248, Factor!$AM$4:$AY$30, 12, 0)</f>
        <v>ml</v>
      </c>
      <c r="K248" s="17" t="str">
        <f>VLOOKUP($C248, Factor!$AM$4:$AY$30, 13, 0)</f>
        <v>L</v>
      </c>
      <c r="L248" s="17">
        <v>1</v>
      </c>
      <c r="M248" s="17">
        <v>1</v>
      </c>
      <c r="N248" s="17">
        <v>1</v>
      </c>
      <c r="O248" s="17">
        <v>1</v>
      </c>
      <c r="P248" s="17">
        <v>1</v>
      </c>
      <c r="Q248" s="17">
        <v>1</v>
      </c>
      <c r="R248" s="17" t="str">
        <f>VLOOKUP($C248, Factor!$AM$4:$AY$30, 9, 0)</f>
        <v>Midium</v>
      </c>
      <c r="S248" s="17" t="s">
        <v>399</v>
      </c>
      <c r="T248" s="17" t="str">
        <f>VLOOKUP($C248, Factor!$AM$4:$AY$30, 10, 0)</f>
        <v>enpc</v>
      </c>
      <c r="U248" s="17" cm="1">
        <f t="array" ref="U248">L248*VLOOKUP($I248, Factor!$B$4:$G$8, 2, 0)*VLOOKUP($J248, Factor!$B$12:$G$13, 2, 0)*VLOOKUP($K248, Factor!$B$17:$G$18, 2, 0)*VLOOKUP($H248, Factor!$J$4:$O$7, 2, 0)*VLOOKUP($F248, Factor!$Q$4:$V$15, 2, 0)*IF(MOD($G248,10)=0, 10, MOD($G248, 10))*((INDEX(Factor!$X$4:$AC$13, _xlfn.XMATCH($G248, Factor!$X$4:$X$13, 1),2)*IF(MOD(G248, 10) = 0, 10, MOD(G248, 10)))+INDEX(Factor!$AE$4:$AJ$13, _xlfn.XMATCH(MonsterData!$G248, Factor!$AE$4:$AE$13, 1),2))</f>
        <v>14784.000000000002</v>
      </c>
      <c r="V248" s="17" cm="1">
        <f t="array" ref="V248">M248*VLOOKUP($I248, Factor!$B$4:$G$8, 3, 0)*VLOOKUP($J248, Factor!$B$12:$G$13, 3, 0)*VLOOKUP($K248, Factor!$B$17:$G$18, 3, 0)*VLOOKUP($H248, Factor!$J$4:$O$7, 3, 0)*VLOOKUP($F248, Factor!$Q$4:$V$15, 3, 0)*IF(MOD($G248,10)=0, 10, MOD($G248, 10))*((INDEX(Factor!$X$4:$AC$13, _xlfn.XMATCH($G248, Factor!$X$4:$X$13, 1),3)*IF(MOD(G248, 10) = 0, 10, MOD(G248, 10)))+INDEX(Factor!$AE$4:$AJ$13, _xlfn.XMATCH(MonsterData!$G248, Factor!$AE$4:$AE$13, 1),3))</f>
        <v>739.2</v>
      </c>
      <c r="W248" s="17" cm="1">
        <f t="array" ref="W248">N248*VLOOKUP($I248, Factor!$B$4:$G$8, 4, 0)*VLOOKUP($J248, Factor!$B$12:$G$13, 4, 0)*VLOOKUP($K248, Factor!$B$17:$G$18, 4, 0)*VLOOKUP($H248, Factor!$J$4:$O$7, 4, 0)*VLOOKUP($F248, Factor!$Q$4:$V$15, 4, 0)*IF(MOD($G248,10)=0, 10, MOD($G248, 10))*((INDEX(Factor!$X$4:$AC$13, _xlfn.XMATCH($G248, Factor!$X$4:$X$13, 1),4)*IF(MOD(G248, 10) = 0, 10, MOD(G248, 10)))+INDEX(Factor!$AE$4:$AJ$13, _xlfn.XMATCH(MonsterData!$G248, Factor!$AE$4:$AE$13, 1),4))</f>
        <v>443.52000000000004</v>
      </c>
      <c r="X248" s="17" cm="1">
        <f t="array" ref="X248">O248*VLOOKUP($I248, Factor!$B$4:$G$8, 5, 0)*VLOOKUP($J248, Factor!$B$12:$G$13, 5, 0)*VLOOKUP($K248, Factor!$B$17:$G$18, 5, 0)*VLOOKUP($H248, Factor!$J$4:$O$7, 5, 0)*VLOOKUP($F248, Factor!$Q$4:$V$15, 5, 0)*IF(MOD($G248,10)=0, 10, MOD($G248, 10))*((INDEX(Factor!$X$4:$AC$13, _xlfn.XMATCH($G248, Factor!$X$4:$X$13, 1),5)*IF(MOD(G248, 10) = 0, 10, MOD(G248, 10)))+INDEX(Factor!$AE$4:$AJ$13, _xlfn.XMATCH(MonsterData!$G248, Factor!$AE$4:$AE$13, 1),5))</f>
        <v>98.560000000000016</v>
      </c>
      <c r="Y248" s="17" cm="1">
        <f t="array" ref="Y248">P248*VLOOKUP($I248, Factor!$B$4:$G$8, 6, 0)*VLOOKUP($J248, Factor!$B$12:$G$13, 6, 0)*VLOOKUP($K248, Factor!$B$17:$G$18, 6, 0)*VLOOKUP($H248, Factor!$J$4:$O$7, 2, 0)*VLOOKUP($F248, Factor!$Q$4:$V$15, 6, 0)*IF(MOD($G248,10)=0, 10, MOD($G248, 10))*((INDEX(Factor!$X$4:$AC$13, _xlfn.XMATCH($G248, Factor!$X$4:$X$13, 1),6)*IF(MOD(G248, 10) = 0, 10, MOD(G248, 10)))+INDEX(Factor!$AE$4:$AJ$13, _xlfn.XMATCH(MonsterData!$G248, Factor!$AE$4:$AE$13, 1),6))</f>
        <v>492.80000000000007</v>
      </c>
      <c r="Z248" s="17">
        <f>$Q248*VLOOKUP($J248, Factor!$B$12:$H$13, 7, 0)</f>
        <v>1</v>
      </c>
      <c r="AA248" s="17">
        <v>1</v>
      </c>
      <c r="AB248" s="17">
        <f t="shared" si="13"/>
        <v>0</v>
      </c>
      <c r="AC248" s="17" t="s">
        <v>139</v>
      </c>
      <c r="AD248" s="19" t="s">
        <v>387</v>
      </c>
    </row>
    <row r="249" spans="1:30" ht="15.75" customHeight="1">
      <c r="A249" s="13" t="str">
        <f>T249&amp;"_"&amp;F249&amp;VLOOKUP($C249, Factor!$AM$4:$AY$30, 7, 0)&amp;IF(COUNTIFS($C$4:C248, C249, $F$4:F248, F249)+1&gt;=100, COUNTIFS($C$4:C248, C249, $F$4:F248, F249)+1,IF(COUNTIFS($C$4:C248, C249, $F$4:F248, F249)+1&gt;=10, "0"&amp;COUNTIFS($C$4:C248, C249, $F$4:F248, F249)+1, "00"&amp;COUNTIFS($C$4:C248, C249, $F$4:F248, F249)+1))</f>
        <v>enpc_F04_A_Swarmlet_003</v>
      </c>
      <c r="B249" s="13"/>
      <c r="C249" s="13" t="s">
        <v>355</v>
      </c>
      <c r="D249" s="21" t="str">
        <f t="shared" si="12"/>
        <v>스웜렛</v>
      </c>
      <c r="E249" s="21" t="str">
        <f>VLOOKUP($C249, Factor!$AM$4:$AY$30, 8, 0)</f>
        <v>B</v>
      </c>
      <c r="F249" s="21" t="s">
        <v>112</v>
      </c>
      <c r="G249" s="22">
        <v>37</v>
      </c>
      <c r="H249" s="13" t="s">
        <v>56</v>
      </c>
      <c r="I249" s="21" t="str">
        <f>VLOOKUP($C249, Factor!$AM$4:$AY$30, 11, 0)</f>
        <v>A</v>
      </c>
      <c r="J249" s="21" t="str">
        <f>VLOOKUP($C249, Factor!$AM$4:$AY$30, 12, 0)</f>
        <v>ml</v>
      </c>
      <c r="K249" s="21" t="str">
        <f>VLOOKUP($C249, Factor!$AM$4:$AY$30, 13, 0)</f>
        <v>L</v>
      </c>
      <c r="L249" s="13">
        <v>1</v>
      </c>
      <c r="M249" s="13">
        <v>1</v>
      </c>
      <c r="N249" s="13">
        <v>1</v>
      </c>
      <c r="O249" s="13">
        <v>1</v>
      </c>
      <c r="P249" s="13">
        <v>1</v>
      </c>
      <c r="Q249" s="13">
        <v>1</v>
      </c>
      <c r="R249" s="21" t="str">
        <f>VLOOKUP($C249, Factor!$AM$4:$AY$30, 9, 0)</f>
        <v>Small</v>
      </c>
      <c r="S249" s="13" t="s">
        <v>405</v>
      </c>
      <c r="T249" s="21" t="str">
        <f>VLOOKUP($C249, Factor!$AM$4:$AY$30, 10, 0)</f>
        <v>enpc</v>
      </c>
      <c r="U249" s="21" cm="1">
        <f t="array" ref="U249">L249*VLOOKUP($I249, Factor!$B$4:$G$8, 2, 0)*VLOOKUP($J249, Factor!$B$12:$G$13, 2, 0)*VLOOKUP($K249, Factor!$B$17:$G$18, 2, 0)*VLOOKUP($H249, Factor!$J$4:$O$7, 2, 0)*VLOOKUP($F249, Factor!$Q$4:$V$15, 2, 0)*IF(MOD($G249,10)=0, 10, MOD($G249, 10))*((INDEX(Factor!$X$4:$AC$13, _xlfn.XMATCH($G249, Factor!$X$4:$X$13, 1),2)*IF(MOD(G249, 10) = 0, 10, MOD(G249, 10)))+INDEX(Factor!$AE$4:$AJ$13, _xlfn.XMATCH(MonsterData!$G249, Factor!$AE$4:$AE$13, 1),2))</f>
        <v>14784.000000000002</v>
      </c>
      <c r="V249" s="21" cm="1">
        <f t="array" ref="V249">M249*VLOOKUP($I249, Factor!$B$4:$G$8, 3, 0)*VLOOKUP($J249, Factor!$B$12:$G$13, 3, 0)*VLOOKUP($K249, Factor!$B$17:$G$18, 3, 0)*VLOOKUP($H249, Factor!$J$4:$O$7, 3, 0)*VLOOKUP($F249, Factor!$Q$4:$V$15, 3, 0)*IF(MOD($G249,10)=0, 10, MOD($G249, 10))*((INDEX(Factor!$X$4:$AC$13, _xlfn.XMATCH($G249, Factor!$X$4:$X$13, 1),3)*IF(MOD(G249, 10) = 0, 10, MOD(G249, 10)))+INDEX(Factor!$AE$4:$AJ$13, _xlfn.XMATCH(MonsterData!$G249, Factor!$AE$4:$AE$13, 1),3))</f>
        <v>739.2</v>
      </c>
      <c r="W249" s="21" cm="1">
        <f t="array" ref="W249">N249*VLOOKUP($I249, Factor!$B$4:$G$8, 4, 0)*VLOOKUP($J249, Factor!$B$12:$G$13, 4, 0)*VLOOKUP($K249, Factor!$B$17:$G$18, 4, 0)*VLOOKUP($H249, Factor!$J$4:$O$7, 4, 0)*VLOOKUP($F249, Factor!$Q$4:$V$15, 4, 0)*IF(MOD($G249,10)=0, 10, MOD($G249, 10))*((INDEX(Factor!$X$4:$AC$13, _xlfn.XMATCH($G249, Factor!$X$4:$X$13, 1),4)*IF(MOD(G249, 10) = 0, 10, MOD(G249, 10)))+INDEX(Factor!$AE$4:$AJ$13, _xlfn.XMATCH(MonsterData!$G249, Factor!$AE$4:$AE$13, 1),4))</f>
        <v>887.04000000000008</v>
      </c>
      <c r="X249" s="21" cm="1">
        <f t="array" ref="X249">O249*VLOOKUP($I249, Factor!$B$4:$G$8, 5, 0)*VLOOKUP($J249, Factor!$B$12:$G$13, 5, 0)*VLOOKUP($K249, Factor!$B$17:$G$18, 5, 0)*VLOOKUP($H249, Factor!$J$4:$O$7, 5, 0)*VLOOKUP($F249, Factor!$Q$4:$V$15, 5, 0)*IF(MOD($G249,10)=0, 10, MOD($G249, 10))*((INDEX(Factor!$X$4:$AC$13, _xlfn.XMATCH($G249, Factor!$X$4:$X$13, 1),5)*IF(MOD(G249, 10) = 0, 10, MOD(G249, 10)))+INDEX(Factor!$AE$4:$AJ$13, _xlfn.XMATCH(MonsterData!$G249, Factor!$AE$4:$AE$13, 1),5))</f>
        <v>88.704000000000022</v>
      </c>
      <c r="Y249" s="21" cm="1">
        <f t="array" ref="Y249">P249*VLOOKUP($I249, Factor!$B$4:$G$8, 6, 0)*VLOOKUP($J249, Factor!$B$12:$G$13, 6, 0)*VLOOKUP($K249, Factor!$B$17:$G$18, 6, 0)*VLOOKUP($H249, Factor!$J$4:$O$7, 2, 0)*VLOOKUP($F249, Factor!$Q$4:$V$15, 6, 0)*IF(MOD($G249,10)=0, 10, MOD($G249, 10))*((INDEX(Factor!$X$4:$AC$13, _xlfn.XMATCH($G249, Factor!$X$4:$X$13, 1),6)*IF(MOD(G249, 10) = 0, 10, MOD(G249, 10)))+INDEX(Factor!$AE$4:$AJ$13, _xlfn.XMATCH(MonsterData!$G249, Factor!$AE$4:$AE$13, 1),6))</f>
        <v>492.80000000000007</v>
      </c>
      <c r="Z249" s="21">
        <f>$Q249*VLOOKUP($J249, Factor!$B$12:$H$13, 7, 0)</f>
        <v>1</v>
      </c>
      <c r="AA249" s="13">
        <v>1</v>
      </c>
      <c r="AB249" s="21">
        <f t="shared" si="13"/>
        <v>0</v>
      </c>
      <c r="AC249" s="13" t="s">
        <v>139</v>
      </c>
      <c r="AD249" s="15" t="s">
        <v>387</v>
      </c>
    </row>
    <row r="250" spans="1:30" ht="15.75" customHeight="1">
      <c r="A250" s="16" t="str">
        <f>T250&amp;"_"&amp;F250&amp;VLOOKUP($C250, Factor!$AM$4:$AY$30, 7, 0)&amp;IF(COUNTIFS($C$4:C249, C250, $F$4:F249, F250)+1&gt;=100, COUNTIFS($C$4:C249, C250, $F$4:F249, F250)+1,IF(COUNTIFS($C$4:C249, C250, $F$4:F249, F250)+1&gt;=10, "0"&amp;COUNTIFS($C$4:C249, C250, $F$4:F249, F250)+1, "00"&amp;COUNTIFS($C$4:C249, C250, $F$4:F249, F250)+1))</f>
        <v>enpc_F04_A_Mantis_003</v>
      </c>
      <c r="B250" s="16"/>
      <c r="C250" s="16" t="s">
        <v>357</v>
      </c>
      <c r="D250" s="17" t="str">
        <f t="shared" si="12"/>
        <v>맨티스</v>
      </c>
      <c r="E250" s="17" t="str">
        <f>VLOOKUP($C250, Factor!$AM$4:$AY$30, 8, 0)</f>
        <v>S</v>
      </c>
      <c r="F250" s="17" t="s">
        <v>112</v>
      </c>
      <c r="G250" s="20">
        <v>37</v>
      </c>
      <c r="H250" s="16" t="s">
        <v>55</v>
      </c>
      <c r="I250" s="17" t="str">
        <f>VLOOKUP($C250, Factor!$AM$4:$AY$30, 11, 0)</f>
        <v>A</v>
      </c>
      <c r="J250" s="17" t="str">
        <f>VLOOKUP($C250, Factor!$AM$4:$AY$30, 12, 0)</f>
        <v>ml</v>
      </c>
      <c r="K250" s="17" t="str">
        <f>VLOOKUP($C250, Factor!$AM$4:$AY$30, 13, 0)</f>
        <v>L</v>
      </c>
      <c r="L250" s="17">
        <v>1</v>
      </c>
      <c r="M250" s="17">
        <v>1</v>
      </c>
      <c r="N250" s="17">
        <v>1</v>
      </c>
      <c r="O250" s="17">
        <v>1</v>
      </c>
      <c r="P250" s="17">
        <v>1</v>
      </c>
      <c r="Q250" s="17">
        <v>1</v>
      </c>
      <c r="R250" s="17" t="str">
        <f>VLOOKUP($C250, Factor!$AM$4:$AY$30, 9, 0)</f>
        <v>Small</v>
      </c>
      <c r="S250" s="17" t="s">
        <v>400</v>
      </c>
      <c r="T250" s="17" t="str">
        <f>VLOOKUP($C250, Factor!$AM$4:$AY$30, 10, 0)</f>
        <v>enpc</v>
      </c>
      <c r="U250" s="17" cm="1">
        <f t="array" ref="U250">L250*VLOOKUP($I250, Factor!$B$4:$G$8, 2, 0)*VLOOKUP($J250, Factor!$B$12:$G$13, 2, 0)*VLOOKUP($K250, Factor!$B$17:$G$18, 2, 0)*VLOOKUP($H250, Factor!$J$4:$O$7, 2, 0)*VLOOKUP($F250, Factor!$Q$4:$V$15, 2, 0)*IF(MOD($G250,10)=0, 10, MOD($G250, 10))*((INDEX(Factor!$X$4:$AC$13, _xlfn.XMATCH($G250, Factor!$X$4:$X$13, 1),2)*IF(MOD(G250, 10) = 0, 10, MOD(G250, 10)))+INDEX(Factor!$AE$4:$AJ$13, _xlfn.XMATCH(MonsterData!$G250, Factor!$AE$4:$AE$13, 1),2))</f>
        <v>14784.000000000002</v>
      </c>
      <c r="V250" s="17" cm="1">
        <f t="array" ref="V250">M250*VLOOKUP($I250, Factor!$B$4:$G$8, 3, 0)*VLOOKUP($J250, Factor!$B$12:$G$13, 3, 0)*VLOOKUP($K250, Factor!$B$17:$G$18, 3, 0)*VLOOKUP($H250, Factor!$J$4:$O$7, 3, 0)*VLOOKUP($F250, Factor!$Q$4:$V$15, 3, 0)*IF(MOD($G250,10)=0, 10, MOD($G250, 10))*((INDEX(Factor!$X$4:$AC$13, _xlfn.XMATCH($G250, Factor!$X$4:$X$13, 1),3)*IF(MOD(G250, 10) = 0, 10, MOD(G250, 10)))+INDEX(Factor!$AE$4:$AJ$13, _xlfn.XMATCH(MonsterData!$G250, Factor!$AE$4:$AE$13, 1),3))</f>
        <v>739.2</v>
      </c>
      <c r="W250" s="17" cm="1">
        <f t="array" ref="W250">N250*VLOOKUP($I250, Factor!$B$4:$G$8, 4, 0)*VLOOKUP($J250, Factor!$B$12:$G$13, 4, 0)*VLOOKUP($K250, Factor!$B$17:$G$18, 4, 0)*VLOOKUP($H250, Factor!$J$4:$O$7, 4, 0)*VLOOKUP($F250, Factor!$Q$4:$V$15, 4, 0)*IF(MOD($G250,10)=0, 10, MOD($G250, 10))*((INDEX(Factor!$X$4:$AC$13, _xlfn.XMATCH($G250, Factor!$X$4:$X$13, 1),4)*IF(MOD(G250, 10) = 0, 10, MOD(G250, 10)))+INDEX(Factor!$AE$4:$AJ$13, _xlfn.XMATCH(MonsterData!$G250, Factor!$AE$4:$AE$13, 1),4))</f>
        <v>443.52000000000004</v>
      </c>
      <c r="X250" s="17" cm="1">
        <f t="array" ref="X250">O250*VLOOKUP($I250, Factor!$B$4:$G$8, 5, 0)*VLOOKUP($J250, Factor!$B$12:$G$13, 5, 0)*VLOOKUP($K250, Factor!$B$17:$G$18, 5, 0)*VLOOKUP($H250, Factor!$J$4:$O$7, 5, 0)*VLOOKUP($F250, Factor!$Q$4:$V$15, 5, 0)*IF(MOD($G250,10)=0, 10, MOD($G250, 10))*((INDEX(Factor!$X$4:$AC$13, _xlfn.XMATCH($G250, Factor!$X$4:$X$13, 1),5)*IF(MOD(G250, 10) = 0, 10, MOD(G250, 10)))+INDEX(Factor!$AE$4:$AJ$13, _xlfn.XMATCH(MonsterData!$G250, Factor!$AE$4:$AE$13, 1),5))</f>
        <v>98.560000000000016</v>
      </c>
      <c r="Y250" s="17" cm="1">
        <f t="array" ref="Y250">P250*VLOOKUP($I250, Factor!$B$4:$G$8, 6, 0)*VLOOKUP($J250, Factor!$B$12:$G$13, 6, 0)*VLOOKUP($K250, Factor!$B$17:$G$18, 6, 0)*VLOOKUP($H250, Factor!$J$4:$O$7, 2, 0)*VLOOKUP($F250, Factor!$Q$4:$V$15, 6, 0)*IF(MOD($G250,10)=0, 10, MOD($G250, 10))*((INDEX(Factor!$X$4:$AC$13, _xlfn.XMATCH($G250, Factor!$X$4:$X$13, 1),6)*IF(MOD(G250, 10) = 0, 10, MOD(G250, 10)))+INDEX(Factor!$AE$4:$AJ$13, _xlfn.XMATCH(MonsterData!$G250, Factor!$AE$4:$AE$13, 1),6))</f>
        <v>492.80000000000007</v>
      </c>
      <c r="Z250" s="17">
        <f>$Q250*VLOOKUP($J250, Factor!$B$12:$H$13, 7, 0)</f>
        <v>1</v>
      </c>
      <c r="AA250" s="17">
        <v>1</v>
      </c>
      <c r="AB250" s="17">
        <f t="shared" si="13"/>
        <v>0</v>
      </c>
      <c r="AC250" s="17" t="s">
        <v>139</v>
      </c>
      <c r="AD250" s="19" t="s">
        <v>387</v>
      </c>
    </row>
    <row r="251" spans="1:30" ht="15.75" customHeight="1">
      <c r="A251" s="13" t="str">
        <f>T251&amp;"_"&amp;F251&amp;VLOOKUP($C251, Factor!$AM$4:$AY$30, 7, 0)&amp;IF(COUNTIFS($C$4:C250, C251, $F$4:F250, F251)+1&gt;=100, COUNTIFS($C$4:C250, C251, $F$4:F250, F251)+1,IF(COUNTIFS($C$4:C250, C251, $F$4:F250, F251)+1&gt;=10, "0"&amp;COUNTIFS($C$4:C250, C251, $F$4:F250, F251)+1, "00"&amp;COUNTIFS($C$4:C250, C251, $F$4:F250, F251)+1))</f>
        <v>enpc_F04_B_Kobold_003</v>
      </c>
      <c r="B251" s="13"/>
      <c r="C251" s="13" t="s">
        <v>359</v>
      </c>
      <c r="D251" s="21" t="str">
        <f t="shared" si="12"/>
        <v>코볼트</v>
      </c>
      <c r="E251" s="21" t="str">
        <f>VLOOKUP($C251, Factor!$AM$4:$AY$30, 8, 0)</f>
        <v>M</v>
      </c>
      <c r="F251" s="21" t="s">
        <v>112</v>
      </c>
      <c r="G251" s="22">
        <v>59</v>
      </c>
      <c r="H251" s="13" t="s">
        <v>56</v>
      </c>
      <c r="I251" s="21" t="str">
        <f>VLOOKUP($C251, Factor!$AM$4:$AY$30, 11, 0)</f>
        <v>B</v>
      </c>
      <c r="J251" s="21" t="str">
        <f>VLOOKUP($C251, Factor!$AM$4:$AY$30, 12, 0)</f>
        <v>ml</v>
      </c>
      <c r="K251" s="21" t="str">
        <f>VLOOKUP($C251, Factor!$AM$4:$AY$30, 13, 0)</f>
        <v>L</v>
      </c>
      <c r="L251" s="13">
        <v>1</v>
      </c>
      <c r="M251" s="13">
        <v>1</v>
      </c>
      <c r="N251" s="13">
        <v>1</v>
      </c>
      <c r="O251" s="13">
        <v>1</v>
      </c>
      <c r="P251" s="13">
        <v>1</v>
      </c>
      <c r="Q251" s="13">
        <v>1</v>
      </c>
      <c r="R251" s="21" t="str">
        <f>VLOOKUP($C251, Factor!$AM$4:$AY$30, 9, 0)</f>
        <v>Small</v>
      </c>
      <c r="S251" s="13" t="s">
        <v>406</v>
      </c>
      <c r="T251" s="21" t="str">
        <f>VLOOKUP($C251, Factor!$AM$4:$AY$30, 10, 0)</f>
        <v>enpc</v>
      </c>
      <c r="U251" s="21" cm="1">
        <f t="array" ref="U251">L251*VLOOKUP($I251, Factor!$B$4:$G$8, 2, 0)*VLOOKUP($J251, Factor!$B$12:$G$13, 2, 0)*VLOOKUP($K251, Factor!$B$17:$G$18, 2, 0)*VLOOKUP($H251, Factor!$J$4:$O$7, 2, 0)*VLOOKUP($F251, Factor!$Q$4:$V$15, 2, 0)*IF(MOD($G251,10)=0, 10, MOD($G251, 10))*((INDEX(Factor!$X$4:$AC$13, _xlfn.XMATCH($G251, Factor!$X$4:$X$13, 1),2)*IF(MOD(G251, 10) = 0, 10, MOD(G251, 10)))+INDEX(Factor!$AE$4:$AJ$13, _xlfn.XMATCH(MonsterData!$G251, Factor!$AE$4:$AE$13, 1),2))</f>
        <v>220319.99999999997</v>
      </c>
      <c r="V251" s="21" cm="1">
        <f t="array" ref="V251">M251*VLOOKUP($I251, Factor!$B$4:$G$8, 3, 0)*VLOOKUP($J251, Factor!$B$12:$G$13, 3, 0)*VLOOKUP($K251, Factor!$B$17:$G$18, 3, 0)*VLOOKUP($H251, Factor!$J$4:$O$7, 3, 0)*VLOOKUP($F251, Factor!$Q$4:$V$15, 3, 0)*IF(MOD($G251,10)=0, 10, MOD($G251, 10))*((INDEX(Factor!$X$4:$AC$13, _xlfn.XMATCH($G251, Factor!$X$4:$X$13, 1),3)*IF(MOD(G251, 10) = 0, 10, MOD(G251, 10)))+INDEX(Factor!$AE$4:$AJ$13, _xlfn.XMATCH(MonsterData!$G251, Factor!$AE$4:$AE$13, 1),3))</f>
        <v>11016</v>
      </c>
      <c r="W251" s="21" cm="1">
        <f t="array" ref="W251">N251*VLOOKUP($I251, Factor!$B$4:$G$8, 4, 0)*VLOOKUP($J251, Factor!$B$12:$G$13, 4, 0)*VLOOKUP($K251, Factor!$B$17:$G$18, 4, 0)*VLOOKUP($H251, Factor!$J$4:$O$7, 4, 0)*VLOOKUP($F251, Factor!$Q$4:$V$15, 4, 0)*IF(MOD($G251,10)=0, 10, MOD($G251, 10))*((INDEX(Factor!$X$4:$AC$13, _xlfn.XMATCH($G251, Factor!$X$4:$X$13, 1),4)*IF(MOD(G251, 10) = 0, 10, MOD(G251, 10)))+INDEX(Factor!$AE$4:$AJ$13, _xlfn.XMATCH(MonsterData!$G251, Factor!$AE$4:$AE$13, 1),4))</f>
        <v>22032</v>
      </c>
      <c r="X251" s="21" cm="1">
        <f t="array" ref="X251">O251*VLOOKUP($I251, Factor!$B$4:$G$8, 5, 0)*VLOOKUP($J251, Factor!$B$12:$G$13, 5, 0)*VLOOKUP($K251, Factor!$B$17:$G$18, 5, 0)*VLOOKUP($H251, Factor!$J$4:$O$7, 5, 0)*VLOOKUP($F251, Factor!$Q$4:$V$15, 5, 0)*IF(MOD($G251,10)=0, 10, MOD($G251, 10))*((INDEX(Factor!$X$4:$AC$13, _xlfn.XMATCH($G251, Factor!$X$4:$X$13, 1),5)*IF(MOD(G251, 10) = 0, 10, MOD(G251, 10)))+INDEX(Factor!$AE$4:$AJ$13, _xlfn.XMATCH(MonsterData!$G251, Factor!$AE$4:$AE$13, 1),5))</f>
        <v>528.76800000000003</v>
      </c>
      <c r="Y251" s="21" cm="1">
        <f t="array" ref="Y251">P251*VLOOKUP($I251, Factor!$B$4:$G$8, 6, 0)*VLOOKUP($J251, Factor!$B$12:$G$13, 6, 0)*VLOOKUP($K251, Factor!$B$17:$G$18, 6, 0)*VLOOKUP($H251, Factor!$J$4:$O$7, 2, 0)*VLOOKUP($F251, Factor!$Q$4:$V$15, 6, 0)*IF(MOD($G251,10)=0, 10, MOD($G251, 10))*((INDEX(Factor!$X$4:$AC$13, _xlfn.XMATCH($G251, Factor!$X$4:$X$13, 1),6)*IF(MOD(G251, 10) = 0, 10, MOD(G251, 10)))+INDEX(Factor!$AE$4:$AJ$13, _xlfn.XMATCH(MonsterData!$G251, Factor!$AE$4:$AE$13, 1),6))</f>
        <v>1175.04</v>
      </c>
      <c r="Z251" s="21">
        <f>$Q251*VLOOKUP($J251, Factor!$B$12:$H$13, 7, 0)</f>
        <v>1</v>
      </c>
      <c r="AA251" s="13">
        <v>1</v>
      </c>
      <c r="AB251" s="21">
        <f t="shared" si="13"/>
        <v>0</v>
      </c>
      <c r="AC251" s="13" t="s">
        <v>393</v>
      </c>
      <c r="AD251" s="15" t="s">
        <v>388</v>
      </c>
    </row>
    <row r="252" spans="1:30" ht="15.75" customHeight="1">
      <c r="A252" s="16" t="str">
        <f>T252&amp;"_"&amp;F252&amp;VLOOKUP($C252, Factor!$AM$4:$AY$30, 7, 0)&amp;IF(COUNTIFS($C$4:C251, C252, $F$4:F251, F252)+1&gt;=100, COUNTIFS($C$4:C251, C252, $F$4:F251, F252)+1,IF(COUNTIFS($C$4:C251, C252, $F$4:F251, F252)+1&gt;=10, "0"&amp;COUNTIFS($C$4:C251, C252, $F$4:F251, F252)+1, "00"&amp;COUNTIFS($C$4:C251, C252, $F$4:F251, F252)+1))</f>
        <v>enpc_F04_B_Ghoul_003</v>
      </c>
      <c r="B252" s="16"/>
      <c r="C252" s="16" t="s">
        <v>361</v>
      </c>
      <c r="D252" s="17" t="str">
        <f t="shared" si="12"/>
        <v>구울</v>
      </c>
      <c r="E252" s="17" t="str">
        <f>VLOOKUP($C252, Factor!$AM$4:$AY$30, 8, 0)</f>
        <v>M</v>
      </c>
      <c r="F252" s="17" t="s">
        <v>112</v>
      </c>
      <c r="G252" s="20">
        <v>59</v>
      </c>
      <c r="H252" s="16" t="s">
        <v>55</v>
      </c>
      <c r="I252" s="17" t="str">
        <f>VLOOKUP($C252, Factor!$AM$4:$AY$30, 11, 0)</f>
        <v>B</v>
      </c>
      <c r="J252" s="17" t="str">
        <f>VLOOKUP($C252, Factor!$AM$4:$AY$30, 12, 0)</f>
        <v>ml</v>
      </c>
      <c r="K252" s="17" t="str">
        <f>VLOOKUP($C252, Factor!$AM$4:$AY$30, 13, 0)</f>
        <v>L</v>
      </c>
      <c r="L252" s="17">
        <v>1</v>
      </c>
      <c r="M252" s="17">
        <v>1</v>
      </c>
      <c r="N252" s="17">
        <v>1</v>
      </c>
      <c r="O252" s="17">
        <v>1</v>
      </c>
      <c r="P252" s="17">
        <v>1</v>
      </c>
      <c r="Q252" s="17">
        <v>1</v>
      </c>
      <c r="R252" s="17" t="str">
        <f>VLOOKUP($C252, Factor!$AM$4:$AY$30, 9, 0)</f>
        <v>Midium</v>
      </c>
      <c r="S252" s="17" t="s">
        <v>401</v>
      </c>
      <c r="T252" s="17" t="str">
        <f>VLOOKUP($C252, Factor!$AM$4:$AY$30, 10, 0)</f>
        <v>enpc</v>
      </c>
      <c r="U252" s="17" cm="1">
        <f t="array" ref="U252">L252*VLOOKUP($I252, Factor!$B$4:$G$8, 2, 0)*VLOOKUP($J252, Factor!$B$12:$G$13, 2, 0)*VLOOKUP($K252, Factor!$B$17:$G$18, 2, 0)*VLOOKUP($H252, Factor!$J$4:$O$7, 2, 0)*VLOOKUP($F252, Factor!$Q$4:$V$15, 2, 0)*IF(MOD($G252,10)=0, 10, MOD($G252, 10))*((INDEX(Factor!$X$4:$AC$13, _xlfn.XMATCH($G252, Factor!$X$4:$X$13, 1),2)*IF(MOD(G252, 10) = 0, 10, MOD(G252, 10)))+INDEX(Factor!$AE$4:$AJ$13, _xlfn.XMATCH(MonsterData!$G252, Factor!$AE$4:$AE$13, 1),2))</f>
        <v>220319.99999999997</v>
      </c>
      <c r="V252" s="17" cm="1">
        <f t="array" ref="V252">M252*VLOOKUP($I252, Factor!$B$4:$G$8, 3, 0)*VLOOKUP($J252, Factor!$B$12:$G$13, 3, 0)*VLOOKUP($K252, Factor!$B$17:$G$18, 3, 0)*VLOOKUP($H252, Factor!$J$4:$O$7, 3, 0)*VLOOKUP($F252, Factor!$Q$4:$V$15, 3, 0)*IF(MOD($G252,10)=0, 10, MOD($G252, 10))*((INDEX(Factor!$X$4:$AC$13, _xlfn.XMATCH($G252, Factor!$X$4:$X$13, 1),3)*IF(MOD(G252, 10) = 0, 10, MOD(G252, 10)))+INDEX(Factor!$AE$4:$AJ$13, _xlfn.XMATCH(MonsterData!$G252, Factor!$AE$4:$AE$13, 1),3))</f>
        <v>11016</v>
      </c>
      <c r="W252" s="17" cm="1">
        <f t="array" ref="W252">N252*VLOOKUP($I252, Factor!$B$4:$G$8, 4, 0)*VLOOKUP($J252, Factor!$B$12:$G$13, 4, 0)*VLOOKUP($K252, Factor!$B$17:$G$18, 4, 0)*VLOOKUP($H252, Factor!$J$4:$O$7, 4, 0)*VLOOKUP($F252, Factor!$Q$4:$V$15, 4, 0)*IF(MOD($G252,10)=0, 10, MOD($G252, 10))*((INDEX(Factor!$X$4:$AC$13, _xlfn.XMATCH($G252, Factor!$X$4:$X$13, 1),4)*IF(MOD(G252, 10) = 0, 10, MOD(G252, 10)))+INDEX(Factor!$AE$4:$AJ$13, _xlfn.XMATCH(MonsterData!$G252, Factor!$AE$4:$AE$13, 1),4))</f>
        <v>11016</v>
      </c>
      <c r="X252" s="17" cm="1">
        <f t="array" ref="X252">O252*VLOOKUP($I252, Factor!$B$4:$G$8, 5, 0)*VLOOKUP($J252, Factor!$B$12:$G$13, 5, 0)*VLOOKUP($K252, Factor!$B$17:$G$18, 5, 0)*VLOOKUP($H252, Factor!$J$4:$O$7, 5, 0)*VLOOKUP($F252, Factor!$Q$4:$V$15, 5, 0)*IF(MOD($G252,10)=0, 10, MOD($G252, 10))*((INDEX(Factor!$X$4:$AC$13, _xlfn.XMATCH($G252, Factor!$X$4:$X$13, 1),5)*IF(MOD(G252, 10) = 0, 10, MOD(G252, 10)))+INDEX(Factor!$AE$4:$AJ$13, _xlfn.XMATCH(MonsterData!$G252, Factor!$AE$4:$AE$13, 1),5))</f>
        <v>587.52</v>
      </c>
      <c r="Y252" s="17" cm="1">
        <f t="array" ref="Y252">P252*VLOOKUP($I252, Factor!$B$4:$G$8, 6, 0)*VLOOKUP($J252, Factor!$B$12:$G$13, 6, 0)*VLOOKUP($K252, Factor!$B$17:$G$18, 6, 0)*VLOOKUP($H252, Factor!$J$4:$O$7, 2, 0)*VLOOKUP($F252, Factor!$Q$4:$V$15, 6, 0)*IF(MOD($G252,10)=0, 10, MOD($G252, 10))*((INDEX(Factor!$X$4:$AC$13, _xlfn.XMATCH($G252, Factor!$X$4:$X$13, 1),6)*IF(MOD(G252, 10) = 0, 10, MOD(G252, 10)))+INDEX(Factor!$AE$4:$AJ$13, _xlfn.XMATCH(MonsterData!$G252, Factor!$AE$4:$AE$13, 1),6))</f>
        <v>1175.04</v>
      </c>
      <c r="Z252" s="17">
        <f>$Q252*VLOOKUP($J252, Factor!$B$12:$H$13, 7, 0)</f>
        <v>1</v>
      </c>
      <c r="AA252" s="17">
        <v>1</v>
      </c>
      <c r="AB252" s="17">
        <f t="shared" si="13"/>
        <v>0</v>
      </c>
      <c r="AC252" s="17" t="s">
        <v>394</v>
      </c>
      <c r="AD252" s="19" t="s">
        <v>389</v>
      </c>
    </row>
    <row r="253" spans="1:30" ht="15.75" customHeight="1">
      <c r="A253" s="13" t="str">
        <f>T253&amp;"_"&amp;F253&amp;VLOOKUP($C253, Factor!$AM$4:$AY$30, 7, 0)&amp;IF(COUNTIFS($C$4:C252, C253, $F$4:F252, F253)+1&gt;=100, COUNTIFS($C$4:C252, C253, $F$4:F252, F253)+1,IF(COUNTIFS($C$4:C252, C253, $F$4:F252, F253)+1&gt;=10, "0"&amp;COUNTIFS($C$4:C252, C253, $F$4:F252, F253)+1, "00"&amp;COUNTIFS($C$4:C252, C253, $F$4:F252, F253)+1))</f>
        <v>enpc_F04_B_Gorgon_003</v>
      </c>
      <c r="B253" s="13"/>
      <c r="C253" s="13" t="s">
        <v>363</v>
      </c>
      <c r="D253" s="21" t="str">
        <f t="shared" si="12"/>
        <v>고르곤</v>
      </c>
      <c r="E253" s="21" t="str">
        <f>VLOOKUP($C253, Factor!$AM$4:$AY$30, 8, 0)</f>
        <v>B</v>
      </c>
      <c r="F253" s="21" t="s">
        <v>112</v>
      </c>
      <c r="G253" s="22">
        <v>59</v>
      </c>
      <c r="H253" s="13" t="s">
        <v>56</v>
      </c>
      <c r="I253" s="21" t="str">
        <f>VLOOKUP($C253, Factor!$AM$4:$AY$30, 11, 0)</f>
        <v>B</v>
      </c>
      <c r="J253" s="21" t="str">
        <f>VLOOKUP($C253, Factor!$AM$4:$AY$30, 12, 0)</f>
        <v>ml</v>
      </c>
      <c r="K253" s="21" t="str">
        <f>VLOOKUP($C253, Factor!$AM$4:$AY$30, 13, 0)</f>
        <v>L</v>
      </c>
      <c r="L253" s="13">
        <v>1</v>
      </c>
      <c r="M253" s="13">
        <v>1</v>
      </c>
      <c r="N253" s="13">
        <v>1</v>
      </c>
      <c r="O253" s="13">
        <v>1</v>
      </c>
      <c r="P253" s="13">
        <v>1</v>
      </c>
      <c r="Q253" s="13">
        <v>1</v>
      </c>
      <c r="R253" s="21" t="str">
        <f>VLOOKUP($C253, Factor!$AM$4:$AY$30, 9, 0)</f>
        <v>Midium</v>
      </c>
      <c r="S253" s="13" t="s">
        <v>407</v>
      </c>
      <c r="T253" s="21" t="str">
        <f>VLOOKUP($C253, Factor!$AM$4:$AY$30, 10, 0)</f>
        <v>enpc</v>
      </c>
      <c r="U253" s="21" cm="1">
        <f t="array" ref="U253">L253*VLOOKUP($I253, Factor!$B$4:$G$8, 2, 0)*VLOOKUP($J253, Factor!$B$12:$G$13, 2, 0)*VLOOKUP($K253, Factor!$B$17:$G$18, 2, 0)*VLOOKUP($H253, Factor!$J$4:$O$7, 2, 0)*VLOOKUP($F253, Factor!$Q$4:$V$15, 2, 0)*IF(MOD($G253,10)=0, 10, MOD($G253, 10))*((INDEX(Factor!$X$4:$AC$13, _xlfn.XMATCH($G253, Factor!$X$4:$X$13, 1),2)*IF(MOD(G253, 10) = 0, 10, MOD(G253, 10)))+INDEX(Factor!$AE$4:$AJ$13, _xlfn.XMATCH(MonsterData!$G253, Factor!$AE$4:$AE$13, 1),2))</f>
        <v>220319.99999999997</v>
      </c>
      <c r="V253" s="21" cm="1">
        <f t="array" ref="V253">M253*VLOOKUP($I253, Factor!$B$4:$G$8, 3, 0)*VLOOKUP($J253, Factor!$B$12:$G$13, 3, 0)*VLOOKUP($K253, Factor!$B$17:$G$18, 3, 0)*VLOOKUP($H253, Factor!$J$4:$O$7, 3, 0)*VLOOKUP($F253, Factor!$Q$4:$V$15, 3, 0)*IF(MOD($G253,10)=0, 10, MOD($G253, 10))*((INDEX(Factor!$X$4:$AC$13, _xlfn.XMATCH($G253, Factor!$X$4:$X$13, 1),3)*IF(MOD(G253, 10) = 0, 10, MOD(G253, 10)))+INDEX(Factor!$AE$4:$AJ$13, _xlfn.XMATCH(MonsterData!$G253, Factor!$AE$4:$AE$13, 1),3))</f>
        <v>11016</v>
      </c>
      <c r="W253" s="21" cm="1">
        <f t="array" ref="W253">N253*VLOOKUP($I253, Factor!$B$4:$G$8, 4, 0)*VLOOKUP($J253, Factor!$B$12:$G$13, 4, 0)*VLOOKUP($K253, Factor!$B$17:$G$18, 4, 0)*VLOOKUP($H253, Factor!$J$4:$O$7, 4, 0)*VLOOKUP($F253, Factor!$Q$4:$V$15, 4, 0)*IF(MOD($G253,10)=0, 10, MOD($G253, 10))*((INDEX(Factor!$X$4:$AC$13, _xlfn.XMATCH($G253, Factor!$X$4:$X$13, 1),4)*IF(MOD(G253, 10) = 0, 10, MOD(G253, 10)))+INDEX(Factor!$AE$4:$AJ$13, _xlfn.XMATCH(MonsterData!$G253, Factor!$AE$4:$AE$13, 1),4))</f>
        <v>22032</v>
      </c>
      <c r="X253" s="21" cm="1">
        <f t="array" ref="X253">O253*VLOOKUP($I253, Factor!$B$4:$G$8, 5, 0)*VLOOKUP($J253, Factor!$B$12:$G$13, 5, 0)*VLOOKUP($K253, Factor!$B$17:$G$18, 5, 0)*VLOOKUP($H253, Factor!$J$4:$O$7, 5, 0)*VLOOKUP($F253, Factor!$Q$4:$V$15, 5, 0)*IF(MOD($G253,10)=0, 10, MOD($G253, 10))*((INDEX(Factor!$X$4:$AC$13, _xlfn.XMATCH($G253, Factor!$X$4:$X$13, 1),5)*IF(MOD(G253, 10) = 0, 10, MOD(G253, 10)))+INDEX(Factor!$AE$4:$AJ$13, _xlfn.XMATCH(MonsterData!$G253, Factor!$AE$4:$AE$13, 1),5))</f>
        <v>528.76800000000003</v>
      </c>
      <c r="Y253" s="21" cm="1">
        <f t="array" ref="Y253">P253*VLOOKUP($I253, Factor!$B$4:$G$8, 6, 0)*VLOOKUP($J253, Factor!$B$12:$G$13, 6, 0)*VLOOKUP($K253, Factor!$B$17:$G$18, 6, 0)*VLOOKUP($H253, Factor!$J$4:$O$7, 2, 0)*VLOOKUP($F253, Factor!$Q$4:$V$15, 6, 0)*IF(MOD($G253,10)=0, 10, MOD($G253, 10))*((INDEX(Factor!$X$4:$AC$13, _xlfn.XMATCH($G253, Factor!$X$4:$X$13, 1),6)*IF(MOD(G253, 10) = 0, 10, MOD(G253, 10)))+INDEX(Factor!$AE$4:$AJ$13, _xlfn.XMATCH(MonsterData!$G253, Factor!$AE$4:$AE$13, 1),6))</f>
        <v>1175.04</v>
      </c>
      <c r="Z253" s="21">
        <f>$Q253*VLOOKUP($J253, Factor!$B$12:$H$13, 7, 0)</f>
        <v>1</v>
      </c>
      <c r="AA253" s="13">
        <v>1</v>
      </c>
      <c r="AB253" s="21">
        <f t="shared" si="13"/>
        <v>0</v>
      </c>
      <c r="AC253" s="13" t="s">
        <v>395</v>
      </c>
      <c r="AD253" s="15" t="s">
        <v>390</v>
      </c>
    </row>
    <row r="254" spans="1:30" ht="15.75" customHeight="1">
      <c r="A254" s="16" t="str">
        <f>T254&amp;"_"&amp;F254&amp;VLOOKUP($C254, Factor!$AM$4:$AY$30, 7, 0)&amp;IF(COUNTIFS($C$4:C253, C254, $F$4:F253, F254)+1&gt;=100, COUNTIFS($C$4:C253, C254, $F$4:F253, F254)+1,IF(COUNTIFS($C$4:C253, C254, $F$4:F253, F254)+1&gt;=10, "0"&amp;COUNTIFS($C$4:C253, C254, $F$4:F253, F254)+1, "00"&amp;COUNTIFS($C$4:C253, C254, $F$4:F253, F254)+1))</f>
        <v>enpc_F04_B_Gargoyle_003</v>
      </c>
      <c r="B254" s="16"/>
      <c r="C254" s="16" t="s">
        <v>365</v>
      </c>
      <c r="D254" s="17" t="str">
        <f t="shared" si="12"/>
        <v>가고일</v>
      </c>
      <c r="E254" s="17" t="str">
        <f>VLOOKUP($C254, Factor!$AM$4:$AY$30, 8, 0)</f>
        <v>B</v>
      </c>
      <c r="F254" s="17" t="s">
        <v>112</v>
      </c>
      <c r="G254" s="20">
        <v>59</v>
      </c>
      <c r="H254" s="16" t="s">
        <v>55</v>
      </c>
      <c r="I254" s="17" t="str">
        <f>VLOOKUP($C254, Factor!$AM$4:$AY$30, 11, 0)</f>
        <v>B</v>
      </c>
      <c r="J254" s="17" t="str">
        <f>VLOOKUP($C254, Factor!$AM$4:$AY$30, 12, 0)</f>
        <v>ml</v>
      </c>
      <c r="K254" s="17" t="str">
        <f>VLOOKUP($C254, Factor!$AM$4:$AY$30, 13, 0)</f>
        <v>F</v>
      </c>
      <c r="L254" s="17">
        <v>1</v>
      </c>
      <c r="M254" s="17">
        <v>1</v>
      </c>
      <c r="N254" s="17">
        <v>1</v>
      </c>
      <c r="O254" s="17">
        <v>1</v>
      </c>
      <c r="P254" s="17">
        <v>1</v>
      </c>
      <c r="Q254" s="17">
        <v>1</v>
      </c>
      <c r="R254" s="17" t="str">
        <f>VLOOKUP($C254, Factor!$AM$4:$AY$30, 9, 0)</f>
        <v>Big</v>
      </c>
      <c r="S254" s="17" t="s">
        <v>402</v>
      </c>
      <c r="T254" s="17" t="str">
        <f>VLOOKUP($C254, Factor!$AM$4:$AY$30, 10, 0)</f>
        <v>enpc</v>
      </c>
      <c r="U254" s="17" cm="1">
        <f t="array" ref="U254">L254*VLOOKUP($I254, Factor!$B$4:$G$8, 2, 0)*VLOOKUP($J254, Factor!$B$12:$G$13, 2, 0)*VLOOKUP($K254, Factor!$B$17:$G$18, 2, 0)*VLOOKUP($H254, Factor!$J$4:$O$7, 2, 0)*VLOOKUP($F254, Factor!$Q$4:$V$15, 2, 0)*IF(MOD($G254,10)=0, 10, MOD($G254, 10))*((INDEX(Factor!$X$4:$AC$13, _xlfn.XMATCH($G254, Factor!$X$4:$X$13, 1),2)*IF(MOD(G254, 10) = 0, 10, MOD(G254, 10)))+INDEX(Factor!$AE$4:$AJ$13, _xlfn.XMATCH(MonsterData!$G254, Factor!$AE$4:$AE$13, 1),2))</f>
        <v>146880</v>
      </c>
      <c r="V254" s="17" cm="1">
        <f t="array" ref="V254">M254*VLOOKUP($I254, Factor!$B$4:$G$8, 3, 0)*VLOOKUP($J254, Factor!$B$12:$G$13, 3, 0)*VLOOKUP($K254, Factor!$B$17:$G$18, 3, 0)*VLOOKUP($H254, Factor!$J$4:$O$7, 3, 0)*VLOOKUP($F254, Factor!$Q$4:$V$15, 3, 0)*IF(MOD($G254,10)=0, 10, MOD($G254, 10))*((INDEX(Factor!$X$4:$AC$13, _xlfn.XMATCH($G254, Factor!$X$4:$X$13, 1),3)*IF(MOD(G254, 10) = 0, 10, MOD(G254, 10)))+INDEX(Factor!$AE$4:$AJ$13, _xlfn.XMATCH(MonsterData!$G254, Factor!$AE$4:$AE$13, 1),3))</f>
        <v>7343.9999999999991</v>
      </c>
      <c r="W254" s="17" cm="1">
        <f t="array" ref="W254">N254*VLOOKUP($I254, Factor!$B$4:$G$8, 4, 0)*VLOOKUP($J254, Factor!$B$12:$G$13, 4, 0)*VLOOKUP($K254, Factor!$B$17:$G$18, 4, 0)*VLOOKUP($H254, Factor!$J$4:$O$7, 4, 0)*VLOOKUP($F254, Factor!$Q$4:$V$15, 4, 0)*IF(MOD($G254,10)=0, 10, MOD($G254, 10))*((INDEX(Factor!$X$4:$AC$13, _xlfn.XMATCH($G254, Factor!$X$4:$X$13, 1),4)*IF(MOD(G254, 10) = 0, 10, MOD(G254, 10)))+INDEX(Factor!$AE$4:$AJ$13, _xlfn.XMATCH(MonsterData!$G254, Factor!$AE$4:$AE$13, 1),4))</f>
        <v>7343.9999999999991</v>
      </c>
      <c r="X254" s="17" cm="1">
        <f t="array" ref="X254">O254*VLOOKUP($I254, Factor!$B$4:$G$8, 5, 0)*VLOOKUP($J254, Factor!$B$12:$G$13, 5, 0)*VLOOKUP($K254, Factor!$B$17:$G$18, 5, 0)*VLOOKUP($H254, Factor!$J$4:$O$7, 5, 0)*VLOOKUP($F254, Factor!$Q$4:$V$15, 5, 0)*IF(MOD($G254,10)=0, 10, MOD($G254, 10))*((INDEX(Factor!$X$4:$AC$13, _xlfn.XMATCH($G254, Factor!$X$4:$X$13, 1),5)*IF(MOD(G254, 10) = 0, 10, MOD(G254, 10)))+INDEX(Factor!$AE$4:$AJ$13, _xlfn.XMATCH(MonsterData!$G254, Factor!$AE$4:$AE$13, 1),5))</f>
        <v>587.52</v>
      </c>
      <c r="Y254" s="17" cm="1">
        <f t="array" ref="Y254">P254*VLOOKUP($I254, Factor!$B$4:$G$8, 6, 0)*VLOOKUP($J254, Factor!$B$12:$G$13, 6, 0)*VLOOKUP($K254, Factor!$B$17:$G$18, 6, 0)*VLOOKUP($H254, Factor!$J$4:$O$7, 2, 0)*VLOOKUP($F254, Factor!$Q$4:$V$15, 6, 0)*IF(MOD($G254,10)=0, 10, MOD($G254, 10))*((INDEX(Factor!$X$4:$AC$13, _xlfn.XMATCH($G254, Factor!$X$4:$X$13, 1),6)*IF(MOD(G254, 10) = 0, 10, MOD(G254, 10)))+INDEX(Factor!$AE$4:$AJ$13, _xlfn.XMATCH(MonsterData!$G254, Factor!$AE$4:$AE$13, 1),6))</f>
        <v>3525.12</v>
      </c>
      <c r="Z254" s="17">
        <f>$Q254*VLOOKUP($J254, Factor!$B$12:$H$13, 7, 0)</f>
        <v>1</v>
      </c>
      <c r="AA254" s="17">
        <v>1</v>
      </c>
      <c r="AB254" s="17">
        <f t="shared" si="13"/>
        <v>0</v>
      </c>
      <c r="AC254" s="17" t="s">
        <v>396</v>
      </c>
      <c r="AD254" s="19" t="s">
        <v>391</v>
      </c>
    </row>
    <row r="255" spans="1:30" ht="15.75" customHeight="1">
      <c r="A255" s="13" t="str">
        <f>T255&amp;"_"&amp;F255&amp;VLOOKUP($C255, Factor!$AM$4:$AY$30, 7, 0)&amp;IF(COUNTIFS($C$4:C254, C255, $F$4:F254, F255)+1&gt;=100, COUNTIFS($C$4:C254, C255, $F$4:F254, F255)+1,IF(COUNTIFS($C$4:C254, C255, $F$4:F254, F255)+1&gt;=10, "0"&amp;COUNTIFS($C$4:C254, C255, $F$4:F254, F255)+1, "00"&amp;COUNTIFS($C$4:C254, C255, $F$4:F254, F255)+1))</f>
        <v>enpc_F04_A_Lava_004</v>
      </c>
      <c r="B255" s="13"/>
      <c r="C255" s="13" t="s">
        <v>35</v>
      </c>
      <c r="D255" s="21" t="str">
        <f t="shared" si="12"/>
        <v>라바</v>
      </c>
      <c r="E255" s="21" t="str">
        <f>VLOOKUP($C255, Factor!$AM$4:$AY$30, 8, 0)</f>
        <v>S</v>
      </c>
      <c r="F255" s="21" t="s">
        <v>112</v>
      </c>
      <c r="G255" s="22">
        <v>39</v>
      </c>
      <c r="H255" s="13" t="s">
        <v>54</v>
      </c>
      <c r="I255" s="21" t="str">
        <f>VLOOKUP($C255, Factor!$AM$4:$AY$30, 11, 0)</f>
        <v>A</v>
      </c>
      <c r="J255" s="21" t="str">
        <f>VLOOKUP($C255, Factor!$AM$4:$AY$30, 12, 0)</f>
        <v>ml</v>
      </c>
      <c r="K255" s="21" t="str">
        <f>VLOOKUP($C255, Factor!$AM$4:$AY$30, 13, 0)</f>
        <v>L</v>
      </c>
      <c r="L255" s="13">
        <v>1</v>
      </c>
      <c r="M255" s="13">
        <v>1</v>
      </c>
      <c r="N255" s="13">
        <v>1</v>
      </c>
      <c r="O255" s="13">
        <v>1</v>
      </c>
      <c r="P255" s="13">
        <v>1</v>
      </c>
      <c r="Q255" s="13">
        <v>1</v>
      </c>
      <c r="R255" s="21" t="str">
        <f>VLOOKUP($C255, Factor!$AM$4:$AY$30, 9, 0)</f>
        <v>Small</v>
      </c>
      <c r="S255" s="13" t="s">
        <v>88</v>
      </c>
      <c r="T255" s="21" t="str">
        <f>VLOOKUP($C255, Factor!$AM$4:$AY$30, 10, 0)</f>
        <v>enpc</v>
      </c>
      <c r="U255" s="21" cm="1">
        <f t="array" ref="U255">L255*VLOOKUP($I255, Factor!$B$4:$G$8, 2, 0)*VLOOKUP($J255, Factor!$B$12:$G$13, 2, 0)*VLOOKUP($K255, Factor!$B$17:$G$18, 2, 0)*VLOOKUP($H255, Factor!$J$4:$O$7, 2, 0)*VLOOKUP($F255, Factor!$Q$4:$V$15, 2, 0)*IF(MOD($G255,10)=0, 10, MOD($G255, 10))*((INDEX(Factor!$X$4:$AC$13, _xlfn.XMATCH($G255, Factor!$X$4:$X$13, 1),2)*IF(MOD(G255, 10) = 0, 10, MOD(G255, 10)))+INDEX(Factor!$AE$4:$AJ$13, _xlfn.XMATCH(MonsterData!$G255, Factor!$AE$4:$AE$13, 1),2))</f>
        <v>16588.8</v>
      </c>
      <c r="V255" s="21" cm="1">
        <f t="array" ref="V255">M255*VLOOKUP($I255, Factor!$B$4:$G$8, 3, 0)*VLOOKUP($J255, Factor!$B$12:$G$13, 3, 0)*VLOOKUP($K255, Factor!$B$17:$G$18, 3, 0)*VLOOKUP($H255, Factor!$J$4:$O$7, 3, 0)*VLOOKUP($F255, Factor!$Q$4:$V$15, 3, 0)*IF(MOD($G255,10)=0, 10, MOD($G255, 10))*((INDEX(Factor!$X$4:$AC$13, _xlfn.XMATCH($G255, Factor!$X$4:$X$13, 1),3)*IF(MOD(G255, 10) = 0, 10, MOD(G255, 10)))+INDEX(Factor!$AE$4:$AJ$13, _xlfn.XMATCH(MonsterData!$G255, Factor!$AE$4:$AE$13, 1),3))</f>
        <v>829.44</v>
      </c>
      <c r="W255" s="21" cm="1">
        <f t="array" ref="W255">N255*VLOOKUP($I255, Factor!$B$4:$G$8, 4, 0)*VLOOKUP($J255, Factor!$B$12:$G$13, 4, 0)*VLOOKUP($K255, Factor!$B$17:$G$18, 4, 0)*VLOOKUP($H255, Factor!$J$4:$O$7, 4, 0)*VLOOKUP($F255, Factor!$Q$4:$V$15, 4, 0)*IF(MOD($G255,10)=0, 10, MOD($G255, 10))*((INDEX(Factor!$X$4:$AC$13, _xlfn.XMATCH($G255, Factor!$X$4:$X$13, 1),4)*IF(MOD(G255, 10) = 0, 10, MOD(G255, 10)))+INDEX(Factor!$AE$4:$AJ$13, _xlfn.XMATCH(MonsterData!$G255, Factor!$AE$4:$AE$13, 1),4))</f>
        <v>497.66399999999999</v>
      </c>
      <c r="X255" s="21" cm="1">
        <f t="array" ref="X255">O255*VLOOKUP($I255, Factor!$B$4:$G$8, 5, 0)*VLOOKUP($J255, Factor!$B$12:$G$13, 5, 0)*VLOOKUP($K255, Factor!$B$17:$G$18, 5, 0)*VLOOKUP($H255, Factor!$J$4:$O$7, 5, 0)*VLOOKUP($F255, Factor!$Q$4:$V$15, 5, 0)*IF(MOD($G255,10)=0, 10, MOD($G255, 10))*((INDEX(Factor!$X$4:$AC$13, _xlfn.XMATCH($G255, Factor!$X$4:$X$13, 1),5)*IF(MOD(G255, 10) = 0, 10, MOD(G255, 10)))+INDEX(Factor!$AE$4:$AJ$13, _xlfn.XMATCH(MonsterData!$G255, Factor!$AE$4:$AE$13, 1),5))</f>
        <v>138.24</v>
      </c>
      <c r="Y255" s="21" cm="1">
        <f t="array" ref="Y255">P255*VLOOKUP($I255, Factor!$B$4:$G$8, 6, 0)*VLOOKUP($J255, Factor!$B$12:$G$13, 6, 0)*VLOOKUP($K255, Factor!$B$17:$G$18, 6, 0)*VLOOKUP($H255, Factor!$J$4:$O$7, 2, 0)*VLOOKUP($F255, Factor!$Q$4:$V$15, 6, 0)*IF(MOD($G255,10)=0, 10, MOD($G255, 10))*((INDEX(Factor!$X$4:$AC$13, _xlfn.XMATCH($G255, Factor!$X$4:$X$13, 1),6)*IF(MOD(G255, 10) = 0, 10, MOD(G255, 10)))+INDEX(Factor!$AE$4:$AJ$13, _xlfn.XMATCH(MonsterData!$G255, Factor!$AE$4:$AE$13, 1),6))</f>
        <v>552.96</v>
      </c>
      <c r="Z255" s="21">
        <f>$Q255*VLOOKUP($J255, Factor!$B$12:$H$13, 7, 0)</f>
        <v>1</v>
      </c>
      <c r="AA255" s="13">
        <v>1</v>
      </c>
      <c r="AB255" s="21">
        <f t="shared" si="13"/>
        <v>0</v>
      </c>
      <c r="AC255" s="13" t="s">
        <v>139</v>
      </c>
      <c r="AD255" s="15" t="s">
        <v>142</v>
      </c>
    </row>
    <row r="256" spans="1:30" ht="15.75" customHeight="1">
      <c r="A256" s="16" t="str">
        <f>T256&amp;"_"&amp;F256&amp;VLOOKUP($C256, Factor!$AM$4:$AY$30, 7, 0)&amp;IF(COUNTIFS($C$4:C255, C256, $F$4:F255, F256)+1&gt;=100, COUNTIFS($C$4:C255, C256, $F$4:F255, F256)+1,IF(COUNTIFS($C$4:C255, C256, $F$4:F255, F256)+1&gt;=10, "0"&amp;COUNTIFS($C$4:C255, C256, $F$4:F255, F256)+1, "00"&amp;COUNTIFS($C$4:C255, C256, $F$4:F255, F256)+1))</f>
        <v>enpc_F04_A_Cocoon_004</v>
      </c>
      <c r="B256" s="16"/>
      <c r="C256" s="16" t="s">
        <v>270</v>
      </c>
      <c r="D256" s="17" t="str">
        <f t="shared" si="12"/>
        <v>코쿤</v>
      </c>
      <c r="E256" s="17" t="str">
        <f>VLOOKUP($C256, Factor!$AM$4:$AY$30, 8, 0)</f>
        <v>M</v>
      </c>
      <c r="F256" s="17" t="s">
        <v>112</v>
      </c>
      <c r="G256" s="20">
        <v>39</v>
      </c>
      <c r="H256" s="16" t="s">
        <v>55</v>
      </c>
      <c r="I256" s="17" t="str">
        <f>VLOOKUP($C256, Factor!$AM$4:$AY$30, 11, 0)</f>
        <v>A</v>
      </c>
      <c r="J256" s="17" t="str">
        <f>VLOOKUP($C256, Factor!$AM$4:$AY$30, 12, 0)</f>
        <v>ml</v>
      </c>
      <c r="K256" s="17" t="str">
        <f>VLOOKUP($C256, Factor!$AM$4:$AY$30, 13, 0)</f>
        <v>L</v>
      </c>
      <c r="L256" s="17">
        <v>1</v>
      </c>
      <c r="M256" s="17">
        <v>1</v>
      </c>
      <c r="N256" s="17">
        <v>1</v>
      </c>
      <c r="O256" s="17">
        <v>1</v>
      </c>
      <c r="P256" s="17">
        <v>1</v>
      </c>
      <c r="Q256" s="17">
        <v>1</v>
      </c>
      <c r="R256" s="17" t="str">
        <f>VLOOKUP($C256, Factor!$AM$4:$AY$30, 9, 0)</f>
        <v>Midium</v>
      </c>
      <c r="S256" s="17" t="s">
        <v>196</v>
      </c>
      <c r="T256" s="17" t="str">
        <f>VLOOKUP($C256, Factor!$AM$4:$AY$30, 10, 0)</f>
        <v>enpc</v>
      </c>
      <c r="U256" s="17" cm="1">
        <f t="array" ref="U256">L256*VLOOKUP($I256, Factor!$B$4:$G$8, 2, 0)*VLOOKUP($J256, Factor!$B$12:$G$13, 2, 0)*VLOOKUP($K256, Factor!$B$17:$G$18, 2, 0)*VLOOKUP($H256, Factor!$J$4:$O$7, 2, 0)*VLOOKUP($F256, Factor!$Q$4:$V$15, 2, 0)*IF(MOD($G256,10)=0, 10, MOD($G256, 10))*((INDEX(Factor!$X$4:$AC$13, _xlfn.XMATCH($G256, Factor!$X$4:$X$13, 1),2)*IF(MOD(G256, 10) = 0, 10, MOD(G256, 10)))+INDEX(Factor!$AE$4:$AJ$13, _xlfn.XMATCH(MonsterData!$G256, Factor!$AE$4:$AE$13, 1),2))</f>
        <v>20736</v>
      </c>
      <c r="V256" s="17" cm="1">
        <f t="array" ref="V256">M256*VLOOKUP($I256, Factor!$B$4:$G$8, 3, 0)*VLOOKUP($J256, Factor!$B$12:$G$13, 3, 0)*VLOOKUP($K256, Factor!$B$17:$G$18, 3, 0)*VLOOKUP($H256, Factor!$J$4:$O$7, 3, 0)*VLOOKUP($F256, Factor!$Q$4:$V$15, 3, 0)*IF(MOD($G256,10)=0, 10, MOD($G256, 10))*((INDEX(Factor!$X$4:$AC$13, _xlfn.XMATCH($G256, Factor!$X$4:$X$13, 1),3)*IF(MOD(G256, 10) = 0, 10, MOD(G256, 10)))+INDEX(Factor!$AE$4:$AJ$13, _xlfn.XMATCH(MonsterData!$G256, Factor!$AE$4:$AE$13, 1),3))</f>
        <v>1036.8</v>
      </c>
      <c r="W256" s="17" cm="1">
        <f t="array" ref="W256">N256*VLOOKUP($I256, Factor!$B$4:$G$8, 4, 0)*VLOOKUP($J256, Factor!$B$12:$G$13, 4, 0)*VLOOKUP($K256, Factor!$B$17:$G$18, 4, 0)*VLOOKUP($H256, Factor!$J$4:$O$7, 4, 0)*VLOOKUP($F256, Factor!$Q$4:$V$15, 4, 0)*IF(MOD($G256,10)=0, 10, MOD($G256, 10))*((INDEX(Factor!$X$4:$AC$13, _xlfn.XMATCH($G256, Factor!$X$4:$X$13, 1),4)*IF(MOD(G256, 10) = 0, 10, MOD(G256, 10)))+INDEX(Factor!$AE$4:$AJ$13, _xlfn.XMATCH(MonsterData!$G256, Factor!$AE$4:$AE$13, 1),4))</f>
        <v>622.07999999999993</v>
      </c>
      <c r="X256" s="17" cm="1">
        <f t="array" ref="X256">O256*VLOOKUP($I256, Factor!$B$4:$G$8, 5, 0)*VLOOKUP($J256, Factor!$B$12:$G$13, 5, 0)*VLOOKUP($K256, Factor!$B$17:$G$18, 5, 0)*VLOOKUP($H256, Factor!$J$4:$O$7, 5, 0)*VLOOKUP($F256, Factor!$Q$4:$V$15, 5, 0)*IF(MOD($G256,10)=0, 10, MOD($G256, 10))*((INDEX(Factor!$X$4:$AC$13, _xlfn.XMATCH($G256, Factor!$X$4:$X$13, 1),5)*IF(MOD(G256, 10) = 0, 10, MOD(G256, 10)))+INDEX(Factor!$AE$4:$AJ$13, _xlfn.XMATCH(MonsterData!$G256, Factor!$AE$4:$AE$13, 1),5))</f>
        <v>138.24</v>
      </c>
      <c r="Y256" s="17" cm="1">
        <f t="array" ref="Y256">P256*VLOOKUP($I256, Factor!$B$4:$G$8, 6, 0)*VLOOKUP($J256, Factor!$B$12:$G$13, 6, 0)*VLOOKUP($K256, Factor!$B$17:$G$18, 6, 0)*VLOOKUP($H256, Factor!$J$4:$O$7, 2, 0)*VLOOKUP($F256, Factor!$Q$4:$V$15, 6, 0)*IF(MOD($G256,10)=0, 10, MOD($G256, 10))*((INDEX(Factor!$X$4:$AC$13, _xlfn.XMATCH($G256, Factor!$X$4:$X$13, 1),6)*IF(MOD(G256, 10) = 0, 10, MOD(G256, 10)))+INDEX(Factor!$AE$4:$AJ$13, _xlfn.XMATCH(MonsterData!$G256, Factor!$AE$4:$AE$13, 1),6))</f>
        <v>691.19999999999993</v>
      </c>
      <c r="Z256" s="17">
        <f>$Q256*VLOOKUP($J256, Factor!$B$12:$H$13, 7, 0)</f>
        <v>1</v>
      </c>
      <c r="AA256" s="17">
        <v>1</v>
      </c>
      <c r="AB256" s="17">
        <f t="shared" si="13"/>
        <v>0</v>
      </c>
      <c r="AC256" s="17" t="s">
        <v>139</v>
      </c>
      <c r="AD256" s="19" t="s">
        <v>142</v>
      </c>
    </row>
    <row r="257" spans="1:30" ht="15.75" customHeight="1">
      <c r="A257" s="13" t="str">
        <f>T257&amp;"_"&amp;F257&amp;VLOOKUP($C257, Factor!$AM$4:$AY$30, 7, 0)&amp;IF(COUNTIFS($C$4:C256, C257, $F$4:F256, F257)+1&gt;=100, COUNTIFS($C$4:C256, C257, $F$4:F256, F257)+1,IF(COUNTIFS($C$4:C256, C257, $F$4:F256, F257)+1&gt;=10, "0"&amp;COUNTIFS($C$4:C256, C257, $F$4:F256, F257)+1, "00"&amp;COUNTIFS($C$4:C256, C257, $F$4:F256, F257)+1))</f>
        <v>enpc_F04_A_Antlion_004</v>
      </c>
      <c r="B257" s="13"/>
      <c r="C257" s="13" t="s">
        <v>38</v>
      </c>
      <c r="D257" s="21" t="str">
        <f t="shared" si="12"/>
        <v>앤틸리온</v>
      </c>
      <c r="E257" s="21" t="str">
        <f>VLOOKUP($C257, Factor!$AM$4:$AY$30, 8, 0)</f>
        <v>M</v>
      </c>
      <c r="F257" s="21" t="s">
        <v>112</v>
      </c>
      <c r="G257" s="22">
        <v>39</v>
      </c>
      <c r="H257" s="13" t="s">
        <v>55</v>
      </c>
      <c r="I257" s="21" t="str">
        <f>VLOOKUP($C257, Factor!$AM$4:$AY$30, 11, 0)</f>
        <v>A</v>
      </c>
      <c r="J257" s="21" t="str">
        <f>VLOOKUP($C257, Factor!$AM$4:$AY$30, 12, 0)</f>
        <v>ra</v>
      </c>
      <c r="K257" s="21" t="str">
        <f>VLOOKUP($C257, Factor!$AM$4:$AY$30, 13, 0)</f>
        <v>L</v>
      </c>
      <c r="L257" s="13">
        <v>1</v>
      </c>
      <c r="M257" s="13">
        <v>1</v>
      </c>
      <c r="N257" s="13">
        <v>1</v>
      </c>
      <c r="O257" s="13">
        <v>1</v>
      </c>
      <c r="P257" s="13">
        <v>1</v>
      </c>
      <c r="Q257" s="13">
        <v>1</v>
      </c>
      <c r="R257" s="21" t="str">
        <f>VLOOKUP($C257, Factor!$AM$4:$AY$30, 9, 0)</f>
        <v>Midium</v>
      </c>
      <c r="S257" s="13" t="s">
        <v>397</v>
      </c>
      <c r="T257" s="21" t="str">
        <f>VLOOKUP($C257, Factor!$AM$4:$AY$30, 10, 0)</f>
        <v>enpc</v>
      </c>
      <c r="U257" s="21" cm="1">
        <f t="array" ref="U257">L257*VLOOKUP($I257, Factor!$B$4:$G$8, 2, 0)*VLOOKUP($J257, Factor!$B$12:$G$13, 2, 0)*VLOOKUP($K257, Factor!$B$17:$G$18, 2, 0)*VLOOKUP($H257, Factor!$J$4:$O$7, 2, 0)*VLOOKUP($F257, Factor!$Q$4:$V$15, 2, 0)*IF(MOD($G257,10)=0, 10, MOD($G257, 10))*((INDEX(Factor!$X$4:$AC$13, _xlfn.XMATCH($G257, Factor!$X$4:$X$13, 1),2)*IF(MOD(G257, 10) = 0, 10, MOD(G257, 10)))+INDEX(Factor!$AE$4:$AJ$13, _xlfn.XMATCH(MonsterData!$G257, Factor!$AE$4:$AE$13, 1),2))</f>
        <v>16588.8</v>
      </c>
      <c r="V257" s="21" cm="1">
        <f t="array" ref="V257">M257*VLOOKUP($I257, Factor!$B$4:$G$8, 3, 0)*VLOOKUP($J257, Factor!$B$12:$G$13, 3, 0)*VLOOKUP($K257, Factor!$B$17:$G$18, 3, 0)*VLOOKUP($H257, Factor!$J$4:$O$7, 3, 0)*VLOOKUP($F257, Factor!$Q$4:$V$15, 3, 0)*IF(MOD($G257,10)=0, 10, MOD($G257, 10))*((INDEX(Factor!$X$4:$AC$13, _xlfn.XMATCH($G257, Factor!$X$4:$X$13, 1),3)*IF(MOD(G257, 10) = 0, 10, MOD(G257, 10)))+INDEX(Factor!$AE$4:$AJ$13, _xlfn.XMATCH(MonsterData!$G257, Factor!$AE$4:$AE$13, 1),3))</f>
        <v>829.44</v>
      </c>
      <c r="W257" s="21" cm="1">
        <f t="array" ref="W257">N257*VLOOKUP($I257, Factor!$B$4:$G$8, 4, 0)*VLOOKUP($J257, Factor!$B$12:$G$13, 4, 0)*VLOOKUP($K257, Factor!$B$17:$G$18, 4, 0)*VLOOKUP($H257, Factor!$J$4:$O$7, 4, 0)*VLOOKUP($F257, Factor!$Q$4:$V$15, 4, 0)*IF(MOD($G257,10)=0, 10, MOD($G257, 10))*((INDEX(Factor!$X$4:$AC$13, _xlfn.XMATCH($G257, Factor!$X$4:$X$13, 1),4)*IF(MOD(G257, 10) = 0, 10, MOD(G257, 10)))+INDEX(Factor!$AE$4:$AJ$13, _xlfn.XMATCH(MonsterData!$G257, Factor!$AE$4:$AE$13, 1),4))</f>
        <v>746.49599999999987</v>
      </c>
      <c r="X257" s="21" cm="1">
        <f t="array" ref="X257">O257*VLOOKUP($I257, Factor!$B$4:$G$8, 5, 0)*VLOOKUP($J257, Factor!$B$12:$G$13, 5, 0)*VLOOKUP($K257, Factor!$B$17:$G$18, 5, 0)*VLOOKUP($H257, Factor!$J$4:$O$7, 5, 0)*VLOOKUP($F257, Factor!$Q$4:$V$15, 5, 0)*IF(MOD($G257,10)=0, 10, MOD($G257, 10))*((INDEX(Factor!$X$4:$AC$13, _xlfn.XMATCH($G257, Factor!$X$4:$X$13, 1),5)*IF(MOD(G257, 10) = 0, 10, MOD(G257, 10)))+INDEX(Factor!$AE$4:$AJ$13, _xlfn.XMATCH(MonsterData!$G257, Factor!$AE$4:$AE$13, 1),5))</f>
        <v>207.36</v>
      </c>
      <c r="Y257" s="21" cm="1">
        <f t="array" ref="Y257">P257*VLOOKUP($I257, Factor!$B$4:$G$8, 6, 0)*VLOOKUP($J257, Factor!$B$12:$G$13, 6, 0)*VLOOKUP($K257, Factor!$B$17:$G$18, 6, 0)*VLOOKUP($H257, Factor!$J$4:$O$7, 2, 0)*VLOOKUP($F257, Factor!$Q$4:$V$15, 6, 0)*IF(MOD($G257,10)=0, 10, MOD($G257, 10))*((INDEX(Factor!$X$4:$AC$13, _xlfn.XMATCH($G257, Factor!$X$4:$X$13, 1),6)*IF(MOD(G257, 10) = 0, 10, MOD(G257, 10)))+INDEX(Factor!$AE$4:$AJ$13, _xlfn.XMATCH(MonsterData!$G257, Factor!$AE$4:$AE$13, 1),6))</f>
        <v>691.19999999999993</v>
      </c>
      <c r="Z257" s="21">
        <f>$Q257*VLOOKUP($J257, Factor!$B$12:$H$13, 7, 0)</f>
        <v>4</v>
      </c>
      <c r="AA257" s="13">
        <v>1</v>
      </c>
      <c r="AB257" s="21">
        <f t="shared" si="13"/>
        <v>4</v>
      </c>
      <c r="AC257" s="13" t="s">
        <v>139</v>
      </c>
      <c r="AD257" s="15" t="s">
        <v>142</v>
      </c>
    </row>
    <row r="258" spans="1:30" ht="15.75" customHeight="1">
      <c r="A258" s="16" t="str">
        <f>T258&amp;"_"&amp;F258&amp;VLOOKUP($C258, Factor!$AM$4:$AY$30, 7, 0)&amp;IF(COUNTIFS($C$4:C257, C258, $F$4:F257, F258)+1&gt;=100, COUNTIFS($C$4:C257, C258, $F$4:F257, F258)+1,IF(COUNTIFS($C$4:C257, C258, $F$4:F257, F258)+1&gt;=10, "0"&amp;COUNTIFS($C$4:C257, C258, $F$4:F257, F258)+1, "00"&amp;COUNTIFS($C$4:C257, C258, $F$4:F257, F258)+1))</f>
        <v>enpc_F04_A_Nymphe_004</v>
      </c>
      <c r="B258" s="16"/>
      <c r="C258" s="16" t="s">
        <v>39</v>
      </c>
      <c r="D258" s="17" t="str">
        <f t="shared" si="12"/>
        <v>님프</v>
      </c>
      <c r="E258" s="17" t="str">
        <f>VLOOKUP($C258, Factor!$AM$4:$AY$30, 8, 0)</f>
        <v>S</v>
      </c>
      <c r="F258" s="17" t="s">
        <v>112</v>
      </c>
      <c r="G258" s="20">
        <v>39</v>
      </c>
      <c r="H258" s="16" t="s">
        <v>55</v>
      </c>
      <c r="I258" s="17" t="str">
        <f>VLOOKUP($C258, Factor!$AM$4:$AY$30, 11, 0)</f>
        <v>A</v>
      </c>
      <c r="J258" s="17" t="str">
        <f>VLOOKUP($C258, Factor!$AM$4:$AY$30, 12, 0)</f>
        <v>ml</v>
      </c>
      <c r="K258" s="17" t="str">
        <f>VLOOKUP($C258, Factor!$AM$4:$AY$30, 13, 0)</f>
        <v>F</v>
      </c>
      <c r="L258" s="17">
        <v>1</v>
      </c>
      <c r="M258" s="17">
        <v>1</v>
      </c>
      <c r="N258" s="17">
        <v>1</v>
      </c>
      <c r="O258" s="17">
        <v>1</v>
      </c>
      <c r="P258" s="17">
        <v>1</v>
      </c>
      <c r="Q258" s="17">
        <v>1</v>
      </c>
      <c r="R258" s="17" t="str">
        <f>VLOOKUP($C258, Factor!$AM$4:$AY$30, 9, 0)</f>
        <v>Small</v>
      </c>
      <c r="S258" s="17" t="s">
        <v>197</v>
      </c>
      <c r="T258" s="17" t="str">
        <f>VLOOKUP($C258, Factor!$AM$4:$AY$30, 10, 0)</f>
        <v>enpc</v>
      </c>
      <c r="U258" s="17" cm="1">
        <f t="array" ref="U258">L258*VLOOKUP($I258, Factor!$B$4:$G$8, 2, 0)*VLOOKUP($J258, Factor!$B$12:$G$13, 2, 0)*VLOOKUP($K258, Factor!$B$17:$G$18, 2, 0)*VLOOKUP($H258, Factor!$J$4:$O$7, 2, 0)*VLOOKUP($F258, Factor!$Q$4:$V$15, 2, 0)*IF(MOD($G258,10)=0, 10, MOD($G258, 10))*((INDEX(Factor!$X$4:$AC$13, _xlfn.XMATCH($G258, Factor!$X$4:$X$13, 1),2)*IF(MOD(G258, 10) = 0, 10, MOD(G258, 10)))+INDEX(Factor!$AE$4:$AJ$13, _xlfn.XMATCH(MonsterData!$G258, Factor!$AE$4:$AE$13, 1),2))</f>
        <v>13824</v>
      </c>
      <c r="V258" s="17" cm="1">
        <f t="array" ref="V258">M258*VLOOKUP($I258, Factor!$B$4:$G$8, 3, 0)*VLOOKUP($J258, Factor!$B$12:$G$13, 3, 0)*VLOOKUP($K258, Factor!$B$17:$G$18, 3, 0)*VLOOKUP($H258, Factor!$J$4:$O$7, 3, 0)*VLOOKUP($F258, Factor!$Q$4:$V$15, 3, 0)*IF(MOD($G258,10)=0, 10, MOD($G258, 10))*((INDEX(Factor!$X$4:$AC$13, _xlfn.XMATCH($G258, Factor!$X$4:$X$13, 1),3)*IF(MOD(G258, 10) = 0, 10, MOD(G258, 10)))+INDEX(Factor!$AE$4:$AJ$13, _xlfn.XMATCH(MonsterData!$G258, Factor!$AE$4:$AE$13, 1),3))</f>
        <v>691.19999999999993</v>
      </c>
      <c r="W258" s="17" cm="1">
        <f t="array" ref="W258">N258*VLOOKUP($I258, Factor!$B$4:$G$8, 4, 0)*VLOOKUP($J258, Factor!$B$12:$G$13, 4, 0)*VLOOKUP($K258, Factor!$B$17:$G$18, 4, 0)*VLOOKUP($H258, Factor!$J$4:$O$7, 4, 0)*VLOOKUP($F258, Factor!$Q$4:$V$15, 4, 0)*IF(MOD($G258,10)=0, 10, MOD($G258, 10))*((INDEX(Factor!$X$4:$AC$13, _xlfn.XMATCH($G258, Factor!$X$4:$X$13, 1),4)*IF(MOD(G258, 10) = 0, 10, MOD(G258, 10)))+INDEX(Factor!$AE$4:$AJ$13, _xlfn.XMATCH(MonsterData!$G258, Factor!$AE$4:$AE$13, 1),4))</f>
        <v>414.72</v>
      </c>
      <c r="X258" s="17" cm="1">
        <f t="array" ref="X258">O258*VLOOKUP($I258, Factor!$B$4:$G$8, 5, 0)*VLOOKUP($J258, Factor!$B$12:$G$13, 5, 0)*VLOOKUP($K258, Factor!$B$17:$G$18, 5, 0)*VLOOKUP($H258, Factor!$J$4:$O$7, 5, 0)*VLOOKUP($F258, Factor!$Q$4:$V$15, 5, 0)*IF(MOD($G258,10)=0, 10, MOD($G258, 10))*((INDEX(Factor!$X$4:$AC$13, _xlfn.XMATCH($G258, Factor!$X$4:$X$13, 1),5)*IF(MOD(G258, 10) = 0, 10, MOD(G258, 10)))+INDEX(Factor!$AE$4:$AJ$13, _xlfn.XMATCH(MonsterData!$G258, Factor!$AE$4:$AE$13, 1),5))</f>
        <v>138.24</v>
      </c>
      <c r="Y258" s="17" cm="1">
        <f t="array" ref="Y258">P258*VLOOKUP($I258, Factor!$B$4:$G$8, 6, 0)*VLOOKUP($J258, Factor!$B$12:$G$13, 6, 0)*VLOOKUP($K258, Factor!$B$17:$G$18, 6, 0)*VLOOKUP($H258, Factor!$J$4:$O$7, 2, 0)*VLOOKUP($F258, Factor!$Q$4:$V$15, 6, 0)*IF(MOD($G258,10)=0, 10, MOD($G258, 10))*((INDEX(Factor!$X$4:$AC$13, _xlfn.XMATCH($G258, Factor!$X$4:$X$13, 1),6)*IF(MOD(G258, 10) = 0, 10, MOD(G258, 10)))+INDEX(Factor!$AE$4:$AJ$13, _xlfn.XMATCH(MonsterData!$G258, Factor!$AE$4:$AE$13, 1),6))</f>
        <v>2073.6</v>
      </c>
      <c r="Z258" s="17">
        <f>$Q258*VLOOKUP($J258, Factor!$B$12:$H$13, 7, 0)</f>
        <v>1</v>
      </c>
      <c r="AA258" s="17">
        <v>1</v>
      </c>
      <c r="AB258" s="17">
        <f t="shared" si="13"/>
        <v>0</v>
      </c>
      <c r="AC258" s="17" t="s">
        <v>139</v>
      </c>
      <c r="AD258" s="19" t="s">
        <v>142</v>
      </c>
    </row>
    <row r="259" spans="1:30" ht="15.75" customHeight="1">
      <c r="A259" s="13" t="str">
        <f>T259&amp;"_"&amp;F259&amp;VLOOKUP($C259, Factor!$AM$4:$AY$30, 7, 0)&amp;IF(COUNTIFS($C$4:C258, C259, $F$4:F258, F259)+1&gt;=100, COUNTIFS($C$4:C258, C259, $F$4:F258, F259)+1,IF(COUNTIFS($C$4:C258, C259, $F$4:F258, F259)+1&gt;=10, "0"&amp;COUNTIFS($C$4:C258, C259, $F$4:F258, F259)+1, "00"&amp;COUNTIFS($C$4:C258, C259, $F$4:F258, F259)+1))</f>
        <v>enpc_F04_B_Golem_004</v>
      </c>
      <c r="B259" s="13"/>
      <c r="C259" s="13" t="s">
        <v>40</v>
      </c>
      <c r="D259" s="21" t="str">
        <f t="shared" si="12"/>
        <v>골렘</v>
      </c>
      <c r="E259" s="21" t="str">
        <f>VLOOKUP($C259, Factor!$AM$4:$AY$30, 8, 0)</f>
        <v>B</v>
      </c>
      <c r="F259" s="21" t="s">
        <v>112</v>
      </c>
      <c r="G259" s="22">
        <v>62</v>
      </c>
      <c r="H259" s="13" t="s">
        <v>57</v>
      </c>
      <c r="I259" s="21" t="str">
        <f>VLOOKUP($C259, Factor!$AM$4:$AY$30, 11, 0)</f>
        <v>B</v>
      </c>
      <c r="J259" s="21" t="str">
        <f>VLOOKUP($C259, Factor!$AM$4:$AY$30, 12, 0)</f>
        <v>ml</v>
      </c>
      <c r="K259" s="21" t="str">
        <f>VLOOKUP($C259, Factor!$AM$4:$AY$30, 13, 0)</f>
        <v>L</v>
      </c>
      <c r="L259" s="13">
        <v>1</v>
      </c>
      <c r="M259" s="13">
        <v>1</v>
      </c>
      <c r="N259" s="13">
        <v>1</v>
      </c>
      <c r="O259" s="13">
        <v>1</v>
      </c>
      <c r="P259" s="13">
        <v>1</v>
      </c>
      <c r="Q259" s="13">
        <v>1</v>
      </c>
      <c r="R259" s="21" t="str">
        <f>VLOOKUP($C259, Factor!$AM$4:$AY$30, 9, 0)</f>
        <v>Big</v>
      </c>
      <c r="S259" s="13" t="s">
        <v>398</v>
      </c>
      <c r="T259" s="21" t="str">
        <f>VLOOKUP($C259, Factor!$AM$4:$AY$30, 10, 0)</f>
        <v>enpc</v>
      </c>
      <c r="U259" s="21" cm="1">
        <f t="array" ref="U259">L259*VLOOKUP($I259, Factor!$B$4:$G$8, 2, 0)*VLOOKUP($J259, Factor!$B$12:$G$13, 2, 0)*VLOOKUP($K259, Factor!$B$17:$G$18, 2, 0)*VLOOKUP($H259, Factor!$J$4:$O$7, 2, 0)*VLOOKUP($F259, Factor!$Q$4:$V$15, 2, 0)*IF(MOD($G259,10)=0, 10, MOD($G259, 10))*((INDEX(Factor!$X$4:$AC$13, _xlfn.XMATCH($G259, Factor!$X$4:$X$13, 1),2)*IF(MOD(G259, 10) = 0, 10, MOD(G259, 10)))+INDEX(Factor!$AE$4:$AJ$13, _xlfn.XMATCH(MonsterData!$G259, Factor!$AE$4:$AE$13, 1),2))</f>
        <v>107520</v>
      </c>
      <c r="V259" s="21" cm="1">
        <f t="array" ref="V259">M259*VLOOKUP($I259, Factor!$B$4:$G$8, 3, 0)*VLOOKUP($J259, Factor!$B$12:$G$13, 3, 0)*VLOOKUP($K259, Factor!$B$17:$G$18, 3, 0)*VLOOKUP($H259, Factor!$J$4:$O$7, 3, 0)*VLOOKUP($F259, Factor!$Q$4:$V$15, 3, 0)*IF(MOD($G259,10)=0, 10, MOD($G259, 10))*((INDEX(Factor!$X$4:$AC$13, _xlfn.XMATCH($G259, Factor!$X$4:$X$13, 1),3)*IF(MOD(G259, 10) = 0, 10, MOD(G259, 10)))+INDEX(Factor!$AE$4:$AJ$13, _xlfn.XMATCH(MonsterData!$G259, Factor!$AE$4:$AE$13, 1),3))</f>
        <v>5376</v>
      </c>
      <c r="W259" s="21" cm="1">
        <f t="array" ref="W259">N259*VLOOKUP($I259, Factor!$B$4:$G$8, 4, 0)*VLOOKUP($J259, Factor!$B$12:$G$13, 4, 0)*VLOOKUP($K259, Factor!$B$17:$G$18, 4, 0)*VLOOKUP($H259, Factor!$J$4:$O$7, 4, 0)*VLOOKUP($F259, Factor!$Q$4:$V$15, 4, 0)*IF(MOD($G259,10)=0, 10, MOD($G259, 10))*((INDEX(Factor!$X$4:$AC$13, _xlfn.XMATCH($G259, Factor!$X$4:$X$13, 1),4)*IF(MOD(G259, 10) = 0, 10, MOD(G259, 10)))+INDEX(Factor!$AE$4:$AJ$13, _xlfn.XMATCH(MonsterData!$G259, Factor!$AE$4:$AE$13, 1),4))</f>
        <v>268.79999999999995</v>
      </c>
      <c r="X259" s="21" cm="1">
        <f t="array" ref="X259">O259*VLOOKUP($I259, Factor!$B$4:$G$8, 5, 0)*VLOOKUP($J259, Factor!$B$12:$G$13, 5, 0)*VLOOKUP($K259, Factor!$B$17:$G$18, 5, 0)*VLOOKUP($H259, Factor!$J$4:$O$7, 5, 0)*VLOOKUP($F259, Factor!$Q$4:$V$15, 5, 0)*IF(MOD($G259,10)=0, 10, MOD($G259, 10))*((INDEX(Factor!$X$4:$AC$13, _xlfn.XMATCH($G259, Factor!$X$4:$X$13, 1),5)*IF(MOD(G259, 10) = 0, 10, MOD(G259, 10)))+INDEX(Factor!$AE$4:$AJ$13, _xlfn.XMATCH(MonsterData!$G259, Factor!$AE$4:$AE$13, 1),5))</f>
        <v>286.71999999999997</v>
      </c>
      <c r="Y259" s="21" cm="1">
        <f t="array" ref="Y259">P259*VLOOKUP($I259, Factor!$B$4:$G$8, 6, 0)*VLOOKUP($J259, Factor!$B$12:$G$13, 6, 0)*VLOOKUP($K259, Factor!$B$17:$G$18, 6, 0)*VLOOKUP($H259, Factor!$J$4:$O$7, 2, 0)*VLOOKUP($F259, Factor!$Q$4:$V$15, 6, 0)*IF(MOD($G259,10)=0, 10, MOD($G259, 10))*((INDEX(Factor!$X$4:$AC$13, _xlfn.XMATCH($G259, Factor!$X$4:$X$13, 1),6)*IF(MOD(G259, 10) = 0, 10, MOD(G259, 10)))+INDEX(Factor!$AE$4:$AJ$13, _xlfn.XMATCH(MonsterData!$G259, Factor!$AE$4:$AE$13, 1),6))</f>
        <v>573.43999999999994</v>
      </c>
      <c r="Z259" s="21">
        <f>$Q259*VLOOKUP($J259, Factor!$B$12:$H$13, 7, 0)</f>
        <v>1</v>
      </c>
      <c r="AA259" s="13">
        <v>1</v>
      </c>
      <c r="AB259" s="21">
        <f t="shared" si="13"/>
        <v>0</v>
      </c>
      <c r="AC259" s="13" t="s">
        <v>140</v>
      </c>
      <c r="AD259" s="15" t="s">
        <v>143</v>
      </c>
    </row>
    <row r="260" spans="1:30" ht="15.75" customHeight="1">
      <c r="A260" s="16" t="str">
        <f>T260&amp;"_"&amp;F260&amp;VLOOKUP($C260, Factor!$AM$4:$AY$30, 7, 0)&amp;IF(COUNTIFS($C$4:C259, C260, $F$4:F259, F260)+1&gt;=100, COUNTIFS($C$4:C259, C260, $F$4:F259, F260)+1,IF(COUNTIFS($C$4:C259, C260, $F$4:F259, F260)+1&gt;=10, "0"&amp;COUNTIFS($C$4:C259, C260, $F$4:F259, F260)+1, "00"&amp;COUNTIFS($C$4:C259, C260, $F$4:F259, F260)+1))</f>
        <v>enpc_F04_B_Banshee_004</v>
      </c>
      <c r="B260" s="16"/>
      <c r="C260" s="16" t="s">
        <v>42</v>
      </c>
      <c r="D260" s="17" t="str">
        <f t="shared" si="12"/>
        <v>밴시</v>
      </c>
      <c r="E260" s="17" t="str">
        <f>VLOOKUP($C260, Factor!$AM$4:$AY$30, 8, 0)</f>
        <v>S</v>
      </c>
      <c r="F260" s="17" t="s">
        <v>112</v>
      </c>
      <c r="G260" s="20">
        <v>62</v>
      </c>
      <c r="H260" s="16" t="s">
        <v>56</v>
      </c>
      <c r="I260" s="17" t="str">
        <f>VLOOKUP($C260, Factor!$AM$4:$AY$30, 11, 0)</f>
        <v>B</v>
      </c>
      <c r="J260" s="17" t="str">
        <f>VLOOKUP($C260, Factor!$AM$4:$AY$30, 12, 0)</f>
        <v>ra</v>
      </c>
      <c r="K260" s="17" t="str">
        <f>VLOOKUP($C260, Factor!$AM$4:$AY$30, 13, 0)</f>
        <v>L</v>
      </c>
      <c r="L260" s="17">
        <v>1</v>
      </c>
      <c r="M260" s="17">
        <v>1</v>
      </c>
      <c r="N260" s="17">
        <v>1</v>
      </c>
      <c r="O260" s="17">
        <v>1</v>
      </c>
      <c r="P260" s="17">
        <v>1</v>
      </c>
      <c r="Q260" s="17">
        <v>1</v>
      </c>
      <c r="R260" s="17" t="str">
        <f>VLOOKUP($C260, Factor!$AM$4:$AY$30, 9, 0)</f>
        <v>Midium</v>
      </c>
      <c r="S260" s="17" t="s">
        <v>198</v>
      </c>
      <c r="T260" s="17" t="str">
        <f>VLOOKUP($C260, Factor!$AM$4:$AY$30, 10, 0)</f>
        <v>enpc</v>
      </c>
      <c r="U260" s="17" cm="1">
        <f t="array" ref="U260">L260*VLOOKUP($I260, Factor!$B$4:$G$8, 2, 0)*VLOOKUP($J260, Factor!$B$12:$G$13, 2, 0)*VLOOKUP($K260, Factor!$B$17:$G$18, 2, 0)*VLOOKUP($H260, Factor!$J$4:$O$7, 2, 0)*VLOOKUP($F260, Factor!$Q$4:$V$15, 2, 0)*IF(MOD($G260,10)=0, 10, MOD($G260, 10))*((INDEX(Factor!$X$4:$AC$13, _xlfn.XMATCH($G260, Factor!$X$4:$X$13, 1),2)*IF(MOD(G260, 10) = 0, 10, MOD(G260, 10)))+INDEX(Factor!$AE$4:$AJ$13, _xlfn.XMATCH(MonsterData!$G260, Factor!$AE$4:$AE$13, 1),2))</f>
        <v>43008</v>
      </c>
      <c r="V260" s="17" cm="1">
        <f t="array" ref="V260">M260*VLOOKUP($I260, Factor!$B$4:$G$8, 3, 0)*VLOOKUP($J260, Factor!$B$12:$G$13, 3, 0)*VLOOKUP($K260, Factor!$B$17:$G$18, 3, 0)*VLOOKUP($H260, Factor!$J$4:$O$7, 3, 0)*VLOOKUP($F260, Factor!$Q$4:$V$15, 3, 0)*IF(MOD($G260,10)=0, 10, MOD($G260, 10))*((INDEX(Factor!$X$4:$AC$13, _xlfn.XMATCH($G260, Factor!$X$4:$X$13, 1),3)*IF(MOD(G260, 10) = 0, 10, MOD(G260, 10)))+INDEX(Factor!$AE$4:$AJ$13, _xlfn.XMATCH(MonsterData!$G260, Factor!$AE$4:$AE$13, 1),3))</f>
        <v>2150.3999999999996</v>
      </c>
      <c r="W260" s="17" cm="1">
        <f t="array" ref="W260">N260*VLOOKUP($I260, Factor!$B$4:$G$8, 4, 0)*VLOOKUP($J260, Factor!$B$12:$G$13, 4, 0)*VLOOKUP($K260, Factor!$B$17:$G$18, 4, 0)*VLOOKUP($H260, Factor!$J$4:$O$7, 4, 0)*VLOOKUP($F260, Factor!$Q$4:$V$15, 4, 0)*IF(MOD($G260,10)=0, 10, MOD($G260, 10))*((INDEX(Factor!$X$4:$AC$13, _xlfn.XMATCH($G260, Factor!$X$4:$X$13, 1),4)*IF(MOD(G260, 10) = 0, 10, MOD(G260, 10)))+INDEX(Factor!$AE$4:$AJ$13, _xlfn.XMATCH(MonsterData!$G260, Factor!$AE$4:$AE$13, 1),4))</f>
        <v>6451.2</v>
      </c>
      <c r="X260" s="17" cm="1">
        <f t="array" ref="X260">O260*VLOOKUP($I260, Factor!$B$4:$G$8, 5, 0)*VLOOKUP($J260, Factor!$B$12:$G$13, 5, 0)*VLOOKUP($K260, Factor!$B$17:$G$18, 5, 0)*VLOOKUP($H260, Factor!$J$4:$O$7, 5, 0)*VLOOKUP($F260, Factor!$Q$4:$V$15, 5, 0)*IF(MOD($G260,10)=0, 10, MOD($G260, 10))*((INDEX(Factor!$X$4:$AC$13, _xlfn.XMATCH($G260, Factor!$X$4:$X$13, 1),5)*IF(MOD(G260, 10) = 0, 10, MOD(G260, 10)))+INDEX(Factor!$AE$4:$AJ$13, _xlfn.XMATCH(MonsterData!$G260, Factor!$AE$4:$AE$13, 1),5))</f>
        <v>193.536</v>
      </c>
      <c r="Y260" s="17" cm="1">
        <f t="array" ref="Y260">P260*VLOOKUP($I260, Factor!$B$4:$G$8, 6, 0)*VLOOKUP($J260, Factor!$B$12:$G$13, 6, 0)*VLOOKUP($K260, Factor!$B$17:$G$18, 6, 0)*VLOOKUP($H260, Factor!$J$4:$O$7, 2, 0)*VLOOKUP($F260, Factor!$Q$4:$V$15, 6, 0)*IF(MOD($G260,10)=0, 10, MOD($G260, 10))*((INDEX(Factor!$X$4:$AC$13, _xlfn.XMATCH($G260, Factor!$X$4:$X$13, 1),6)*IF(MOD(G260, 10) = 0, 10, MOD(G260, 10)))+INDEX(Factor!$AE$4:$AJ$13, _xlfn.XMATCH(MonsterData!$G260, Factor!$AE$4:$AE$13, 1),6))</f>
        <v>286.71999999999997</v>
      </c>
      <c r="Z260" s="17">
        <f>$Q260*VLOOKUP($J260, Factor!$B$12:$H$13, 7, 0)</f>
        <v>4</v>
      </c>
      <c r="AA260" s="17">
        <v>1</v>
      </c>
      <c r="AB260" s="17">
        <f t="shared" si="13"/>
        <v>4</v>
      </c>
      <c r="AC260" s="17" t="s">
        <v>141</v>
      </c>
      <c r="AD260" s="19" t="s">
        <v>144</v>
      </c>
    </row>
    <row r="261" spans="1:30" ht="15.75" customHeight="1">
      <c r="A261" s="13" t="str">
        <f>T261&amp;"_"&amp;F261&amp;VLOOKUP($C261, Factor!$AM$4:$AY$30, 7, 0)&amp;IF(COUNTIFS($C$4:C260, C261, $F$4:F260, F261)+1&gt;=100, COUNTIFS($C$4:C260, C261, $F$4:F260, F261)+1,IF(COUNTIFS($C$4:C260, C261, $F$4:F260, F261)+1&gt;=10, "0"&amp;COUNTIFS($C$4:C260, C261, $F$4:F260, F261)+1, "00"&amp;COUNTIFS($C$4:C260, C261, $F$4:F260, F261)+1))</f>
        <v>enpc_F04_A_Scarab_004</v>
      </c>
      <c r="B261" s="13"/>
      <c r="C261" s="13" t="s">
        <v>353</v>
      </c>
      <c r="D261" s="21" t="str">
        <f t="shared" si="12"/>
        <v>스캐럽</v>
      </c>
      <c r="E261" s="21" t="str">
        <f>VLOOKUP($C261, Factor!$AM$4:$AY$30, 8, 0)</f>
        <v>S</v>
      </c>
      <c r="F261" s="21" t="s">
        <v>112</v>
      </c>
      <c r="G261" s="22">
        <v>39</v>
      </c>
      <c r="H261" s="13" t="s">
        <v>55</v>
      </c>
      <c r="I261" s="21" t="str">
        <f>VLOOKUP($C261, Factor!$AM$4:$AY$30, 11, 0)</f>
        <v>A</v>
      </c>
      <c r="J261" s="21" t="str">
        <f>VLOOKUP($C261, Factor!$AM$4:$AY$30, 12, 0)</f>
        <v>ml</v>
      </c>
      <c r="K261" s="21" t="str">
        <f>VLOOKUP($C261, Factor!$AM$4:$AY$30, 13, 0)</f>
        <v>L</v>
      </c>
      <c r="L261" s="13">
        <v>1</v>
      </c>
      <c r="M261" s="13">
        <v>1</v>
      </c>
      <c r="N261" s="13">
        <v>1</v>
      </c>
      <c r="O261" s="13">
        <v>1</v>
      </c>
      <c r="P261" s="13">
        <v>1</v>
      </c>
      <c r="Q261" s="13">
        <v>1</v>
      </c>
      <c r="R261" s="21" t="str">
        <f>VLOOKUP($C261, Factor!$AM$4:$AY$30, 9, 0)</f>
        <v>Midium</v>
      </c>
      <c r="S261" s="13" t="s">
        <v>399</v>
      </c>
      <c r="T261" s="21" t="str">
        <f>VLOOKUP($C261, Factor!$AM$4:$AY$30, 10, 0)</f>
        <v>enpc</v>
      </c>
      <c r="U261" s="21" cm="1">
        <f t="array" ref="U261">L261*VLOOKUP($I261, Factor!$B$4:$G$8, 2, 0)*VLOOKUP($J261, Factor!$B$12:$G$13, 2, 0)*VLOOKUP($K261, Factor!$B$17:$G$18, 2, 0)*VLOOKUP($H261, Factor!$J$4:$O$7, 2, 0)*VLOOKUP($F261, Factor!$Q$4:$V$15, 2, 0)*IF(MOD($G261,10)=0, 10, MOD($G261, 10))*((INDEX(Factor!$X$4:$AC$13, _xlfn.XMATCH($G261, Factor!$X$4:$X$13, 1),2)*IF(MOD(G261, 10) = 0, 10, MOD(G261, 10)))+INDEX(Factor!$AE$4:$AJ$13, _xlfn.XMATCH(MonsterData!$G261, Factor!$AE$4:$AE$13, 1),2))</f>
        <v>20736</v>
      </c>
      <c r="V261" s="21" cm="1">
        <f t="array" ref="V261">M261*VLOOKUP($I261, Factor!$B$4:$G$8, 3, 0)*VLOOKUP($J261, Factor!$B$12:$G$13, 3, 0)*VLOOKUP($K261, Factor!$B$17:$G$18, 3, 0)*VLOOKUP($H261, Factor!$J$4:$O$7, 3, 0)*VLOOKUP($F261, Factor!$Q$4:$V$15, 3, 0)*IF(MOD($G261,10)=0, 10, MOD($G261, 10))*((INDEX(Factor!$X$4:$AC$13, _xlfn.XMATCH($G261, Factor!$X$4:$X$13, 1),3)*IF(MOD(G261, 10) = 0, 10, MOD(G261, 10)))+INDEX(Factor!$AE$4:$AJ$13, _xlfn.XMATCH(MonsterData!$G261, Factor!$AE$4:$AE$13, 1),3))</f>
        <v>1036.8</v>
      </c>
      <c r="W261" s="21" cm="1">
        <f t="array" ref="W261">N261*VLOOKUP($I261, Factor!$B$4:$G$8, 4, 0)*VLOOKUP($J261, Factor!$B$12:$G$13, 4, 0)*VLOOKUP($K261, Factor!$B$17:$G$18, 4, 0)*VLOOKUP($H261, Factor!$J$4:$O$7, 4, 0)*VLOOKUP($F261, Factor!$Q$4:$V$15, 4, 0)*IF(MOD($G261,10)=0, 10, MOD($G261, 10))*((INDEX(Factor!$X$4:$AC$13, _xlfn.XMATCH($G261, Factor!$X$4:$X$13, 1),4)*IF(MOD(G261, 10) = 0, 10, MOD(G261, 10)))+INDEX(Factor!$AE$4:$AJ$13, _xlfn.XMATCH(MonsterData!$G261, Factor!$AE$4:$AE$13, 1),4))</f>
        <v>622.07999999999993</v>
      </c>
      <c r="X261" s="21" cm="1">
        <f t="array" ref="X261">O261*VLOOKUP($I261, Factor!$B$4:$G$8, 5, 0)*VLOOKUP($J261, Factor!$B$12:$G$13, 5, 0)*VLOOKUP($K261, Factor!$B$17:$G$18, 5, 0)*VLOOKUP($H261, Factor!$J$4:$O$7, 5, 0)*VLOOKUP($F261, Factor!$Q$4:$V$15, 5, 0)*IF(MOD($G261,10)=0, 10, MOD($G261, 10))*((INDEX(Factor!$X$4:$AC$13, _xlfn.XMATCH($G261, Factor!$X$4:$X$13, 1),5)*IF(MOD(G261, 10) = 0, 10, MOD(G261, 10)))+INDEX(Factor!$AE$4:$AJ$13, _xlfn.XMATCH(MonsterData!$G261, Factor!$AE$4:$AE$13, 1),5))</f>
        <v>138.24</v>
      </c>
      <c r="Y261" s="21" cm="1">
        <f t="array" ref="Y261">P261*VLOOKUP($I261, Factor!$B$4:$G$8, 6, 0)*VLOOKUP($J261, Factor!$B$12:$G$13, 6, 0)*VLOOKUP($K261, Factor!$B$17:$G$18, 6, 0)*VLOOKUP($H261, Factor!$J$4:$O$7, 2, 0)*VLOOKUP($F261, Factor!$Q$4:$V$15, 6, 0)*IF(MOD($G261,10)=0, 10, MOD($G261, 10))*((INDEX(Factor!$X$4:$AC$13, _xlfn.XMATCH($G261, Factor!$X$4:$X$13, 1),6)*IF(MOD(G261, 10) = 0, 10, MOD(G261, 10)))+INDEX(Factor!$AE$4:$AJ$13, _xlfn.XMATCH(MonsterData!$G261, Factor!$AE$4:$AE$13, 1),6))</f>
        <v>691.19999999999993</v>
      </c>
      <c r="Z261" s="21">
        <f>$Q261*VLOOKUP($J261, Factor!$B$12:$H$13, 7, 0)</f>
        <v>1</v>
      </c>
      <c r="AA261" s="13">
        <v>1</v>
      </c>
      <c r="AB261" s="21">
        <f t="shared" si="13"/>
        <v>0</v>
      </c>
      <c r="AC261" s="13" t="s">
        <v>139</v>
      </c>
      <c r="AD261" s="15" t="s">
        <v>387</v>
      </c>
    </row>
    <row r="262" spans="1:30" ht="15.75" customHeight="1">
      <c r="A262" s="16" t="str">
        <f>T262&amp;"_"&amp;F262&amp;VLOOKUP($C262, Factor!$AM$4:$AY$30, 7, 0)&amp;IF(COUNTIFS($C$4:C261, C262, $F$4:F261, F262)+1&gt;=100, COUNTIFS($C$4:C261, C262, $F$4:F261, F262)+1,IF(COUNTIFS($C$4:C261, C262, $F$4:F261, F262)+1&gt;=10, "0"&amp;COUNTIFS($C$4:C261, C262, $F$4:F261, F262)+1, "00"&amp;COUNTIFS($C$4:C261, C262, $F$4:F261, F262)+1))</f>
        <v>enpc_F04_A_Swarmlet_004</v>
      </c>
      <c r="B262" s="16"/>
      <c r="C262" s="16" t="s">
        <v>355</v>
      </c>
      <c r="D262" s="17" t="str">
        <f t="shared" ref="D262:D325" si="14">B262&amp;C262</f>
        <v>스웜렛</v>
      </c>
      <c r="E262" s="17" t="str">
        <f>VLOOKUP($C262, Factor!$AM$4:$AY$30, 8, 0)</f>
        <v>B</v>
      </c>
      <c r="F262" s="17" t="s">
        <v>112</v>
      </c>
      <c r="G262" s="20">
        <v>39</v>
      </c>
      <c r="H262" s="16" t="s">
        <v>56</v>
      </c>
      <c r="I262" s="17" t="str">
        <f>VLOOKUP($C262, Factor!$AM$4:$AY$30, 11, 0)</f>
        <v>A</v>
      </c>
      <c r="J262" s="17" t="str">
        <f>VLOOKUP($C262, Factor!$AM$4:$AY$30, 12, 0)</f>
        <v>ml</v>
      </c>
      <c r="K262" s="17" t="str">
        <f>VLOOKUP($C262, Factor!$AM$4:$AY$30, 13, 0)</f>
        <v>L</v>
      </c>
      <c r="L262" s="17">
        <v>1</v>
      </c>
      <c r="M262" s="17">
        <v>1</v>
      </c>
      <c r="N262" s="17">
        <v>1</v>
      </c>
      <c r="O262" s="17">
        <v>1</v>
      </c>
      <c r="P262" s="17">
        <v>1</v>
      </c>
      <c r="Q262" s="17">
        <v>1</v>
      </c>
      <c r="R262" s="17" t="str">
        <f>VLOOKUP($C262, Factor!$AM$4:$AY$30, 9, 0)</f>
        <v>Small</v>
      </c>
      <c r="S262" s="17" t="s">
        <v>376</v>
      </c>
      <c r="T262" s="17" t="str">
        <f>VLOOKUP($C262, Factor!$AM$4:$AY$30, 10, 0)</f>
        <v>enpc</v>
      </c>
      <c r="U262" s="17" cm="1">
        <f t="array" ref="U262">L262*VLOOKUP($I262, Factor!$B$4:$G$8, 2, 0)*VLOOKUP($J262, Factor!$B$12:$G$13, 2, 0)*VLOOKUP($K262, Factor!$B$17:$G$18, 2, 0)*VLOOKUP($H262, Factor!$J$4:$O$7, 2, 0)*VLOOKUP($F262, Factor!$Q$4:$V$15, 2, 0)*IF(MOD($G262,10)=0, 10, MOD($G262, 10))*((INDEX(Factor!$X$4:$AC$13, _xlfn.XMATCH($G262, Factor!$X$4:$X$13, 1),2)*IF(MOD(G262, 10) = 0, 10, MOD(G262, 10)))+INDEX(Factor!$AE$4:$AJ$13, _xlfn.XMATCH(MonsterData!$G262, Factor!$AE$4:$AE$13, 1),2))</f>
        <v>20736</v>
      </c>
      <c r="V262" s="17" cm="1">
        <f t="array" ref="V262">M262*VLOOKUP($I262, Factor!$B$4:$G$8, 3, 0)*VLOOKUP($J262, Factor!$B$12:$G$13, 3, 0)*VLOOKUP($K262, Factor!$B$17:$G$18, 3, 0)*VLOOKUP($H262, Factor!$J$4:$O$7, 3, 0)*VLOOKUP($F262, Factor!$Q$4:$V$15, 3, 0)*IF(MOD($G262,10)=0, 10, MOD($G262, 10))*((INDEX(Factor!$X$4:$AC$13, _xlfn.XMATCH($G262, Factor!$X$4:$X$13, 1),3)*IF(MOD(G262, 10) = 0, 10, MOD(G262, 10)))+INDEX(Factor!$AE$4:$AJ$13, _xlfn.XMATCH(MonsterData!$G262, Factor!$AE$4:$AE$13, 1),3))</f>
        <v>1036.8</v>
      </c>
      <c r="W262" s="17" cm="1">
        <f t="array" ref="W262">N262*VLOOKUP($I262, Factor!$B$4:$G$8, 4, 0)*VLOOKUP($J262, Factor!$B$12:$G$13, 4, 0)*VLOOKUP($K262, Factor!$B$17:$G$18, 4, 0)*VLOOKUP($H262, Factor!$J$4:$O$7, 4, 0)*VLOOKUP($F262, Factor!$Q$4:$V$15, 4, 0)*IF(MOD($G262,10)=0, 10, MOD($G262, 10))*((INDEX(Factor!$X$4:$AC$13, _xlfn.XMATCH($G262, Factor!$X$4:$X$13, 1),4)*IF(MOD(G262, 10) = 0, 10, MOD(G262, 10)))+INDEX(Factor!$AE$4:$AJ$13, _xlfn.XMATCH(MonsterData!$G262, Factor!$AE$4:$AE$13, 1),4))</f>
        <v>1244.1599999999999</v>
      </c>
      <c r="X262" s="17" cm="1">
        <f t="array" ref="X262">O262*VLOOKUP($I262, Factor!$B$4:$G$8, 5, 0)*VLOOKUP($J262, Factor!$B$12:$G$13, 5, 0)*VLOOKUP($K262, Factor!$B$17:$G$18, 5, 0)*VLOOKUP($H262, Factor!$J$4:$O$7, 5, 0)*VLOOKUP($F262, Factor!$Q$4:$V$15, 5, 0)*IF(MOD($G262,10)=0, 10, MOD($G262, 10))*((INDEX(Factor!$X$4:$AC$13, _xlfn.XMATCH($G262, Factor!$X$4:$X$13, 1),5)*IF(MOD(G262, 10) = 0, 10, MOD(G262, 10)))+INDEX(Factor!$AE$4:$AJ$13, _xlfn.XMATCH(MonsterData!$G262, Factor!$AE$4:$AE$13, 1),5))</f>
        <v>124.416</v>
      </c>
      <c r="Y262" s="17" cm="1">
        <f t="array" ref="Y262">P262*VLOOKUP($I262, Factor!$B$4:$G$8, 6, 0)*VLOOKUP($J262, Factor!$B$12:$G$13, 6, 0)*VLOOKUP($K262, Factor!$B$17:$G$18, 6, 0)*VLOOKUP($H262, Factor!$J$4:$O$7, 2, 0)*VLOOKUP($F262, Factor!$Q$4:$V$15, 6, 0)*IF(MOD($G262,10)=0, 10, MOD($G262, 10))*((INDEX(Factor!$X$4:$AC$13, _xlfn.XMATCH($G262, Factor!$X$4:$X$13, 1),6)*IF(MOD(G262, 10) = 0, 10, MOD(G262, 10)))+INDEX(Factor!$AE$4:$AJ$13, _xlfn.XMATCH(MonsterData!$G262, Factor!$AE$4:$AE$13, 1),6))</f>
        <v>691.19999999999993</v>
      </c>
      <c r="Z262" s="17">
        <f>$Q262*VLOOKUP($J262, Factor!$B$12:$H$13, 7, 0)</f>
        <v>1</v>
      </c>
      <c r="AA262" s="17">
        <v>1</v>
      </c>
      <c r="AB262" s="17">
        <f t="shared" si="13"/>
        <v>0</v>
      </c>
      <c r="AC262" s="17" t="s">
        <v>139</v>
      </c>
      <c r="AD262" s="19" t="s">
        <v>387</v>
      </c>
    </row>
    <row r="263" spans="1:30" ht="15.75" customHeight="1">
      <c r="A263" s="13" t="str">
        <f>T263&amp;"_"&amp;F263&amp;VLOOKUP($C263, Factor!$AM$4:$AY$30, 7, 0)&amp;IF(COUNTIFS($C$4:C262, C263, $F$4:F262, F263)+1&gt;=100, COUNTIFS($C$4:C262, C263, $F$4:F262, F263)+1,IF(COUNTIFS($C$4:C262, C263, $F$4:F262, F263)+1&gt;=10, "0"&amp;COUNTIFS($C$4:C262, C263, $F$4:F262, F263)+1, "00"&amp;COUNTIFS($C$4:C262, C263, $F$4:F262, F263)+1))</f>
        <v>enpc_F04_A_Mantis_004</v>
      </c>
      <c r="B263" s="13"/>
      <c r="C263" s="13" t="s">
        <v>357</v>
      </c>
      <c r="D263" s="21" t="str">
        <f t="shared" si="14"/>
        <v>맨티스</v>
      </c>
      <c r="E263" s="21" t="str">
        <f>VLOOKUP($C263, Factor!$AM$4:$AY$30, 8, 0)</f>
        <v>S</v>
      </c>
      <c r="F263" s="21" t="s">
        <v>112</v>
      </c>
      <c r="G263" s="22">
        <v>39</v>
      </c>
      <c r="H263" s="13" t="s">
        <v>55</v>
      </c>
      <c r="I263" s="21" t="str">
        <f>VLOOKUP($C263, Factor!$AM$4:$AY$30, 11, 0)</f>
        <v>A</v>
      </c>
      <c r="J263" s="21" t="str">
        <f>VLOOKUP($C263, Factor!$AM$4:$AY$30, 12, 0)</f>
        <v>ml</v>
      </c>
      <c r="K263" s="21" t="str">
        <f>VLOOKUP($C263, Factor!$AM$4:$AY$30, 13, 0)</f>
        <v>L</v>
      </c>
      <c r="L263" s="13">
        <v>1</v>
      </c>
      <c r="M263" s="13">
        <v>1</v>
      </c>
      <c r="N263" s="13">
        <v>1</v>
      </c>
      <c r="O263" s="13">
        <v>1</v>
      </c>
      <c r="P263" s="13">
        <v>1</v>
      </c>
      <c r="Q263" s="13">
        <v>1</v>
      </c>
      <c r="R263" s="21" t="str">
        <f>VLOOKUP($C263, Factor!$AM$4:$AY$30, 9, 0)</f>
        <v>Small</v>
      </c>
      <c r="S263" s="13" t="s">
        <v>400</v>
      </c>
      <c r="T263" s="21" t="str">
        <f>VLOOKUP($C263, Factor!$AM$4:$AY$30, 10, 0)</f>
        <v>enpc</v>
      </c>
      <c r="U263" s="21" cm="1">
        <f t="array" ref="U263">L263*VLOOKUP($I263, Factor!$B$4:$G$8, 2, 0)*VLOOKUP($J263, Factor!$B$12:$G$13, 2, 0)*VLOOKUP($K263, Factor!$B$17:$G$18, 2, 0)*VLOOKUP($H263, Factor!$J$4:$O$7, 2, 0)*VLOOKUP($F263, Factor!$Q$4:$V$15, 2, 0)*IF(MOD($G263,10)=0, 10, MOD($G263, 10))*((INDEX(Factor!$X$4:$AC$13, _xlfn.XMATCH($G263, Factor!$X$4:$X$13, 1),2)*IF(MOD(G263, 10) = 0, 10, MOD(G263, 10)))+INDEX(Factor!$AE$4:$AJ$13, _xlfn.XMATCH(MonsterData!$G263, Factor!$AE$4:$AE$13, 1),2))</f>
        <v>20736</v>
      </c>
      <c r="V263" s="21" cm="1">
        <f t="array" ref="V263">M263*VLOOKUP($I263, Factor!$B$4:$G$8, 3, 0)*VLOOKUP($J263, Factor!$B$12:$G$13, 3, 0)*VLOOKUP($K263, Factor!$B$17:$G$18, 3, 0)*VLOOKUP($H263, Factor!$J$4:$O$7, 3, 0)*VLOOKUP($F263, Factor!$Q$4:$V$15, 3, 0)*IF(MOD($G263,10)=0, 10, MOD($G263, 10))*((INDEX(Factor!$X$4:$AC$13, _xlfn.XMATCH($G263, Factor!$X$4:$X$13, 1),3)*IF(MOD(G263, 10) = 0, 10, MOD(G263, 10)))+INDEX(Factor!$AE$4:$AJ$13, _xlfn.XMATCH(MonsterData!$G263, Factor!$AE$4:$AE$13, 1),3))</f>
        <v>1036.8</v>
      </c>
      <c r="W263" s="21" cm="1">
        <f t="array" ref="W263">N263*VLOOKUP($I263, Factor!$B$4:$G$8, 4, 0)*VLOOKUP($J263, Factor!$B$12:$G$13, 4, 0)*VLOOKUP($K263, Factor!$B$17:$G$18, 4, 0)*VLOOKUP($H263, Factor!$J$4:$O$7, 4, 0)*VLOOKUP($F263, Factor!$Q$4:$V$15, 4, 0)*IF(MOD($G263,10)=0, 10, MOD($G263, 10))*((INDEX(Factor!$X$4:$AC$13, _xlfn.XMATCH($G263, Factor!$X$4:$X$13, 1),4)*IF(MOD(G263, 10) = 0, 10, MOD(G263, 10)))+INDEX(Factor!$AE$4:$AJ$13, _xlfn.XMATCH(MonsterData!$G263, Factor!$AE$4:$AE$13, 1),4))</f>
        <v>622.07999999999993</v>
      </c>
      <c r="X263" s="21" cm="1">
        <f t="array" ref="X263">O263*VLOOKUP($I263, Factor!$B$4:$G$8, 5, 0)*VLOOKUP($J263, Factor!$B$12:$G$13, 5, 0)*VLOOKUP($K263, Factor!$B$17:$G$18, 5, 0)*VLOOKUP($H263, Factor!$J$4:$O$7, 5, 0)*VLOOKUP($F263, Factor!$Q$4:$V$15, 5, 0)*IF(MOD($G263,10)=0, 10, MOD($G263, 10))*((INDEX(Factor!$X$4:$AC$13, _xlfn.XMATCH($G263, Factor!$X$4:$X$13, 1),5)*IF(MOD(G263, 10) = 0, 10, MOD(G263, 10)))+INDEX(Factor!$AE$4:$AJ$13, _xlfn.XMATCH(MonsterData!$G263, Factor!$AE$4:$AE$13, 1),5))</f>
        <v>138.24</v>
      </c>
      <c r="Y263" s="21" cm="1">
        <f t="array" ref="Y263">P263*VLOOKUP($I263, Factor!$B$4:$G$8, 6, 0)*VLOOKUP($J263, Factor!$B$12:$G$13, 6, 0)*VLOOKUP($K263, Factor!$B$17:$G$18, 6, 0)*VLOOKUP($H263, Factor!$J$4:$O$7, 2, 0)*VLOOKUP($F263, Factor!$Q$4:$V$15, 6, 0)*IF(MOD($G263,10)=0, 10, MOD($G263, 10))*((INDEX(Factor!$X$4:$AC$13, _xlfn.XMATCH($G263, Factor!$X$4:$X$13, 1),6)*IF(MOD(G263, 10) = 0, 10, MOD(G263, 10)))+INDEX(Factor!$AE$4:$AJ$13, _xlfn.XMATCH(MonsterData!$G263, Factor!$AE$4:$AE$13, 1),6))</f>
        <v>691.19999999999993</v>
      </c>
      <c r="Z263" s="21">
        <f>$Q263*VLOOKUP($J263, Factor!$B$12:$H$13, 7, 0)</f>
        <v>1</v>
      </c>
      <c r="AA263" s="13">
        <v>1</v>
      </c>
      <c r="AB263" s="21">
        <f t="shared" si="13"/>
        <v>0</v>
      </c>
      <c r="AC263" s="13" t="s">
        <v>139</v>
      </c>
      <c r="AD263" s="15" t="s">
        <v>387</v>
      </c>
    </row>
    <row r="264" spans="1:30" ht="15.75" customHeight="1">
      <c r="A264" s="16" t="str">
        <f>T264&amp;"_"&amp;F264&amp;VLOOKUP($C264, Factor!$AM$4:$AY$30, 7, 0)&amp;IF(COUNTIFS($C$4:C263, C264, $F$4:F263, F264)+1&gt;=100, COUNTIFS($C$4:C263, C264, $F$4:F263, F264)+1,IF(COUNTIFS($C$4:C263, C264, $F$4:F263, F264)+1&gt;=10, "0"&amp;COUNTIFS($C$4:C263, C264, $F$4:F263, F264)+1, "00"&amp;COUNTIFS($C$4:C263, C264, $F$4:F263, F264)+1))</f>
        <v>enpc_F04_B_Kobold_004</v>
      </c>
      <c r="B264" s="16"/>
      <c r="C264" s="16" t="s">
        <v>359</v>
      </c>
      <c r="D264" s="17" t="str">
        <f t="shared" si="14"/>
        <v>코볼트</v>
      </c>
      <c r="E264" s="17" t="str">
        <f>VLOOKUP($C264, Factor!$AM$4:$AY$30, 8, 0)</f>
        <v>M</v>
      </c>
      <c r="F264" s="17" t="s">
        <v>112</v>
      </c>
      <c r="G264" s="20">
        <v>62</v>
      </c>
      <c r="H264" s="16" t="s">
        <v>56</v>
      </c>
      <c r="I264" s="17" t="str">
        <f>VLOOKUP($C264, Factor!$AM$4:$AY$30, 11, 0)</f>
        <v>B</v>
      </c>
      <c r="J264" s="17" t="str">
        <f>VLOOKUP($C264, Factor!$AM$4:$AY$30, 12, 0)</f>
        <v>ml</v>
      </c>
      <c r="K264" s="17" t="str">
        <f>VLOOKUP($C264, Factor!$AM$4:$AY$30, 13, 0)</f>
        <v>L</v>
      </c>
      <c r="L264" s="17">
        <v>1</v>
      </c>
      <c r="M264" s="17">
        <v>1</v>
      </c>
      <c r="N264" s="17">
        <v>1</v>
      </c>
      <c r="O264" s="17">
        <v>1</v>
      </c>
      <c r="P264" s="17">
        <v>1</v>
      </c>
      <c r="Q264" s="17">
        <v>1</v>
      </c>
      <c r="R264" s="17" t="str">
        <f>VLOOKUP($C264, Factor!$AM$4:$AY$30, 9, 0)</f>
        <v>Small</v>
      </c>
      <c r="S264" s="17" t="s">
        <v>378</v>
      </c>
      <c r="T264" s="17" t="str">
        <f>VLOOKUP($C264, Factor!$AM$4:$AY$30, 10, 0)</f>
        <v>enpc</v>
      </c>
      <c r="U264" s="17" cm="1">
        <f t="array" ref="U264">L264*VLOOKUP($I264, Factor!$B$4:$G$8, 2, 0)*VLOOKUP($J264, Factor!$B$12:$G$13, 2, 0)*VLOOKUP($K264, Factor!$B$17:$G$18, 2, 0)*VLOOKUP($H264, Factor!$J$4:$O$7, 2, 0)*VLOOKUP($F264, Factor!$Q$4:$V$15, 2, 0)*IF(MOD($G264,10)=0, 10, MOD($G264, 10))*((INDEX(Factor!$X$4:$AC$13, _xlfn.XMATCH($G264, Factor!$X$4:$X$13, 1),2)*IF(MOD(G264, 10) = 0, 10, MOD(G264, 10)))+INDEX(Factor!$AE$4:$AJ$13, _xlfn.XMATCH(MonsterData!$G264, Factor!$AE$4:$AE$13, 1),2))</f>
        <v>53760</v>
      </c>
      <c r="V264" s="17" cm="1">
        <f t="array" ref="V264">M264*VLOOKUP($I264, Factor!$B$4:$G$8, 3, 0)*VLOOKUP($J264, Factor!$B$12:$G$13, 3, 0)*VLOOKUP($K264, Factor!$B$17:$G$18, 3, 0)*VLOOKUP($H264, Factor!$J$4:$O$7, 3, 0)*VLOOKUP($F264, Factor!$Q$4:$V$15, 3, 0)*IF(MOD($G264,10)=0, 10, MOD($G264, 10))*((INDEX(Factor!$X$4:$AC$13, _xlfn.XMATCH($G264, Factor!$X$4:$X$13, 1),3)*IF(MOD(G264, 10) = 0, 10, MOD(G264, 10)))+INDEX(Factor!$AE$4:$AJ$13, _xlfn.XMATCH(MonsterData!$G264, Factor!$AE$4:$AE$13, 1),3))</f>
        <v>2688</v>
      </c>
      <c r="W264" s="17" cm="1">
        <f t="array" ref="W264">N264*VLOOKUP($I264, Factor!$B$4:$G$8, 4, 0)*VLOOKUP($J264, Factor!$B$12:$G$13, 4, 0)*VLOOKUP($K264, Factor!$B$17:$G$18, 4, 0)*VLOOKUP($H264, Factor!$J$4:$O$7, 4, 0)*VLOOKUP($F264, Factor!$Q$4:$V$15, 4, 0)*IF(MOD($G264,10)=0, 10, MOD($G264, 10))*((INDEX(Factor!$X$4:$AC$13, _xlfn.XMATCH($G264, Factor!$X$4:$X$13, 1),4)*IF(MOD(G264, 10) = 0, 10, MOD(G264, 10)))+INDEX(Factor!$AE$4:$AJ$13, _xlfn.XMATCH(MonsterData!$G264, Factor!$AE$4:$AE$13, 1),4))</f>
        <v>5376</v>
      </c>
      <c r="X264" s="17" cm="1">
        <f t="array" ref="X264">O264*VLOOKUP($I264, Factor!$B$4:$G$8, 5, 0)*VLOOKUP($J264, Factor!$B$12:$G$13, 5, 0)*VLOOKUP($K264, Factor!$B$17:$G$18, 5, 0)*VLOOKUP($H264, Factor!$J$4:$O$7, 5, 0)*VLOOKUP($F264, Factor!$Q$4:$V$15, 5, 0)*IF(MOD($G264,10)=0, 10, MOD($G264, 10))*((INDEX(Factor!$X$4:$AC$13, _xlfn.XMATCH($G264, Factor!$X$4:$X$13, 1),5)*IF(MOD(G264, 10) = 0, 10, MOD(G264, 10)))+INDEX(Factor!$AE$4:$AJ$13, _xlfn.XMATCH(MonsterData!$G264, Factor!$AE$4:$AE$13, 1),5))</f>
        <v>129.024</v>
      </c>
      <c r="Y264" s="17" cm="1">
        <f t="array" ref="Y264">P264*VLOOKUP($I264, Factor!$B$4:$G$8, 6, 0)*VLOOKUP($J264, Factor!$B$12:$G$13, 6, 0)*VLOOKUP($K264, Factor!$B$17:$G$18, 6, 0)*VLOOKUP($H264, Factor!$J$4:$O$7, 2, 0)*VLOOKUP($F264, Factor!$Q$4:$V$15, 6, 0)*IF(MOD($G264,10)=0, 10, MOD($G264, 10))*((INDEX(Factor!$X$4:$AC$13, _xlfn.XMATCH($G264, Factor!$X$4:$X$13, 1),6)*IF(MOD(G264, 10) = 0, 10, MOD(G264, 10)))+INDEX(Factor!$AE$4:$AJ$13, _xlfn.XMATCH(MonsterData!$G264, Factor!$AE$4:$AE$13, 1),6))</f>
        <v>286.71999999999997</v>
      </c>
      <c r="Z264" s="17">
        <f>$Q264*VLOOKUP($J264, Factor!$B$12:$H$13, 7, 0)</f>
        <v>1</v>
      </c>
      <c r="AA264" s="17">
        <v>1</v>
      </c>
      <c r="AB264" s="17">
        <f t="shared" si="13"/>
        <v>0</v>
      </c>
      <c r="AC264" s="17" t="s">
        <v>393</v>
      </c>
      <c r="AD264" s="19" t="s">
        <v>388</v>
      </c>
    </row>
    <row r="265" spans="1:30" ht="15.75" customHeight="1">
      <c r="A265" s="13" t="str">
        <f>T265&amp;"_"&amp;F265&amp;VLOOKUP($C265, Factor!$AM$4:$AY$30, 7, 0)&amp;IF(COUNTIFS($C$4:C264, C265, $F$4:F264, F265)+1&gt;=100, COUNTIFS($C$4:C264, C265, $F$4:F264, F265)+1,IF(COUNTIFS($C$4:C264, C265, $F$4:F264, F265)+1&gt;=10, "0"&amp;COUNTIFS($C$4:C264, C265, $F$4:F264, F265)+1, "00"&amp;COUNTIFS($C$4:C264, C265, $F$4:F264, F265)+1))</f>
        <v>enpc_F04_B_Ghoul_004</v>
      </c>
      <c r="B265" s="13"/>
      <c r="C265" s="13" t="s">
        <v>361</v>
      </c>
      <c r="D265" s="21" t="str">
        <f t="shared" si="14"/>
        <v>구울</v>
      </c>
      <c r="E265" s="21" t="str">
        <f>VLOOKUP($C265, Factor!$AM$4:$AY$30, 8, 0)</f>
        <v>M</v>
      </c>
      <c r="F265" s="21" t="s">
        <v>112</v>
      </c>
      <c r="G265" s="22">
        <v>62</v>
      </c>
      <c r="H265" s="13" t="s">
        <v>55</v>
      </c>
      <c r="I265" s="21" t="str">
        <f>VLOOKUP($C265, Factor!$AM$4:$AY$30, 11, 0)</f>
        <v>B</v>
      </c>
      <c r="J265" s="21" t="str">
        <f>VLOOKUP($C265, Factor!$AM$4:$AY$30, 12, 0)</f>
        <v>ml</v>
      </c>
      <c r="K265" s="21" t="str">
        <f>VLOOKUP($C265, Factor!$AM$4:$AY$30, 13, 0)</f>
        <v>L</v>
      </c>
      <c r="L265" s="13">
        <v>1</v>
      </c>
      <c r="M265" s="13">
        <v>1</v>
      </c>
      <c r="N265" s="13">
        <v>1</v>
      </c>
      <c r="O265" s="13">
        <v>1</v>
      </c>
      <c r="P265" s="13">
        <v>1</v>
      </c>
      <c r="Q265" s="13">
        <v>1</v>
      </c>
      <c r="R265" s="21" t="str">
        <f>VLOOKUP($C265, Factor!$AM$4:$AY$30, 9, 0)</f>
        <v>Midium</v>
      </c>
      <c r="S265" s="13" t="s">
        <v>401</v>
      </c>
      <c r="T265" s="21" t="str">
        <f>VLOOKUP($C265, Factor!$AM$4:$AY$30, 10, 0)</f>
        <v>enpc</v>
      </c>
      <c r="U265" s="21" cm="1">
        <f t="array" ref="U265">L265*VLOOKUP($I265, Factor!$B$4:$G$8, 2, 0)*VLOOKUP($J265, Factor!$B$12:$G$13, 2, 0)*VLOOKUP($K265, Factor!$B$17:$G$18, 2, 0)*VLOOKUP($H265, Factor!$J$4:$O$7, 2, 0)*VLOOKUP($F265, Factor!$Q$4:$V$15, 2, 0)*IF(MOD($G265,10)=0, 10, MOD($G265, 10))*((INDEX(Factor!$X$4:$AC$13, _xlfn.XMATCH($G265, Factor!$X$4:$X$13, 1),2)*IF(MOD(G265, 10) = 0, 10, MOD(G265, 10)))+INDEX(Factor!$AE$4:$AJ$13, _xlfn.XMATCH(MonsterData!$G265, Factor!$AE$4:$AE$13, 1),2))</f>
        <v>53760</v>
      </c>
      <c r="V265" s="21" cm="1">
        <f t="array" ref="V265">M265*VLOOKUP($I265, Factor!$B$4:$G$8, 3, 0)*VLOOKUP($J265, Factor!$B$12:$G$13, 3, 0)*VLOOKUP($K265, Factor!$B$17:$G$18, 3, 0)*VLOOKUP($H265, Factor!$J$4:$O$7, 3, 0)*VLOOKUP($F265, Factor!$Q$4:$V$15, 3, 0)*IF(MOD($G265,10)=0, 10, MOD($G265, 10))*((INDEX(Factor!$X$4:$AC$13, _xlfn.XMATCH($G265, Factor!$X$4:$X$13, 1),3)*IF(MOD(G265, 10) = 0, 10, MOD(G265, 10)))+INDEX(Factor!$AE$4:$AJ$13, _xlfn.XMATCH(MonsterData!$G265, Factor!$AE$4:$AE$13, 1),3))</f>
        <v>2688</v>
      </c>
      <c r="W265" s="21" cm="1">
        <f t="array" ref="W265">N265*VLOOKUP($I265, Factor!$B$4:$G$8, 4, 0)*VLOOKUP($J265, Factor!$B$12:$G$13, 4, 0)*VLOOKUP($K265, Factor!$B$17:$G$18, 4, 0)*VLOOKUP($H265, Factor!$J$4:$O$7, 4, 0)*VLOOKUP($F265, Factor!$Q$4:$V$15, 4, 0)*IF(MOD($G265,10)=0, 10, MOD($G265, 10))*((INDEX(Factor!$X$4:$AC$13, _xlfn.XMATCH($G265, Factor!$X$4:$X$13, 1),4)*IF(MOD(G265, 10) = 0, 10, MOD(G265, 10)))+INDEX(Factor!$AE$4:$AJ$13, _xlfn.XMATCH(MonsterData!$G265, Factor!$AE$4:$AE$13, 1),4))</f>
        <v>2688</v>
      </c>
      <c r="X265" s="21" cm="1">
        <f t="array" ref="X265">O265*VLOOKUP($I265, Factor!$B$4:$G$8, 5, 0)*VLOOKUP($J265, Factor!$B$12:$G$13, 5, 0)*VLOOKUP($K265, Factor!$B$17:$G$18, 5, 0)*VLOOKUP($H265, Factor!$J$4:$O$7, 5, 0)*VLOOKUP($F265, Factor!$Q$4:$V$15, 5, 0)*IF(MOD($G265,10)=0, 10, MOD($G265, 10))*((INDEX(Factor!$X$4:$AC$13, _xlfn.XMATCH($G265, Factor!$X$4:$X$13, 1),5)*IF(MOD(G265, 10) = 0, 10, MOD(G265, 10)))+INDEX(Factor!$AE$4:$AJ$13, _xlfn.XMATCH(MonsterData!$G265, Factor!$AE$4:$AE$13, 1),5))</f>
        <v>143.35999999999999</v>
      </c>
      <c r="Y265" s="21" cm="1">
        <f t="array" ref="Y265">P265*VLOOKUP($I265, Factor!$B$4:$G$8, 6, 0)*VLOOKUP($J265, Factor!$B$12:$G$13, 6, 0)*VLOOKUP($K265, Factor!$B$17:$G$18, 6, 0)*VLOOKUP($H265, Factor!$J$4:$O$7, 2, 0)*VLOOKUP($F265, Factor!$Q$4:$V$15, 6, 0)*IF(MOD($G265,10)=0, 10, MOD($G265, 10))*((INDEX(Factor!$X$4:$AC$13, _xlfn.XMATCH($G265, Factor!$X$4:$X$13, 1),6)*IF(MOD(G265, 10) = 0, 10, MOD(G265, 10)))+INDEX(Factor!$AE$4:$AJ$13, _xlfn.XMATCH(MonsterData!$G265, Factor!$AE$4:$AE$13, 1),6))</f>
        <v>286.71999999999997</v>
      </c>
      <c r="Z265" s="21">
        <f>$Q265*VLOOKUP($J265, Factor!$B$12:$H$13, 7, 0)</f>
        <v>1</v>
      </c>
      <c r="AA265" s="13">
        <v>1</v>
      </c>
      <c r="AB265" s="21">
        <f t="shared" si="13"/>
        <v>0</v>
      </c>
      <c r="AC265" s="13" t="s">
        <v>394</v>
      </c>
      <c r="AD265" s="15" t="s">
        <v>389</v>
      </c>
    </row>
    <row r="266" spans="1:30" ht="15.75" customHeight="1">
      <c r="A266" s="16" t="str">
        <f>T266&amp;"_"&amp;F266&amp;VLOOKUP($C266, Factor!$AM$4:$AY$30, 7, 0)&amp;IF(COUNTIFS($C$4:C265, C266, $F$4:F265, F266)+1&gt;=100, COUNTIFS($C$4:C265, C266, $F$4:F265, F266)+1,IF(COUNTIFS($C$4:C265, C266, $F$4:F265, F266)+1&gt;=10, "0"&amp;COUNTIFS($C$4:C265, C266, $F$4:F265, F266)+1, "00"&amp;COUNTIFS($C$4:C265, C266, $F$4:F265, F266)+1))</f>
        <v>enpc_F04_B_Gorgon_004</v>
      </c>
      <c r="B266" s="16"/>
      <c r="C266" s="16" t="s">
        <v>363</v>
      </c>
      <c r="D266" s="17" t="str">
        <f t="shared" si="14"/>
        <v>고르곤</v>
      </c>
      <c r="E266" s="17" t="str">
        <f>VLOOKUP($C266, Factor!$AM$4:$AY$30, 8, 0)</f>
        <v>B</v>
      </c>
      <c r="F266" s="17" t="s">
        <v>112</v>
      </c>
      <c r="G266" s="20">
        <v>62</v>
      </c>
      <c r="H266" s="16" t="s">
        <v>56</v>
      </c>
      <c r="I266" s="17" t="str">
        <f>VLOOKUP($C266, Factor!$AM$4:$AY$30, 11, 0)</f>
        <v>B</v>
      </c>
      <c r="J266" s="17" t="str">
        <f>VLOOKUP($C266, Factor!$AM$4:$AY$30, 12, 0)</f>
        <v>ml</v>
      </c>
      <c r="K266" s="17" t="str">
        <f>VLOOKUP($C266, Factor!$AM$4:$AY$30, 13, 0)</f>
        <v>L</v>
      </c>
      <c r="L266" s="17">
        <v>1</v>
      </c>
      <c r="M266" s="17">
        <v>1</v>
      </c>
      <c r="N266" s="17">
        <v>1</v>
      </c>
      <c r="O266" s="17">
        <v>1</v>
      </c>
      <c r="P266" s="17">
        <v>1</v>
      </c>
      <c r="Q266" s="17">
        <v>1</v>
      </c>
      <c r="R266" s="17" t="str">
        <f>VLOOKUP($C266, Factor!$AM$4:$AY$30, 9, 0)</f>
        <v>Midium</v>
      </c>
      <c r="S266" s="17" t="s">
        <v>380</v>
      </c>
      <c r="T266" s="17" t="str">
        <f>VLOOKUP($C266, Factor!$AM$4:$AY$30, 10, 0)</f>
        <v>enpc</v>
      </c>
      <c r="U266" s="17" cm="1">
        <f t="array" ref="U266">L266*VLOOKUP($I266, Factor!$B$4:$G$8, 2, 0)*VLOOKUP($J266, Factor!$B$12:$G$13, 2, 0)*VLOOKUP($K266, Factor!$B$17:$G$18, 2, 0)*VLOOKUP($H266, Factor!$J$4:$O$7, 2, 0)*VLOOKUP($F266, Factor!$Q$4:$V$15, 2, 0)*IF(MOD($G266,10)=0, 10, MOD($G266, 10))*((INDEX(Factor!$X$4:$AC$13, _xlfn.XMATCH($G266, Factor!$X$4:$X$13, 1),2)*IF(MOD(G266, 10) = 0, 10, MOD(G266, 10)))+INDEX(Factor!$AE$4:$AJ$13, _xlfn.XMATCH(MonsterData!$G266, Factor!$AE$4:$AE$13, 1),2))</f>
        <v>53760</v>
      </c>
      <c r="V266" s="17" cm="1">
        <f t="array" ref="V266">M266*VLOOKUP($I266, Factor!$B$4:$G$8, 3, 0)*VLOOKUP($J266, Factor!$B$12:$G$13, 3, 0)*VLOOKUP($K266, Factor!$B$17:$G$18, 3, 0)*VLOOKUP($H266, Factor!$J$4:$O$7, 3, 0)*VLOOKUP($F266, Factor!$Q$4:$V$15, 3, 0)*IF(MOD($G266,10)=0, 10, MOD($G266, 10))*((INDEX(Factor!$X$4:$AC$13, _xlfn.XMATCH($G266, Factor!$X$4:$X$13, 1),3)*IF(MOD(G266, 10) = 0, 10, MOD(G266, 10)))+INDEX(Factor!$AE$4:$AJ$13, _xlfn.XMATCH(MonsterData!$G266, Factor!$AE$4:$AE$13, 1),3))</f>
        <v>2688</v>
      </c>
      <c r="W266" s="17" cm="1">
        <f t="array" ref="W266">N266*VLOOKUP($I266, Factor!$B$4:$G$8, 4, 0)*VLOOKUP($J266, Factor!$B$12:$G$13, 4, 0)*VLOOKUP($K266, Factor!$B$17:$G$18, 4, 0)*VLOOKUP($H266, Factor!$J$4:$O$7, 4, 0)*VLOOKUP($F266, Factor!$Q$4:$V$15, 4, 0)*IF(MOD($G266,10)=0, 10, MOD($G266, 10))*((INDEX(Factor!$X$4:$AC$13, _xlfn.XMATCH($G266, Factor!$X$4:$X$13, 1),4)*IF(MOD(G266, 10) = 0, 10, MOD(G266, 10)))+INDEX(Factor!$AE$4:$AJ$13, _xlfn.XMATCH(MonsterData!$G266, Factor!$AE$4:$AE$13, 1),4))</f>
        <v>5376</v>
      </c>
      <c r="X266" s="17" cm="1">
        <f t="array" ref="X266">O266*VLOOKUP($I266, Factor!$B$4:$G$8, 5, 0)*VLOOKUP($J266, Factor!$B$12:$G$13, 5, 0)*VLOOKUP($K266, Factor!$B$17:$G$18, 5, 0)*VLOOKUP($H266, Factor!$J$4:$O$7, 5, 0)*VLOOKUP($F266, Factor!$Q$4:$V$15, 5, 0)*IF(MOD($G266,10)=0, 10, MOD($G266, 10))*((INDEX(Factor!$X$4:$AC$13, _xlfn.XMATCH($G266, Factor!$X$4:$X$13, 1),5)*IF(MOD(G266, 10) = 0, 10, MOD(G266, 10)))+INDEX(Factor!$AE$4:$AJ$13, _xlfn.XMATCH(MonsterData!$G266, Factor!$AE$4:$AE$13, 1),5))</f>
        <v>129.024</v>
      </c>
      <c r="Y266" s="17" cm="1">
        <f t="array" ref="Y266">P266*VLOOKUP($I266, Factor!$B$4:$G$8, 6, 0)*VLOOKUP($J266, Factor!$B$12:$G$13, 6, 0)*VLOOKUP($K266, Factor!$B$17:$G$18, 6, 0)*VLOOKUP($H266, Factor!$J$4:$O$7, 2, 0)*VLOOKUP($F266, Factor!$Q$4:$V$15, 6, 0)*IF(MOD($G266,10)=0, 10, MOD($G266, 10))*((INDEX(Factor!$X$4:$AC$13, _xlfn.XMATCH($G266, Factor!$X$4:$X$13, 1),6)*IF(MOD(G266, 10) = 0, 10, MOD(G266, 10)))+INDEX(Factor!$AE$4:$AJ$13, _xlfn.XMATCH(MonsterData!$G266, Factor!$AE$4:$AE$13, 1),6))</f>
        <v>286.71999999999997</v>
      </c>
      <c r="Z266" s="17">
        <f>$Q266*VLOOKUP($J266, Factor!$B$12:$H$13, 7, 0)</f>
        <v>1</v>
      </c>
      <c r="AA266" s="17">
        <v>1</v>
      </c>
      <c r="AB266" s="17">
        <f t="shared" si="13"/>
        <v>0</v>
      </c>
      <c r="AC266" s="17" t="s">
        <v>395</v>
      </c>
      <c r="AD266" s="19" t="s">
        <v>390</v>
      </c>
    </row>
    <row r="267" spans="1:30" ht="15.75" customHeight="1">
      <c r="A267" s="13" t="str">
        <f>T267&amp;"_"&amp;F267&amp;VLOOKUP($C267, Factor!$AM$4:$AY$30, 7, 0)&amp;IF(COUNTIFS($C$4:C266, C267, $F$4:F266, F267)+1&gt;=100, COUNTIFS($C$4:C266, C267, $F$4:F266, F267)+1,IF(COUNTIFS($C$4:C266, C267, $F$4:F266, F267)+1&gt;=10, "0"&amp;COUNTIFS($C$4:C266, C267, $F$4:F266, F267)+1, "00"&amp;COUNTIFS($C$4:C266, C267, $F$4:F266, F267)+1))</f>
        <v>enpc_F04_B_Gargoyle_004</v>
      </c>
      <c r="B267" s="13"/>
      <c r="C267" s="13" t="s">
        <v>365</v>
      </c>
      <c r="D267" s="21" t="str">
        <f t="shared" si="14"/>
        <v>가고일</v>
      </c>
      <c r="E267" s="21" t="str">
        <f>VLOOKUP($C267, Factor!$AM$4:$AY$30, 8, 0)</f>
        <v>B</v>
      </c>
      <c r="F267" s="21" t="s">
        <v>112</v>
      </c>
      <c r="G267" s="22">
        <v>62</v>
      </c>
      <c r="H267" s="13" t="s">
        <v>55</v>
      </c>
      <c r="I267" s="21" t="str">
        <f>VLOOKUP($C267, Factor!$AM$4:$AY$30, 11, 0)</f>
        <v>B</v>
      </c>
      <c r="J267" s="21" t="str">
        <f>VLOOKUP($C267, Factor!$AM$4:$AY$30, 12, 0)</f>
        <v>ml</v>
      </c>
      <c r="K267" s="21" t="str">
        <f>VLOOKUP($C267, Factor!$AM$4:$AY$30, 13, 0)</f>
        <v>F</v>
      </c>
      <c r="L267" s="13">
        <v>1</v>
      </c>
      <c r="M267" s="13">
        <v>1</v>
      </c>
      <c r="N267" s="13">
        <v>1</v>
      </c>
      <c r="O267" s="13">
        <v>1</v>
      </c>
      <c r="P267" s="13">
        <v>1</v>
      </c>
      <c r="Q267" s="13">
        <v>1</v>
      </c>
      <c r="R267" s="21" t="str">
        <f>VLOOKUP($C267, Factor!$AM$4:$AY$30, 9, 0)</f>
        <v>Big</v>
      </c>
      <c r="S267" s="13" t="s">
        <v>402</v>
      </c>
      <c r="T267" s="21" t="str">
        <f>VLOOKUP($C267, Factor!$AM$4:$AY$30, 10, 0)</f>
        <v>enpc</v>
      </c>
      <c r="U267" s="21" cm="1">
        <f t="array" ref="U267">L267*VLOOKUP($I267, Factor!$B$4:$G$8, 2, 0)*VLOOKUP($J267, Factor!$B$12:$G$13, 2, 0)*VLOOKUP($K267, Factor!$B$17:$G$18, 2, 0)*VLOOKUP($H267, Factor!$J$4:$O$7, 2, 0)*VLOOKUP($F267, Factor!$Q$4:$V$15, 2, 0)*IF(MOD($G267,10)=0, 10, MOD($G267, 10))*((INDEX(Factor!$X$4:$AC$13, _xlfn.XMATCH($G267, Factor!$X$4:$X$13, 1),2)*IF(MOD(G267, 10) = 0, 10, MOD(G267, 10)))+INDEX(Factor!$AE$4:$AJ$13, _xlfn.XMATCH(MonsterData!$G267, Factor!$AE$4:$AE$13, 1),2))</f>
        <v>35840</v>
      </c>
      <c r="V267" s="21" cm="1">
        <f t="array" ref="V267">M267*VLOOKUP($I267, Factor!$B$4:$G$8, 3, 0)*VLOOKUP($J267, Factor!$B$12:$G$13, 3, 0)*VLOOKUP($K267, Factor!$B$17:$G$18, 3, 0)*VLOOKUP($H267, Factor!$J$4:$O$7, 3, 0)*VLOOKUP($F267, Factor!$Q$4:$V$15, 3, 0)*IF(MOD($G267,10)=0, 10, MOD($G267, 10))*((INDEX(Factor!$X$4:$AC$13, _xlfn.XMATCH($G267, Factor!$X$4:$X$13, 1),3)*IF(MOD(G267, 10) = 0, 10, MOD(G267, 10)))+INDEX(Factor!$AE$4:$AJ$13, _xlfn.XMATCH(MonsterData!$G267, Factor!$AE$4:$AE$13, 1),3))</f>
        <v>1792</v>
      </c>
      <c r="W267" s="21" cm="1">
        <f t="array" ref="W267">N267*VLOOKUP($I267, Factor!$B$4:$G$8, 4, 0)*VLOOKUP($J267, Factor!$B$12:$G$13, 4, 0)*VLOOKUP($K267, Factor!$B$17:$G$18, 4, 0)*VLOOKUP($H267, Factor!$J$4:$O$7, 4, 0)*VLOOKUP($F267, Factor!$Q$4:$V$15, 4, 0)*IF(MOD($G267,10)=0, 10, MOD($G267, 10))*((INDEX(Factor!$X$4:$AC$13, _xlfn.XMATCH($G267, Factor!$X$4:$X$13, 1),4)*IF(MOD(G267, 10) = 0, 10, MOD(G267, 10)))+INDEX(Factor!$AE$4:$AJ$13, _xlfn.XMATCH(MonsterData!$G267, Factor!$AE$4:$AE$13, 1),4))</f>
        <v>1792</v>
      </c>
      <c r="X267" s="21" cm="1">
        <f t="array" ref="X267">O267*VLOOKUP($I267, Factor!$B$4:$G$8, 5, 0)*VLOOKUP($J267, Factor!$B$12:$G$13, 5, 0)*VLOOKUP($K267, Factor!$B$17:$G$18, 5, 0)*VLOOKUP($H267, Factor!$J$4:$O$7, 5, 0)*VLOOKUP($F267, Factor!$Q$4:$V$15, 5, 0)*IF(MOD($G267,10)=0, 10, MOD($G267, 10))*((INDEX(Factor!$X$4:$AC$13, _xlfn.XMATCH($G267, Factor!$X$4:$X$13, 1),5)*IF(MOD(G267, 10) = 0, 10, MOD(G267, 10)))+INDEX(Factor!$AE$4:$AJ$13, _xlfn.XMATCH(MonsterData!$G267, Factor!$AE$4:$AE$13, 1),5))</f>
        <v>143.35999999999999</v>
      </c>
      <c r="Y267" s="21" cm="1">
        <f t="array" ref="Y267">P267*VLOOKUP($I267, Factor!$B$4:$G$8, 6, 0)*VLOOKUP($J267, Factor!$B$12:$G$13, 6, 0)*VLOOKUP($K267, Factor!$B$17:$G$18, 6, 0)*VLOOKUP($H267, Factor!$J$4:$O$7, 2, 0)*VLOOKUP($F267, Factor!$Q$4:$V$15, 6, 0)*IF(MOD($G267,10)=0, 10, MOD($G267, 10))*((INDEX(Factor!$X$4:$AC$13, _xlfn.XMATCH($G267, Factor!$X$4:$X$13, 1),6)*IF(MOD(G267, 10) = 0, 10, MOD(G267, 10)))+INDEX(Factor!$AE$4:$AJ$13, _xlfn.XMATCH(MonsterData!$G267, Factor!$AE$4:$AE$13, 1),6))</f>
        <v>860.16000000000008</v>
      </c>
      <c r="Z267" s="21">
        <f>$Q267*VLOOKUP($J267, Factor!$B$12:$H$13, 7, 0)</f>
        <v>1</v>
      </c>
      <c r="AA267" s="13">
        <v>1</v>
      </c>
      <c r="AB267" s="21">
        <f t="shared" si="13"/>
        <v>0</v>
      </c>
      <c r="AC267" s="13" t="s">
        <v>396</v>
      </c>
      <c r="AD267" s="15" t="s">
        <v>391</v>
      </c>
    </row>
    <row r="268" spans="1:30" ht="15.75" customHeight="1">
      <c r="A268" s="16" t="str">
        <f>T268&amp;"_"&amp;F268&amp;VLOOKUP($C268, Factor!$AM$4:$AY$30, 7, 0)&amp;IF(COUNTIFS($C$4:C267, C268, $F$4:F267, F268)+1&gt;=100, COUNTIFS($C$4:C267, C268, $F$4:F267, F268)+1,IF(COUNTIFS($C$4:C267, C268, $F$4:F267, F268)+1&gt;=10, "0"&amp;COUNTIFS($C$4:C267, C268, $F$4:F267, F268)+1, "00"&amp;COUNTIFS($C$4:C267, C268, $F$4:F267, F268)+1))</f>
        <v>enpc_F04_A_Lava_005</v>
      </c>
      <c r="B268" s="16"/>
      <c r="C268" s="16" t="s">
        <v>35</v>
      </c>
      <c r="D268" s="17" t="str">
        <f t="shared" si="14"/>
        <v>라바</v>
      </c>
      <c r="E268" s="17" t="str">
        <f>VLOOKUP($C268, Factor!$AM$4:$AY$30, 8, 0)</f>
        <v>S</v>
      </c>
      <c r="F268" s="17" t="s">
        <v>112</v>
      </c>
      <c r="G268" s="20">
        <v>41</v>
      </c>
      <c r="H268" s="16" t="s">
        <v>54</v>
      </c>
      <c r="I268" s="17" t="str">
        <f>VLOOKUP($C268, Factor!$AM$4:$AY$30, 11, 0)</f>
        <v>A</v>
      </c>
      <c r="J268" s="17" t="str">
        <f>VLOOKUP($C268, Factor!$AM$4:$AY$30, 12, 0)</f>
        <v>ml</v>
      </c>
      <c r="K268" s="17" t="str">
        <f>VLOOKUP($C268, Factor!$AM$4:$AY$30, 13, 0)</f>
        <v>L</v>
      </c>
      <c r="L268" s="17">
        <v>1</v>
      </c>
      <c r="M268" s="17">
        <v>1</v>
      </c>
      <c r="N268" s="17">
        <v>1</v>
      </c>
      <c r="O268" s="17">
        <v>1</v>
      </c>
      <c r="P268" s="17">
        <v>1</v>
      </c>
      <c r="Q268" s="17">
        <v>1</v>
      </c>
      <c r="R268" s="17" t="str">
        <f>VLOOKUP($C268, Factor!$AM$4:$AY$30, 9, 0)</f>
        <v>Small</v>
      </c>
      <c r="S268" s="17" t="s">
        <v>88</v>
      </c>
      <c r="T268" s="17" t="str">
        <f>VLOOKUP($C268, Factor!$AM$4:$AY$30, 10, 0)</f>
        <v>enpc</v>
      </c>
      <c r="U268" s="17" cm="1">
        <f t="array" ref="U268">L268*VLOOKUP($I268, Factor!$B$4:$G$8, 2, 0)*VLOOKUP($J268, Factor!$B$12:$G$13, 2, 0)*VLOOKUP($K268, Factor!$B$17:$G$18, 2, 0)*VLOOKUP($H268, Factor!$J$4:$O$7, 2, 0)*VLOOKUP($F268, Factor!$Q$4:$V$15, 2, 0)*IF(MOD($G268,10)=0, 10, MOD($G268, 10))*((INDEX(Factor!$X$4:$AC$13, _xlfn.XMATCH($G268, Factor!$X$4:$X$13, 1),2)*IF(MOD(G268, 10) = 0, 10, MOD(G268, 10)))+INDEX(Factor!$AE$4:$AJ$13, _xlfn.XMATCH(MonsterData!$G268, Factor!$AE$4:$AE$13, 1),2))</f>
        <v>2016</v>
      </c>
      <c r="V268" s="17" cm="1">
        <f t="array" ref="V268">M268*VLOOKUP($I268, Factor!$B$4:$G$8, 3, 0)*VLOOKUP($J268, Factor!$B$12:$G$13, 3, 0)*VLOOKUP($K268, Factor!$B$17:$G$18, 3, 0)*VLOOKUP($H268, Factor!$J$4:$O$7, 3, 0)*VLOOKUP($F268, Factor!$Q$4:$V$15, 3, 0)*IF(MOD($G268,10)=0, 10, MOD($G268, 10))*((INDEX(Factor!$X$4:$AC$13, _xlfn.XMATCH($G268, Factor!$X$4:$X$13, 1),3)*IF(MOD(G268, 10) = 0, 10, MOD(G268, 10)))+INDEX(Factor!$AE$4:$AJ$13, _xlfn.XMATCH(MonsterData!$G268, Factor!$AE$4:$AE$13, 1),3))</f>
        <v>100.80000000000001</v>
      </c>
      <c r="W268" s="17" cm="1">
        <f t="array" ref="W268">N268*VLOOKUP($I268, Factor!$B$4:$G$8, 4, 0)*VLOOKUP($J268, Factor!$B$12:$G$13, 4, 0)*VLOOKUP($K268, Factor!$B$17:$G$18, 4, 0)*VLOOKUP($H268, Factor!$J$4:$O$7, 4, 0)*VLOOKUP($F268, Factor!$Q$4:$V$15, 4, 0)*IF(MOD($G268,10)=0, 10, MOD($G268, 10))*((INDEX(Factor!$X$4:$AC$13, _xlfn.XMATCH($G268, Factor!$X$4:$X$13, 1),4)*IF(MOD(G268, 10) = 0, 10, MOD(G268, 10)))+INDEX(Factor!$AE$4:$AJ$13, _xlfn.XMATCH(MonsterData!$G268, Factor!$AE$4:$AE$13, 1),4))</f>
        <v>60.480000000000004</v>
      </c>
      <c r="X268" s="17" cm="1">
        <f t="array" ref="X268">O268*VLOOKUP($I268, Factor!$B$4:$G$8, 5, 0)*VLOOKUP($J268, Factor!$B$12:$G$13, 5, 0)*VLOOKUP($K268, Factor!$B$17:$G$18, 5, 0)*VLOOKUP($H268, Factor!$J$4:$O$7, 5, 0)*VLOOKUP($F268, Factor!$Q$4:$V$15, 5, 0)*IF(MOD($G268,10)=0, 10, MOD($G268, 10))*((INDEX(Factor!$X$4:$AC$13, _xlfn.XMATCH($G268, Factor!$X$4:$X$13, 1),5)*IF(MOD(G268, 10) = 0, 10, MOD(G268, 10)))+INDEX(Factor!$AE$4:$AJ$13, _xlfn.XMATCH(MonsterData!$G268, Factor!$AE$4:$AE$13, 1),5))</f>
        <v>16.8</v>
      </c>
      <c r="Y268" s="17" cm="1">
        <f t="array" ref="Y268">P268*VLOOKUP($I268, Factor!$B$4:$G$8, 6, 0)*VLOOKUP($J268, Factor!$B$12:$G$13, 6, 0)*VLOOKUP($K268, Factor!$B$17:$G$18, 6, 0)*VLOOKUP($H268, Factor!$J$4:$O$7, 2, 0)*VLOOKUP($F268, Factor!$Q$4:$V$15, 6, 0)*IF(MOD($G268,10)=0, 10, MOD($G268, 10))*((INDEX(Factor!$X$4:$AC$13, _xlfn.XMATCH($G268, Factor!$X$4:$X$13, 1),6)*IF(MOD(G268, 10) = 0, 10, MOD(G268, 10)))+INDEX(Factor!$AE$4:$AJ$13, _xlfn.XMATCH(MonsterData!$G268, Factor!$AE$4:$AE$13, 1),6))</f>
        <v>67.2</v>
      </c>
      <c r="Z268" s="17">
        <f>$Q268*VLOOKUP($J268, Factor!$B$12:$H$13, 7, 0)</f>
        <v>1</v>
      </c>
      <c r="AA268" s="17">
        <v>1</v>
      </c>
      <c r="AB268" s="17">
        <f t="shared" si="13"/>
        <v>0</v>
      </c>
      <c r="AC268" s="17" t="s">
        <v>139</v>
      </c>
      <c r="AD268" s="19" t="s">
        <v>142</v>
      </c>
    </row>
    <row r="269" spans="1:30" ht="15.75" customHeight="1">
      <c r="A269" s="13" t="str">
        <f>T269&amp;"_"&amp;F269&amp;VLOOKUP($C269, Factor!$AM$4:$AY$30, 7, 0)&amp;IF(COUNTIFS($C$4:C268, C269, $F$4:F268, F269)+1&gt;=100, COUNTIFS($C$4:C268, C269, $F$4:F268, F269)+1,IF(COUNTIFS($C$4:C268, C269, $F$4:F268, F269)+1&gt;=10, "0"&amp;COUNTIFS($C$4:C268, C269, $F$4:F268, F269)+1, "00"&amp;COUNTIFS($C$4:C268, C269, $F$4:F268, F269)+1))</f>
        <v>enpc_F04_A_Cocoon_005</v>
      </c>
      <c r="B269" s="13"/>
      <c r="C269" s="13" t="s">
        <v>270</v>
      </c>
      <c r="D269" s="21" t="str">
        <f t="shared" si="14"/>
        <v>코쿤</v>
      </c>
      <c r="E269" s="21" t="str">
        <f>VLOOKUP($C269, Factor!$AM$4:$AY$30, 8, 0)</f>
        <v>M</v>
      </c>
      <c r="F269" s="21" t="s">
        <v>112</v>
      </c>
      <c r="G269" s="22">
        <v>41</v>
      </c>
      <c r="H269" s="13" t="s">
        <v>55</v>
      </c>
      <c r="I269" s="21" t="str">
        <f>VLOOKUP($C269, Factor!$AM$4:$AY$30, 11, 0)</f>
        <v>A</v>
      </c>
      <c r="J269" s="21" t="str">
        <f>VLOOKUP($C269, Factor!$AM$4:$AY$30, 12, 0)</f>
        <v>ml</v>
      </c>
      <c r="K269" s="21" t="str">
        <f>VLOOKUP($C269, Factor!$AM$4:$AY$30, 13, 0)</f>
        <v>L</v>
      </c>
      <c r="L269" s="13">
        <v>1</v>
      </c>
      <c r="M269" s="13">
        <v>1</v>
      </c>
      <c r="N269" s="13">
        <v>1</v>
      </c>
      <c r="O269" s="13">
        <v>1</v>
      </c>
      <c r="P269" s="13">
        <v>1</v>
      </c>
      <c r="Q269" s="13">
        <v>1</v>
      </c>
      <c r="R269" s="21" t="str">
        <f>VLOOKUP($C269, Factor!$AM$4:$AY$30, 9, 0)</f>
        <v>Midium</v>
      </c>
      <c r="S269" s="13" t="s">
        <v>408</v>
      </c>
      <c r="T269" s="21" t="str">
        <f>VLOOKUP($C269, Factor!$AM$4:$AY$30, 10, 0)</f>
        <v>enpc</v>
      </c>
      <c r="U269" s="21" cm="1">
        <f t="array" ref="U269">L269*VLOOKUP($I269, Factor!$B$4:$G$8, 2, 0)*VLOOKUP($J269, Factor!$B$12:$G$13, 2, 0)*VLOOKUP($K269, Factor!$B$17:$G$18, 2, 0)*VLOOKUP($H269, Factor!$J$4:$O$7, 2, 0)*VLOOKUP($F269, Factor!$Q$4:$V$15, 2, 0)*IF(MOD($G269,10)=0, 10, MOD($G269, 10))*((INDEX(Factor!$X$4:$AC$13, _xlfn.XMATCH($G269, Factor!$X$4:$X$13, 1),2)*IF(MOD(G269, 10) = 0, 10, MOD(G269, 10)))+INDEX(Factor!$AE$4:$AJ$13, _xlfn.XMATCH(MonsterData!$G269, Factor!$AE$4:$AE$13, 1),2))</f>
        <v>2520</v>
      </c>
      <c r="V269" s="21" cm="1">
        <f t="array" ref="V269">M269*VLOOKUP($I269, Factor!$B$4:$G$8, 3, 0)*VLOOKUP($J269, Factor!$B$12:$G$13, 3, 0)*VLOOKUP($K269, Factor!$B$17:$G$18, 3, 0)*VLOOKUP($H269, Factor!$J$4:$O$7, 3, 0)*VLOOKUP($F269, Factor!$Q$4:$V$15, 3, 0)*IF(MOD($G269,10)=0, 10, MOD($G269, 10))*((INDEX(Factor!$X$4:$AC$13, _xlfn.XMATCH($G269, Factor!$X$4:$X$13, 1),3)*IF(MOD(G269, 10) = 0, 10, MOD(G269, 10)))+INDEX(Factor!$AE$4:$AJ$13, _xlfn.XMATCH(MonsterData!$G269, Factor!$AE$4:$AE$13, 1),3))</f>
        <v>126</v>
      </c>
      <c r="W269" s="21" cm="1">
        <f t="array" ref="W269">N269*VLOOKUP($I269, Factor!$B$4:$G$8, 4, 0)*VLOOKUP($J269, Factor!$B$12:$G$13, 4, 0)*VLOOKUP($K269, Factor!$B$17:$G$18, 4, 0)*VLOOKUP($H269, Factor!$J$4:$O$7, 4, 0)*VLOOKUP($F269, Factor!$Q$4:$V$15, 4, 0)*IF(MOD($G269,10)=0, 10, MOD($G269, 10))*((INDEX(Factor!$X$4:$AC$13, _xlfn.XMATCH($G269, Factor!$X$4:$X$13, 1),4)*IF(MOD(G269, 10) = 0, 10, MOD(G269, 10)))+INDEX(Factor!$AE$4:$AJ$13, _xlfn.XMATCH(MonsterData!$G269, Factor!$AE$4:$AE$13, 1),4))</f>
        <v>75.600000000000009</v>
      </c>
      <c r="X269" s="21" cm="1">
        <f t="array" ref="X269">O269*VLOOKUP($I269, Factor!$B$4:$G$8, 5, 0)*VLOOKUP($J269, Factor!$B$12:$G$13, 5, 0)*VLOOKUP($K269, Factor!$B$17:$G$18, 5, 0)*VLOOKUP($H269, Factor!$J$4:$O$7, 5, 0)*VLOOKUP($F269, Factor!$Q$4:$V$15, 5, 0)*IF(MOD($G269,10)=0, 10, MOD($G269, 10))*((INDEX(Factor!$X$4:$AC$13, _xlfn.XMATCH($G269, Factor!$X$4:$X$13, 1),5)*IF(MOD(G269, 10) = 0, 10, MOD(G269, 10)))+INDEX(Factor!$AE$4:$AJ$13, _xlfn.XMATCH(MonsterData!$G269, Factor!$AE$4:$AE$13, 1),5))</f>
        <v>16.8</v>
      </c>
      <c r="Y269" s="21" cm="1">
        <f t="array" ref="Y269">P269*VLOOKUP($I269, Factor!$B$4:$G$8, 6, 0)*VLOOKUP($J269, Factor!$B$12:$G$13, 6, 0)*VLOOKUP($K269, Factor!$B$17:$G$18, 6, 0)*VLOOKUP($H269, Factor!$J$4:$O$7, 2, 0)*VLOOKUP($F269, Factor!$Q$4:$V$15, 6, 0)*IF(MOD($G269,10)=0, 10, MOD($G269, 10))*((INDEX(Factor!$X$4:$AC$13, _xlfn.XMATCH($G269, Factor!$X$4:$X$13, 1),6)*IF(MOD(G269, 10) = 0, 10, MOD(G269, 10)))+INDEX(Factor!$AE$4:$AJ$13, _xlfn.XMATCH(MonsterData!$G269, Factor!$AE$4:$AE$13, 1),6))</f>
        <v>84</v>
      </c>
      <c r="Z269" s="21">
        <f>$Q269*VLOOKUP($J269, Factor!$B$12:$H$13, 7, 0)</f>
        <v>1</v>
      </c>
      <c r="AA269" s="13">
        <v>1</v>
      </c>
      <c r="AB269" s="21">
        <f t="shared" si="13"/>
        <v>0</v>
      </c>
      <c r="AC269" s="13" t="s">
        <v>139</v>
      </c>
      <c r="AD269" s="15" t="s">
        <v>142</v>
      </c>
    </row>
    <row r="270" spans="1:30" ht="15.75" customHeight="1">
      <c r="A270" s="16" t="str">
        <f>T270&amp;"_"&amp;F270&amp;VLOOKUP($C270, Factor!$AM$4:$AY$30, 7, 0)&amp;IF(COUNTIFS($C$4:C269, C270, $F$4:F269, F270)+1&gt;=100, COUNTIFS($C$4:C269, C270, $F$4:F269, F270)+1,IF(COUNTIFS($C$4:C269, C270, $F$4:F269, F270)+1&gt;=10, "0"&amp;COUNTIFS($C$4:C269, C270, $F$4:F269, F270)+1, "00"&amp;COUNTIFS($C$4:C269, C270, $F$4:F269, F270)+1))</f>
        <v>enpc_F04_A_Antlion_005</v>
      </c>
      <c r="B270" s="16"/>
      <c r="C270" s="16" t="s">
        <v>38</v>
      </c>
      <c r="D270" s="17" t="str">
        <f t="shared" si="14"/>
        <v>앤틸리온</v>
      </c>
      <c r="E270" s="17" t="str">
        <f>VLOOKUP($C270, Factor!$AM$4:$AY$30, 8, 0)</f>
        <v>M</v>
      </c>
      <c r="F270" s="17" t="s">
        <v>112</v>
      </c>
      <c r="G270" s="20">
        <v>41</v>
      </c>
      <c r="H270" s="16" t="s">
        <v>55</v>
      </c>
      <c r="I270" s="17" t="str">
        <f>VLOOKUP($C270, Factor!$AM$4:$AY$30, 11, 0)</f>
        <v>A</v>
      </c>
      <c r="J270" s="17" t="str">
        <f>VLOOKUP($C270, Factor!$AM$4:$AY$30, 12, 0)</f>
        <v>ra</v>
      </c>
      <c r="K270" s="17" t="str">
        <f>VLOOKUP($C270, Factor!$AM$4:$AY$30, 13, 0)</f>
        <v>L</v>
      </c>
      <c r="L270" s="17">
        <v>1</v>
      </c>
      <c r="M270" s="17">
        <v>1</v>
      </c>
      <c r="N270" s="17">
        <v>1</v>
      </c>
      <c r="O270" s="17">
        <v>1</v>
      </c>
      <c r="P270" s="17">
        <v>1</v>
      </c>
      <c r="Q270" s="17">
        <v>1</v>
      </c>
      <c r="R270" s="17" t="str">
        <f>VLOOKUP($C270, Factor!$AM$4:$AY$30, 9, 0)</f>
        <v>Midium</v>
      </c>
      <c r="S270" s="17" t="s">
        <v>397</v>
      </c>
      <c r="T270" s="17" t="str">
        <f>VLOOKUP($C270, Factor!$AM$4:$AY$30, 10, 0)</f>
        <v>enpc</v>
      </c>
      <c r="U270" s="17" cm="1">
        <f t="array" ref="U270">L270*VLOOKUP($I270, Factor!$B$4:$G$8, 2, 0)*VLOOKUP($J270, Factor!$B$12:$G$13, 2, 0)*VLOOKUP($K270, Factor!$B$17:$G$18, 2, 0)*VLOOKUP($H270, Factor!$J$4:$O$7, 2, 0)*VLOOKUP($F270, Factor!$Q$4:$V$15, 2, 0)*IF(MOD($G270,10)=0, 10, MOD($G270, 10))*((INDEX(Factor!$X$4:$AC$13, _xlfn.XMATCH($G270, Factor!$X$4:$X$13, 1),2)*IF(MOD(G270, 10) = 0, 10, MOD(G270, 10)))+INDEX(Factor!$AE$4:$AJ$13, _xlfn.XMATCH(MonsterData!$G270, Factor!$AE$4:$AE$13, 1),2))</f>
        <v>2016</v>
      </c>
      <c r="V270" s="17" cm="1">
        <f t="array" ref="V270">M270*VLOOKUP($I270, Factor!$B$4:$G$8, 3, 0)*VLOOKUP($J270, Factor!$B$12:$G$13, 3, 0)*VLOOKUP($K270, Factor!$B$17:$G$18, 3, 0)*VLOOKUP($H270, Factor!$J$4:$O$7, 3, 0)*VLOOKUP($F270, Factor!$Q$4:$V$15, 3, 0)*IF(MOD($G270,10)=0, 10, MOD($G270, 10))*((INDEX(Factor!$X$4:$AC$13, _xlfn.XMATCH($G270, Factor!$X$4:$X$13, 1),3)*IF(MOD(G270, 10) = 0, 10, MOD(G270, 10)))+INDEX(Factor!$AE$4:$AJ$13, _xlfn.XMATCH(MonsterData!$G270, Factor!$AE$4:$AE$13, 1),3))</f>
        <v>100.80000000000001</v>
      </c>
      <c r="W270" s="17" cm="1">
        <f t="array" ref="W270">N270*VLOOKUP($I270, Factor!$B$4:$G$8, 4, 0)*VLOOKUP($J270, Factor!$B$12:$G$13, 4, 0)*VLOOKUP($K270, Factor!$B$17:$G$18, 4, 0)*VLOOKUP($H270, Factor!$J$4:$O$7, 4, 0)*VLOOKUP($F270, Factor!$Q$4:$V$15, 4, 0)*IF(MOD($G270,10)=0, 10, MOD($G270, 10))*((INDEX(Factor!$X$4:$AC$13, _xlfn.XMATCH($G270, Factor!$X$4:$X$13, 1),4)*IF(MOD(G270, 10) = 0, 10, MOD(G270, 10)))+INDEX(Factor!$AE$4:$AJ$13, _xlfn.XMATCH(MonsterData!$G270, Factor!$AE$4:$AE$13, 1),4))</f>
        <v>90.719999999999985</v>
      </c>
      <c r="X270" s="17" cm="1">
        <f t="array" ref="X270">O270*VLOOKUP($I270, Factor!$B$4:$G$8, 5, 0)*VLOOKUP($J270, Factor!$B$12:$G$13, 5, 0)*VLOOKUP($K270, Factor!$B$17:$G$18, 5, 0)*VLOOKUP($H270, Factor!$J$4:$O$7, 5, 0)*VLOOKUP($F270, Factor!$Q$4:$V$15, 5, 0)*IF(MOD($G270,10)=0, 10, MOD($G270, 10))*((INDEX(Factor!$X$4:$AC$13, _xlfn.XMATCH($G270, Factor!$X$4:$X$13, 1),5)*IF(MOD(G270, 10) = 0, 10, MOD(G270, 10)))+INDEX(Factor!$AE$4:$AJ$13, _xlfn.XMATCH(MonsterData!$G270, Factor!$AE$4:$AE$13, 1),5))</f>
        <v>25.200000000000003</v>
      </c>
      <c r="Y270" s="17" cm="1">
        <f t="array" ref="Y270">P270*VLOOKUP($I270, Factor!$B$4:$G$8, 6, 0)*VLOOKUP($J270, Factor!$B$12:$G$13, 6, 0)*VLOOKUP($K270, Factor!$B$17:$G$18, 6, 0)*VLOOKUP($H270, Factor!$J$4:$O$7, 2, 0)*VLOOKUP($F270, Factor!$Q$4:$V$15, 6, 0)*IF(MOD($G270,10)=0, 10, MOD($G270, 10))*((INDEX(Factor!$X$4:$AC$13, _xlfn.XMATCH($G270, Factor!$X$4:$X$13, 1),6)*IF(MOD(G270, 10) = 0, 10, MOD(G270, 10)))+INDEX(Factor!$AE$4:$AJ$13, _xlfn.XMATCH(MonsterData!$G270, Factor!$AE$4:$AE$13, 1),6))</f>
        <v>84</v>
      </c>
      <c r="Z270" s="17">
        <f>$Q270*VLOOKUP($J270, Factor!$B$12:$H$13, 7, 0)</f>
        <v>4</v>
      </c>
      <c r="AA270" s="17">
        <v>1</v>
      </c>
      <c r="AB270" s="17">
        <f t="shared" si="13"/>
        <v>4</v>
      </c>
      <c r="AC270" s="17" t="s">
        <v>139</v>
      </c>
      <c r="AD270" s="19" t="s">
        <v>142</v>
      </c>
    </row>
    <row r="271" spans="1:30" ht="15.75" customHeight="1">
      <c r="A271" s="13" t="str">
        <f>T271&amp;"_"&amp;F271&amp;VLOOKUP($C271, Factor!$AM$4:$AY$30, 7, 0)&amp;IF(COUNTIFS($C$4:C270, C271, $F$4:F270, F271)+1&gt;=100, COUNTIFS($C$4:C270, C271, $F$4:F270, F271)+1,IF(COUNTIFS($C$4:C270, C271, $F$4:F270, F271)+1&gt;=10, "0"&amp;COUNTIFS($C$4:C270, C271, $F$4:F270, F271)+1, "00"&amp;COUNTIFS($C$4:C270, C271, $F$4:F270, F271)+1))</f>
        <v>enpc_F04_A_Nymphe_005</v>
      </c>
      <c r="B271" s="13"/>
      <c r="C271" s="13" t="s">
        <v>39</v>
      </c>
      <c r="D271" s="21" t="str">
        <f t="shared" si="14"/>
        <v>님프</v>
      </c>
      <c r="E271" s="21" t="str">
        <f>VLOOKUP($C271, Factor!$AM$4:$AY$30, 8, 0)</f>
        <v>S</v>
      </c>
      <c r="F271" s="21" t="s">
        <v>112</v>
      </c>
      <c r="G271" s="22">
        <v>41</v>
      </c>
      <c r="H271" s="13" t="s">
        <v>55</v>
      </c>
      <c r="I271" s="21" t="str">
        <f>VLOOKUP($C271, Factor!$AM$4:$AY$30, 11, 0)</f>
        <v>A</v>
      </c>
      <c r="J271" s="21" t="str">
        <f>VLOOKUP($C271, Factor!$AM$4:$AY$30, 12, 0)</f>
        <v>ml</v>
      </c>
      <c r="K271" s="21" t="str">
        <f>VLOOKUP($C271, Factor!$AM$4:$AY$30, 13, 0)</f>
        <v>F</v>
      </c>
      <c r="L271" s="13">
        <v>1</v>
      </c>
      <c r="M271" s="13">
        <v>1</v>
      </c>
      <c r="N271" s="13">
        <v>1</v>
      </c>
      <c r="O271" s="13">
        <v>1</v>
      </c>
      <c r="P271" s="13">
        <v>1</v>
      </c>
      <c r="Q271" s="13">
        <v>1</v>
      </c>
      <c r="R271" s="21" t="str">
        <f>VLOOKUP($C271, Factor!$AM$4:$AY$30, 9, 0)</f>
        <v>Small</v>
      </c>
      <c r="S271" s="13" t="s">
        <v>409</v>
      </c>
      <c r="T271" s="21" t="str">
        <f>VLOOKUP($C271, Factor!$AM$4:$AY$30, 10, 0)</f>
        <v>enpc</v>
      </c>
      <c r="U271" s="21" cm="1">
        <f t="array" ref="U271">L271*VLOOKUP($I271, Factor!$B$4:$G$8, 2, 0)*VLOOKUP($J271, Factor!$B$12:$G$13, 2, 0)*VLOOKUP($K271, Factor!$B$17:$G$18, 2, 0)*VLOOKUP($H271, Factor!$J$4:$O$7, 2, 0)*VLOOKUP($F271, Factor!$Q$4:$V$15, 2, 0)*IF(MOD($G271,10)=0, 10, MOD($G271, 10))*((INDEX(Factor!$X$4:$AC$13, _xlfn.XMATCH($G271, Factor!$X$4:$X$13, 1),2)*IF(MOD(G271, 10) = 0, 10, MOD(G271, 10)))+INDEX(Factor!$AE$4:$AJ$13, _xlfn.XMATCH(MonsterData!$G271, Factor!$AE$4:$AE$13, 1),2))</f>
        <v>1680</v>
      </c>
      <c r="V271" s="21" cm="1">
        <f t="array" ref="V271">M271*VLOOKUP($I271, Factor!$B$4:$G$8, 3, 0)*VLOOKUP($J271, Factor!$B$12:$G$13, 3, 0)*VLOOKUP($K271, Factor!$B$17:$G$18, 3, 0)*VLOOKUP($H271, Factor!$J$4:$O$7, 3, 0)*VLOOKUP($F271, Factor!$Q$4:$V$15, 3, 0)*IF(MOD($G271,10)=0, 10, MOD($G271, 10))*((INDEX(Factor!$X$4:$AC$13, _xlfn.XMATCH($G271, Factor!$X$4:$X$13, 1),3)*IF(MOD(G271, 10) = 0, 10, MOD(G271, 10)))+INDEX(Factor!$AE$4:$AJ$13, _xlfn.XMATCH(MonsterData!$G271, Factor!$AE$4:$AE$13, 1),3))</f>
        <v>84</v>
      </c>
      <c r="W271" s="21" cm="1">
        <f t="array" ref="W271">N271*VLOOKUP($I271, Factor!$B$4:$G$8, 4, 0)*VLOOKUP($J271, Factor!$B$12:$G$13, 4, 0)*VLOOKUP($K271, Factor!$B$17:$G$18, 4, 0)*VLOOKUP($H271, Factor!$J$4:$O$7, 4, 0)*VLOOKUP($F271, Factor!$Q$4:$V$15, 4, 0)*IF(MOD($G271,10)=0, 10, MOD($G271, 10))*((INDEX(Factor!$X$4:$AC$13, _xlfn.XMATCH($G271, Factor!$X$4:$X$13, 1),4)*IF(MOD(G271, 10) = 0, 10, MOD(G271, 10)))+INDEX(Factor!$AE$4:$AJ$13, _xlfn.XMATCH(MonsterData!$G271, Factor!$AE$4:$AE$13, 1),4))</f>
        <v>50.400000000000006</v>
      </c>
      <c r="X271" s="21" cm="1">
        <f t="array" ref="X271">O271*VLOOKUP($I271, Factor!$B$4:$G$8, 5, 0)*VLOOKUP($J271, Factor!$B$12:$G$13, 5, 0)*VLOOKUP($K271, Factor!$B$17:$G$18, 5, 0)*VLOOKUP($H271, Factor!$J$4:$O$7, 5, 0)*VLOOKUP($F271, Factor!$Q$4:$V$15, 5, 0)*IF(MOD($G271,10)=0, 10, MOD($G271, 10))*((INDEX(Factor!$X$4:$AC$13, _xlfn.XMATCH($G271, Factor!$X$4:$X$13, 1),5)*IF(MOD(G271, 10) = 0, 10, MOD(G271, 10)))+INDEX(Factor!$AE$4:$AJ$13, _xlfn.XMATCH(MonsterData!$G271, Factor!$AE$4:$AE$13, 1),5))</f>
        <v>16.8</v>
      </c>
      <c r="Y271" s="21" cm="1">
        <f t="array" ref="Y271">P271*VLOOKUP($I271, Factor!$B$4:$G$8, 6, 0)*VLOOKUP($J271, Factor!$B$12:$G$13, 6, 0)*VLOOKUP($K271, Factor!$B$17:$G$18, 6, 0)*VLOOKUP($H271, Factor!$J$4:$O$7, 2, 0)*VLOOKUP($F271, Factor!$Q$4:$V$15, 6, 0)*IF(MOD($G271,10)=0, 10, MOD($G271, 10))*((INDEX(Factor!$X$4:$AC$13, _xlfn.XMATCH($G271, Factor!$X$4:$X$13, 1),6)*IF(MOD(G271, 10) = 0, 10, MOD(G271, 10)))+INDEX(Factor!$AE$4:$AJ$13, _xlfn.XMATCH(MonsterData!$G271, Factor!$AE$4:$AE$13, 1),6))</f>
        <v>252</v>
      </c>
      <c r="Z271" s="21">
        <f>$Q271*VLOOKUP($J271, Factor!$B$12:$H$13, 7, 0)</f>
        <v>1</v>
      </c>
      <c r="AA271" s="13">
        <v>1</v>
      </c>
      <c r="AB271" s="21">
        <f t="shared" si="13"/>
        <v>0</v>
      </c>
      <c r="AC271" s="13" t="s">
        <v>139</v>
      </c>
      <c r="AD271" s="15" t="s">
        <v>142</v>
      </c>
    </row>
    <row r="272" spans="1:30" ht="15.75" customHeight="1">
      <c r="A272" s="16" t="str">
        <f>T272&amp;"_"&amp;F272&amp;VLOOKUP($C272, Factor!$AM$4:$AY$30, 7, 0)&amp;IF(COUNTIFS($C$4:C271, C272, $F$4:F271, F272)+1&gt;=100, COUNTIFS($C$4:C271, C272, $F$4:F271, F272)+1,IF(COUNTIFS($C$4:C271, C272, $F$4:F271, F272)+1&gt;=10, "0"&amp;COUNTIFS($C$4:C271, C272, $F$4:F271, F272)+1, "00"&amp;COUNTIFS($C$4:C271, C272, $F$4:F271, F272)+1))</f>
        <v>enpc_F04_B_Golem_005</v>
      </c>
      <c r="B272" s="16"/>
      <c r="C272" s="16" t="s">
        <v>40</v>
      </c>
      <c r="D272" s="17" t="str">
        <f t="shared" si="14"/>
        <v>골렘</v>
      </c>
      <c r="E272" s="17" t="str">
        <f>VLOOKUP($C272, Factor!$AM$4:$AY$30, 8, 0)</f>
        <v>B</v>
      </c>
      <c r="F272" s="17" t="s">
        <v>112</v>
      </c>
      <c r="G272" s="20">
        <v>65</v>
      </c>
      <c r="H272" s="16" t="s">
        <v>57</v>
      </c>
      <c r="I272" s="17" t="str">
        <f>VLOOKUP($C272, Factor!$AM$4:$AY$30, 11, 0)</f>
        <v>B</v>
      </c>
      <c r="J272" s="17" t="str">
        <f>VLOOKUP($C272, Factor!$AM$4:$AY$30, 12, 0)</f>
        <v>ml</v>
      </c>
      <c r="K272" s="17" t="str">
        <f>VLOOKUP($C272, Factor!$AM$4:$AY$30, 13, 0)</f>
        <v>L</v>
      </c>
      <c r="L272" s="17">
        <v>1</v>
      </c>
      <c r="M272" s="17">
        <v>1</v>
      </c>
      <c r="N272" s="17">
        <v>1</v>
      </c>
      <c r="O272" s="17">
        <v>1</v>
      </c>
      <c r="P272" s="17">
        <v>1</v>
      </c>
      <c r="Q272" s="17">
        <v>1</v>
      </c>
      <c r="R272" s="17" t="str">
        <f>VLOOKUP($C272, Factor!$AM$4:$AY$30, 9, 0)</f>
        <v>Big</v>
      </c>
      <c r="S272" s="17" t="s">
        <v>398</v>
      </c>
      <c r="T272" s="17" t="str">
        <f>VLOOKUP($C272, Factor!$AM$4:$AY$30, 10, 0)</f>
        <v>enpc</v>
      </c>
      <c r="U272" s="17" cm="1">
        <f t="array" ref="U272">L272*VLOOKUP($I272, Factor!$B$4:$G$8, 2, 0)*VLOOKUP($J272, Factor!$B$12:$G$13, 2, 0)*VLOOKUP($K272, Factor!$B$17:$G$18, 2, 0)*VLOOKUP($H272, Factor!$J$4:$O$7, 2, 0)*VLOOKUP($F272, Factor!$Q$4:$V$15, 2, 0)*IF(MOD($G272,10)=0, 10, MOD($G272, 10))*((INDEX(Factor!$X$4:$AC$13, _xlfn.XMATCH($G272, Factor!$X$4:$X$13, 1),2)*IF(MOD(G272, 10) = 0, 10, MOD(G272, 10)))+INDEX(Factor!$AE$4:$AJ$13, _xlfn.XMATCH(MonsterData!$G272, Factor!$AE$4:$AE$13, 1),2))</f>
        <v>294000</v>
      </c>
      <c r="V272" s="17" cm="1">
        <f t="array" ref="V272">M272*VLOOKUP($I272, Factor!$B$4:$G$8, 3, 0)*VLOOKUP($J272, Factor!$B$12:$G$13, 3, 0)*VLOOKUP($K272, Factor!$B$17:$G$18, 3, 0)*VLOOKUP($H272, Factor!$J$4:$O$7, 3, 0)*VLOOKUP($F272, Factor!$Q$4:$V$15, 3, 0)*IF(MOD($G272,10)=0, 10, MOD($G272, 10))*((INDEX(Factor!$X$4:$AC$13, _xlfn.XMATCH($G272, Factor!$X$4:$X$13, 1),3)*IF(MOD(G272, 10) = 0, 10, MOD(G272, 10)))+INDEX(Factor!$AE$4:$AJ$13, _xlfn.XMATCH(MonsterData!$G272, Factor!$AE$4:$AE$13, 1),3))</f>
        <v>14700</v>
      </c>
      <c r="W272" s="17" cm="1">
        <f t="array" ref="W272">N272*VLOOKUP($I272, Factor!$B$4:$G$8, 4, 0)*VLOOKUP($J272, Factor!$B$12:$G$13, 4, 0)*VLOOKUP($K272, Factor!$B$17:$G$18, 4, 0)*VLOOKUP($H272, Factor!$J$4:$O$7, 4, 0)*VLOOKUP($F272, Factor!$Q$4:$V$15, 4, 0)*IF(MOD($G272,10)=0, 10, MOD($G272, 10))*((INDEX(Factor!$X$4:$AC$13, _xlfn.XMATCH($G272, Factor!$X$4:$X$13, 1),4)*IF(MOD(G272, 10) = 0, 10, MOD(G272, 10)))+INDEX(Factor!$AE$4:$AJ$13, _xlfn.XMATCH(MonsterData!$G272, Factor!$AE$4:$AE$13, 1),4))</f>
        <v>735</v>
      </c>
      <c r="X272" s="17" cm="1">
        <f t="array" ref="X272">O272*VLOOKUP($I272, Factor!$B$4:$G$8, 5, 0)*VLOOKUP($J272, Factor!$B$12:$G$13, 5, 0)*VLOOKUP($K272, Factor!$B$17:$G$18, 5, 0)*VLOOKUP($H272, Factor!$J$4:$O$7, 5, 0)*VLOOKUP($F272, Factor!$Q$4:$V$15, 5, 0)*IF(MOD($G272,10)=0, 10, MOD($G272, 10))*((INDEX(Factor!$X$4:$AC$13, _xlfn.XMATCH($G272, Factor!$X$4:$X$13, 1),5)*IF(MOD(G272, 10) = 0, 10, MOD(G272, 10)))+INDEX(Factor!$AE$4:$AJ$13, _xlfn.XMATCH(MonsterData!$G272, Factor!$AE$4:$AE$13, 1),5))</f>
        <v>784</v>
      </c>
      <c r="Y272" s="17" cm="1">
        <f t="array" ref="Y272">P272*VLOOKUP($I272, Factor!$B$4:$G$8, 6, 0)*VLOOKUP($J272, Factor!$B$12:$G$13, 6, 0)*VLOOKUP($K272, Factor!$B$17:$G$18, 6, 0)*VLOOKUP($H272, Factor!$J$4:$O$7, 2, 0)*VLOOKUP($F272, Factor!$Q$4:$V$15, 6, 0)*IF(MOD($G272,10)=0, 10, MOD($G272, 10))*((INDEX(Factor!$X$4:$AC$13, _xlfn.XMATCH($G272, Factor!$X$4:$X$13, 1),6)*IF(MOD(G272, 10) = 0, 10, MOD(G272, 10)))+INDEX(Factor!$AE$4:$AJ$13, _xlfn.XMATCH(MonsterData!$G272, Factor!$AE$4:$AE$13, 1),6))</f>
        <v>1568</v>
      </c>
      <c r="Z272" s="17">
        <f>$Q272*VLOOKUP($J272, Factor!$B$12:$H$13, 7, 0)</f>
        <v>1</v>
      </c>
      <c r="AA272" s="17">
        <v>1</v>
      </c>
      <c r="AB272" s="17">
        <f t="shared" si="13"/>
        <v>0</v>
      </c>
      <c r="AC272" s="17" t="s">
        <v>140</v>
      </c>
      <c r="AD272" s="19" t="s">
        <v>143</v>
      </c>
    </row>
    <row r="273" spans="1:30" ht="15.75" customHeight="1">
      <c r="A273" s="13" t="str">
        <f>T273&amp;"_"&amp;F273&amp;VLOOKUP($C273, Factor!$AM$4:$AY$30, 7, 0)&amp;IF(COUNTIFS($C$4:C272, C273, $F$4:F272, F273)+1&gt;=100, COUNTIFS($C$4:C272, C273, $F$4:F272, F273)+1,IF(COUNTIFS($C$4:C272, C273, $F$4:F272, F273)+1&gt;=10, "0"&amp;COUNTIFS($C$4:C272, C273, $F$4:F272, F273)+1, "00"&amp;COUNTIFS($C$4:C272, C273, $F$4:F272, F273)+1))</f>
        <v>enpc_F04_B_Banshee_005</v>
      </c>
      <c r="B273" s="13"/>
      <c r="C273" s="13" t="s">
        <v>42</v>
      </c>
      <c r="D273" s="21" t="str">
        <f t="shared" si="14"/>
        <v>밴시</v>
      </c>
      <c r="E273" s="21" t="str">
        <f>VLOOKUP($C273, Factor!$AM$4:$AY$30, 8, 0)</f>
        <v>S</v>
      </c>
      <c r="F273" s="21" t="s">
        <v>112</v>
      </c>
      <c r="G273" s="22">
        <v>65</v>
      </c>
      <c r="H273" s="13" t="s">
        <v>56</v>
      </c>
      <c r="I273" s="21" t="str">
        <f>VLOOKUP($C273, Factor!$AM$4:$AY$30, 11, 0)</f>
        <v>B</v>
      </c>
      <c r="J273" s="21" t="str">
        <f>VLOOKUP($C273, Factor!$AM$4:$AY$30, 12, 0)</f>
        <v>ra</v>
      </c>
      <c r="K273" s="21" t="str">
        <f>VLOOKUP($C273, Factor!$AM$4:$AY$30, 13, 0)</f>
        <v>L</v>
      </c>
      <c r="L273" s="13">
        <v>1</v>
      </c>
      <c r="M273" s="13">
        <v>1</v>
      </c>
      <c r="N273" s="13">
        <v>1</v>
      </c>
      <c r="O273" s="13">
        <v>1</v>
      </c>
      <c r="P273" s="13">
        <v>1</v>
      </c>
      <c r="Q273" s="13">
        <v>1</v>
      </c>
      <c r="R273" s="21" t="str">
        <f>VLOOKUP($C273, Factor!$AM$4:$AY$30, 9, 0)</f>
        <v>Midium</v>
      </c>
      <c r="S273" s="13" t="s">
        <v>410</v>
      </c>
      <c r="T273" s="21" t="str">
        <f>VLOOKUP($C273, Factor!$AM$4:$AY$30, 10, 0)</f>
        <v>enpc</v>
      </c>
      <c r="U273" s="21" cm="1">
        <f t="array" ref="U273">L273*VLOOKUP($I273, Factor!$B$4:$G$8, 2, 0)*VLOOKUP($J273, Factor!$B$12:$G$13, 2, 0)*VLOOKUP($K273, Factor!$B$17:$G$18, 2, 0)*VLOOKUP($H273, Factor!$J$4:$O$7, 2, 0)*VLOOKUP($F273, Factor!$Q$4:$V$15, 2, 0)*IF(MOD($G273,10)=0, 10, MOD($G273, 10))*((INDEX(Factor!$X$4:$AC$13, _xlfn.XMATCH($G273, Factor!$X$4:$X$13, 1),2)*IF(MOD(G273, 10) = 0, 10, MOD(G273, 10)))+INDEX(Factor!$AE$4:$AJ$13, _xlfn.XMATCH(MonsterData!$G273, Factor!$AE$4:$AE$13, 1),2))</f>
        <v>117600</v>
      </c>
      <c r="V273" s="21" cm="1">
        <f t="array" ref="V273">M273*VLOOKUP($I273, Factor!$B$4:$G$8, 3, 0)*VLOOKUP($J273, Factor!$B$12:$G$13, 3, 0)*VLOOKUP($K273, Factor!$B$17:$G$18, 3, 0)*VLOOKUP($H273, Factor!$J$4:$O$7, 3, 0)*VLOOKUP($F273, Factor!$Q$4:$V$15, 3, 0)*IF(MOD($G273,10)=0, 10, MOD($G273, 10))*((INDEX(Factor!$X$4:$AC$13, _xlfn.XMATCH($G273, Factor!$X$4:$X$13, 1),3)*IF(MOD(G273, 10) = 0, 10, MOD(G273, 10)))+INDEX(Factor!$AE$4:$AJ$13, _xlfn.XMATCH(MonsterData!$G273, Factor!$AE$4:$AE$13, 1),3))</f>
        <v>5880</v>
      </c>
      <c r="W273" s="21" cm="1">
        <f t="array" ref="W273">N273*VLOOKUP($I273, Factor!$B$4:$G$8, 4, 0)*VLOOKUP($J273, Factor!$B$12:$G$13, 4, 0)*VLOOKUP($K273, Factor!$B$17:$G$18, 4, 0)*VLOOKUP($H273, Factor!$J$4:$O$7, 4, 0)*VLOOKUP($F273, Factor!$Q$4:$V$15, 4, 0)*IF(MOD($G273,10)=0, 10, MOD($G273, 10))*((INDEX(Factor!$X$4:$AC$13, _xlfn.XMATCH($G273, Factor!$X$4:$X$13, 1),4)*IF(MOD(G273, 10) = 0, 10, MOD(G273, 10)))+INDEX(Factor!$AE$4:$AJ$13, _xlfn.XMATCH(MonsterData!$G273, Factor!$AE$4:$AE$13, 1),4))</f>
        <v>17640</v>
      </c>
      <c r="X273" s="21" cm="1">
        <f t="array" ref="X273">O273*VLOOKUP($I273, Factor!$B$4:$G$8, 5, 0)*VLOOKUP($J273, Factor!$B$12:$G$13, 5, 0)*VLOOKUP($K273, Factor!$B$17:$G$18, 5, 0)*VLOOKUP($H273, Factor!$J$4:$O$7, 5, 0)*VLOOKUP($F273, Factor!$Q$4:$V$15, 5, 0)*IF(MOD($G273,10)=0, 10, MOD($G273, 10))*((INDEX(Factor!$X$4:$AC$13, _xlfn.XMATCH($G273, Factor!$X$4:$X$13, 1),5)*IF(MOD(G273, 10) = 0, 10, MOD(G273, 10)))+INDEX(Factor!$AE$4:$AJ$13, _xlfn.XMATCH(MonsterData!$G273, Factor!$AE$4:$AE$13, 1),5))</f>
        <v>529.20000000000005</v>
      </c>
      <c r="Y273" s="21" cm="1">
        <f t="array" ref="Y273">P273*VLOOKUP($I273, Factor!$B$4:$G$8, 6, 0)*VLOOKUP($J273, Factor!$B$12:$G$13, 6, 0)*VLOOKUP($K273, Factor!$B$17:$G$18, 6, 0)*VLOOKUP($H273, Factor!$J$4:$O$7, 2, 0)*VLOOKUP($F273, Factor!$Q$4:$V$15, 6, 0)*IF(MOD($G273,10)=0, 10, MOD($G273, 10))*((INDEX(Factor!$X$4:$AC$13, _xlfn.XMATCH($G273, Factor!$X$4:$X$13, 1),6)*IF(MOD(G273, 10) = 0, 10, MOD(G273, 10)))+INDEX(Factor!$AE$4:$AJ$13, _xlfn.XMATCH(MonsterData!$G273, Factor!$AE$4:$AE$13, 1),6))</f>
        <v>784</v>
      </c>
      <c r="Z273" s="21">
        <f>$Q273*VLOOKUP($J273, Factor!$B$12:$H$13, 7, 0)</f>
        <v>4</v>
      </c>
      <c r="AA273" s="13">
        <v>1</v>
      </c>
      <c r="AB273" s="21">
        <f t="shared" si="13"/>
        <v>4</v>
      </c>
      <c r="AC273" s="13" t="s">
        <v>141</v>
      </c>
      <c r="AD273" s="15" t="s">
        <v>144</v>
      </c>
    </row>
    <row r="274" spans="1:30" ht="15.75" customHeight="1">
      <c r="A274" s="16" t="str">
        <f>T274&amp;"_"&amp;F274&amp;VLOOKUP($C274, Factor!$AM$4:$AY$30, 7, 0)&amp;IF(COUNTIFS($C$4:C273, C274, $F$4:F273, F274)+1&gt;=100, COUNTIFS($C$4:C273, C274, $F$4:F273, F274)+1,IF(COUNTIFS($C$4:C273, C274, $F$4:F273, F274)+1&gt;=10, "0"&amp;COUNTIFS($C$4:C273, C274, $F$4:F273, F274)+1, "00"&amp;COUNTIFS($C$4:C273, C274, $F$4:F273, F274)+1))</f>
        <v>enpc_F04_A_Scarab_005</v>
      </c>
      <c r="B274" s="16"/>
      <c r="C274" s="16" t="s">
        <v>353</v>
      </c>
      <c r="D274" s="17" t="str">
        <f t="shared" si="14"/>
        <v>스캐럽</v>
      </c>
      <c r="E274" s="17" t="str">
        <f>VLOOKUP($C274, Factor!$AM$4:$AY$30, 8, 0)</f>
        <v>S</v>
      </c>
      <c r="F274" s="17" t="s">
        <v>112</v>
      </c>
      <c r="G274" s="20">
        <v>41</v>
      </c>
      <c r="H274" s="16" t="s">
        <v>55</v>
      </c>
      <c r="I274" s="17" t="str">
        <f>VLOOKUP($C274, Factor!$AM$4:$AY$30, 11, 0)</f>
        <v>A</v>
      </c>
      <c r="J274" s="17" t="str">
        <f>VLOOKUP($C274, Factor!$AM$4:$AY$30, 12, 0)</f>
        <v>ml</v>
      </c>
      <c r="K274" s="17" t="str">
        <f>VLOOKUP($C274, Factor!$AM$4:$AY$30, 13, 0)</f>
        <v>L</v>
      </c>
      <c r="L274" s="17">
        <v>1</v>
      </c>
      <c r="M274" s="17">
        <v>1</v>
      </c>
      <c r="N274" s="17">
        <v>1</v>
      </c>
      <c r="O274" s="17">
        <v>1</v>
      </c>
      <c r="P274" s="17">
        <v>1</v>
      </c>
      <c r="Q274" s="17">
        <v>1</v>
      </c>
      <c r="R274" s="17" t="str">
        <f>VLOOKUP($C274, Factor!$AM$4:$AY$30, 9, 0)</f>
        <v>Midium</v>
      </c>
      <c r="S274" s="17" t="s">
        <v>399</v>
      </c>
      <c r="T274" s="17" t="str">
        <f>VLOOKUP($C274, Factor!$AM$4:$AY$30, 10, 0)</f>
        <v>enpc</v>
      </c>
      <c r="U274" s="17" cm="1">
        <f t="array" ref="U274">L274*VLOOKUP($I274, Factor!$B$4:$G$8, 2, 0)*VLOOKUP($J274, Factor!$B$12:$G$13, 2, 0)*VLOOKUP($K274, Factor!$B$17:$G$18, 2, 0)*VLOOKUP($H274, Factor!$J$4:$O$7, 2, 0)*VLOOKUP($F274, Factor!$Q$4:$V$15, 2, 0)*IF(MOD($G274,10)=0, 10, MOD($G274, 10))*((INDEX(Factor!$X$4:$AC$13, _xlfn.XMATCH($G274, Factor!$X$4:$X$13, 1),2)*IF(MOD(G274, 10) = 0, 10, MOD(G274, 10)))+INDEX(Factor!$AE$4:$AJ$13, _xlfn.XMATCH(MonsterData!$G274, Factor!$AE$4:$AE$13, 1),2))</f>
        <v>2520</v>
      </c>
      <c r="V274" s="17" cm="1">
        <f t="array" ref="V274">M274*VLOOKUP($I274, Factor!$B$4:$G$8, 3, 0)*VLOOKUP($J274, Factor!$B$12:$G$13, 3, 0)*VLOOKUP($K274, Factor!$B$17:$G$18, 3, 0)*VLOOKUP($H274, Factor!$J$4:$O$7, 3, 0)*VLOOKUP($F274, Factor!$Q$4:$V$15, 3, 0)*IF(MOD($G274,10)=0, 10, MOD($G274, 10))*((INDEX(Factor!$X$4:$AC$13, _xlfn.XMATCH($G274, Factor!$X$4:$X$13, 1),3)*IF(MOD(G274, 10) = 0, 10, MOD(G274, 10)))+INDEX(Factor!$AE$4:$AJ$13, _xlfn.XMATCH(MonsterData!$G274, Factor!$AE$4:$AE$13, 1),3))</f>
        <v>126</v>
      </c>
      <c r="W274" s="17" cm="1">
        <f t="array" ref="W274">N274*VLOOKUP($I274, Factor!$B$4:$G$8, 4, 0)*VLOOKUP($J274, Factor!$B$12:$G$13, 4, 0)*VLOOKUP($K274, Factor!$B$17:$G$18, 4, 0)*VLOOKUP($H274, Factor!$J$4:$O$7, 4, 0)*VLOOKUP($F274, Factor!$Q$4:$V$15, 4, 0)*IF(MOD($G274,10)=0, 10, MOD($G274, 10))*((INDEX(Factor!$X$4:$AC$13, _xlfn.XMATCH($G274, Factor!$X$4:$X$13, 1),4)*IF(MOD(G274, 10) = 0, 10, MOD(G274, 10)))+INDEX(Factor!$AE$4:$AJ$13, _xlfn.XMATCH(MonsterData!$G274, Factor!$AE$4:$AE$13, 1),4))</f>
        <v>75.600000000000009</v>
      </c>
      <c r="X274" s="17" cm="1">
        <f t="array" ref="X274">O274*VLOOKUP($I274, Factor!$B$4:$G$8, 5, 0)*VLOOKUP($J274, Factor!$B$12:$G$13, 5, 0)*VLOOKUP($K274, Factor!$B$17:$G$18, 5, 0)*VLOOKUP($H274, Factor!$J$4:$O$7, 5, 0)*VLOOKUP($F274, Factor!$Q$4:$V$15, 5, 0)*IF(MOD($G274,10)=0, 10, MOD($G274, 10))*((INDEX(Factor!$X$4:$AC$13, _xlfn.XMATCH($G274, Factor!$X$4:$X$13, 1),5)*IF(MOD(G274, 10) = 0, 10, MOD(G274, 10)))+INDEX(Factor!$AE$4:$AJ$13, _xlfn.XMATCH(MonsterData!$G274, Factor!$AE$4:$AE$13, 1),5))</f>
        <v>16.8</v>
      </c>
      <c r="Y274" s="17" cm="1">
        <f t="array" ref="Y274">P274*VLOOKUP($I274, Factor!$B$4:$G$8, 6, 0)*VLOOKUP($J274, Factor!$B$12:$G$13, 6, 0)*VLOOKUP($K274, Factor!$B$17:$G$18, 6, 0)*VLOOKUP($H274, Factor!$J$4:$O$7, 2, 0)*VLOOKUP($F274, Factor!$Q$4:$V$15, 6, 0)*IF(MOD($G274,10)=0, 10, MOD($G274, 10))*((INDEX(Factor!$X$4:$AC$13, _xlfn.XMATCH($G274, Factor!$X$4:$X$13, 1),6)*IF(MOD(G274, 10) = 0, 10, MOD(G274, 10)))+INDEX(Factor!$AE$4:$AJ$13, _xlfn.XMATCH(MonsterData!$G274, Factor!$AE$4:$AE$13, 1),6))</f>
        <v>84</v>
      </c>
      <c r="Z274" s="17">
        <f>$Q274*VLOOKUP($J274, Factor!$B$12:$H$13, 7, 0)</f>
        <v>1</v>
      </c>
      <c r="AA274" s="17">
        <v>1</v>
      </c>
      <c r="AB274" s="17">
        <f t="shared" si="13"/>
        <v>0</v>
      </c>
      <c r="AC274" s="17" t="s">
        <v>139</v>
      </c>
      <c r="AD274" s="19" t="s">
        <v>387</v>
      </c>
    </row>
    <row r="275" spans="1:30" ht="15.75" customHeight="1">
      <c r="A275" s="13" t="str">
        <f>T275&amp;"_"&amp;F275&amp;VLOOKUP($C275, Factor!$AM$4:$AY$30, 7, 0)&amp;IF(COUNTIFS($C$4:C274, C275, $F$4:F274, F275)+1&gt;=100, COUNTIFS($C$4:C274, C275, $F$4:F274, F275)+1,IF(COUNTIFS($C$4:C274, C275, $F$4:F274, F275)+1&gt;=10, "0"&amp;COUNTIFS($C$4:C274, C275, $F$4:F274, F275)+1, "00"&amp;COUNTIFS($C$4:C274, C275, $F$4:F274, F275)+1))</f>
        <v>enpc_F04_A_Swarmlet_005</v>
      </c>
      <c r="B275" s="13"/>
      <c r="C275" s="13" t="s">
        <v>355</v>
      </c>
      <c r="D275" s="21" t="str">
        <f t="shared" si="14"/>
        <v>스웜렛</v>
      </c>
      <c r="E275" s="21" t="str">
        <f>VLOOKUP($C275, Factor!$AM$4:$AY$30, 8, 0)</f>
        <v>B</v>
      </c>
      <c r="F275" s="21" t="s">
        <v>112</v>
      </c>
      <c r="G275" s="22">
        <v>41</v>
      </c>
      <c r="H275" s="13" t="s">
        <v>56</v>
      </c>
      <c r="I275" s="21" t="str">
        <f>VLOOKUP($C275, Factor!$AM$4:$AY$30, 11, 0)</f>
        <v>A</v>
      </c>
      <c r="J275" s="21" t="str">
        <f>VLOOKUP($C275, Factor!$AM$4:$AY$30, 12, 0)</f>
        <v>ml</v>
      </c>
      <c r="K275" s="21" t="str">
        <f>VLOOKUP($C275, Factor!$AM$4:$AY$30, 13, 0)</f>
        <v>L</v>
      </c>
      <c r="L275" s="13">
        <v>1</v>
      </c>
      <c r="M275" s="13">
        <v>1</v>
      </c>
      <c r="N275" s="13">
        <v>1</v>
      </c>
      <c r="O275" s="13">
        <v>1</v>
      </c>
      <c r="P275" s="13">
        <v>1</v>
      </c>
      <c r="Q275" s="13">
        <v>1</v>
      </c>
      <c r="R275" s="21" t="str">
        <f>VLOOKUP($C275, Factor!$AM$4:$AY$30, 9, 0)</f>
        <v>Small</v>
      </c>
      <c r="S275" s="13" t="s">
        <v>405</v>
      </c>
      <c r="T275" s="21" t="str">
        <f>VLOOKUP($C275, Factor!$AM$4:$AY$30, 10, 0)</f>
        <v>enpc</v>
      </c>
      <c r="U275" s="21" cm="1">
        <f t="array" ref="U275">L275*VLOOKUP($I275, Factor!$B$4:$G$8, 2, 0)*VLOOKUP($J275, Factor!$B$12:$G$13, 2, 0)*VLOOKUP($K275, Factor!$B$17:$G$18, 2, 0)*VLOOKUP($H275, Factor!$J$4:$O$7, 2, 0)*VLOOKUP($F275, Factor!$Q$4:$V$15, 2, 0)*IF(MOD($G275,10)=0, 10, MOD($G275, 10))*((INDEX(Factor!$X$4:$AC$13, _xlfn.XMATCH($G275, Factor!$X$4:$X$13, 1),2)*IF(MOD(G275, 10) = 0, 10, MOD(G275, 10)))+INDEX(Factor!$AE$4:$AJ$13, _xlfn.XMATCH(MonsterData!$G275, Factor!$AE$4:$AE$13, 1),2))</f>
        <v>2520</v>
      </c>
      <c r="V275" s="21" cm="1">
        <f t="array" ref="V275">M275*VLOOKUP($I275, Factor!$B$4:$G$8, 3, 0)*VLOOKUP($J275, Factor!$B$12:$G$13, 3, 0)*VLOOKUP($K275, Factor!$B$17:$G$18, 3, 0)*VLOOKUP($H275, Factor!$J$4:$O$7, 3, 0)*VLOOKUP($F275, Factor!$Q$4:$V$15, 3, 0)*IF(MOD($G275,10)=0, 10, MOD($G275, 10))*((INDEX(Factor!$X$4:$AC$13, _xlfn.XMATCH($G275, Factor!$X$4:$X$13, 1),3)*IF(MOD(G275, 10) = 0, 10, MOD(G275, 10)))+INDEX(Factor!$AE$4:$AJ$13, _xlfn.XMATCH(MonsterData!$G275, Factor!$AE$4:$AE$13, 1),3))</f>
        <v>126</v>
      </c>
      <c r="W275" s="21" cm="1">
        <f t="array" ref="W275">N275*VLOOKUP($I275, Factor!$B$4:$G$8, 4, 0)*VLOOKUP($J275, Factor!$B$12:$G$13, 4, 0)*VLOOKUP($K275, Factor!$B$17:$G$18, 4, 0)*VLOOKUP($H275, Factor!$J$4:$O$7, 4, 0)*VLOOKUP($F275, Factor!$Q$4:$V$15, 4, 0)*IF(MOD($G275,10)=0, 10, MOD($G275, 10))*((INDEX(Factor!$X$4:$AC$13, _xlfn.XMATCH($G275, Factor!$X$4:$X$13, 1),4)*IF(MOD(G275, 10) = 0, 10, MOD(G275, 10)))+INDEX(Factor!$AE$4:$AJ$13, _xlfn.XMATCH(MonsterData!$G275, Factor!$AE$4:$AE$13, 1),4))</f>
        <v>151.20000000000002</v>
      </c>
      <c r="X275" s="21" cm="1">
        <f t="array" ref="X275">O275*VLOOKUP($I275, Factor!$B$4:$G$8, 5, 0)*VLOOKUP($J275, Factor!$B$12:$G$13, 5, 0)*VLOOKUP($K275, Factor!$B$17:$G$18, 5, 0)*VLOOKUP($H275, Factor!$J$4:$O$7, 5, 0)*VLOOKUP($F275, Factor!$Q$4:$V$15, 5, 0)*IF(MOD($G275,10)=0, 10, MOD($G275, 10))*((INDEX(Factor!$X$4:$AC$13, _xlfn.XMATCH($G275, Factor!$X$4:$X$13, 1),5)*IF(MOD(G275, 10) = 0, 10, MOD(G275, 10)))+INDEX(Factor!$AE$4:$AJ$13, _xlfn.XMATCH(MonsterData!$G275, Factor!$AE$4:$AE$13, 1),5))</f>
        <v>15.120000000000001</v>
      </c>
      <c r="Y275" s="21" cm="1">
        <f t="array" ref="Y275">P275*VLOOKUP($I275, Factor!$B$4:$G$8, 6, 0)*VLOOKUP($J275, Factor!$B$12:$G$13, 6, 0)*VLOOKUP($K275, Factor!$B$17:$G$18, 6, 0)*VLOOKUP($H275, Factor!$J$4:$O$7, 2, 0)*VLOOKUP($F275, Factor!$Q$4:$V$15, 6, 0)*IF(MOD($G275,10)=0, 10, MOD($G275, 10))*((INDEX(Factor!$X$4:$AC$13, _xlfn.XMATCH($G275, Factor!$X$4:$X$13, 1),6)*IF(MOD(G275, 10) = 0, 10, MOD(G275, 10)))+INDEX(Factor!$AE$4:$AJ$13, _xlfn.XMATCH(MonsterData!$G275, Factor!$AE$4:$AE$13, 1),6))</f>
        <v>84</v>
      </c>
      <c r="Z275" s="21">
        <f>$Q275*VLOOKUP($J275, Factor!$B$12:$H$13, 7, 0)</f>
        <v>1</v>
      </c>
      <c r="AA275" s="13">
        <v>1</v>
      </c>
      <c r="AB275" s="21">
        <f t="shared" si="13"/>
        <v>0</v>
      </c>
      <c r="AC275" s="13" t="s">
        <v>139</v>
      </c>
      <c r="AD275" s="15" t="s">
        <v>387</v>
      </c>
    </row>
    <row r="276" spans="1:30" ht="15.75" customHeight="1">
      <c r="A276" s="16" t="str">
        <f>T276&amp;"_"&amp;F276&amp;VLOOKUP($C276, Factor!$AM$4:$AY$30, 7, 0)&amp;IF(COUNTIFS($C$4:C275, C276, $F$4:F275, F276)+1&gt;=100, COUNTIFS($C$4:C275, C276, $F$4:F275, F276)+1,IF(COUNTIFS($C$4:C275, C276, $F$4:F275, F276)+1&gt;=10, "0"&amp;COUNTIFS($C$4:C275, C276, $F$4:F275, F276)+1, "00"&amp;COUNTIFS($C$4:C275, C276, $F$4:F275, F276)+1))</f>
        <v>enpc_F04_A_Mantis_005</v>
      </c>
      <c r="B276" s="16"/>
      <c r="C276" s="16" t="s">
        <v>357</v>
      </c>
      <c r="D276" s="17" t="str">
        <f t="shared" si="14"/>
        <v>맨티스</v>
      </c>
      <c r="E276" s="17" t="str">
        <f>VLOOKUP($C276, Factor!$AM$4:$AY$30, 8, 0)</f>
        <v>S</v>
      </c>
      <c r="F276" s="17" t="s">
        <v>112</v>
      </c>
      <c r="G276" s="20">
        <v>41</v>
      </c>
      <c r="H276" s="16" t="s">
        <v>55</v>
      </c>
      <c r="I276" s="17" t="str">
        <f>VLOOKUP($C276, Factor!$AM$4:$AY$30, 11, 0)</f>
        <v>A</v>
      </c>
      <c r="J276" s="17" t="str">
        <f>VLOOKUP($C276, Factor!$AM$4:$AY$30, 12, 0)</f>
        <v>ml</v>
      </c>
      <c r="K276" s="17" t="str">
        <f>VLOOKUP($C276, Factor!$AM$4:$AY$30, 13, 0)</f>
        <v>L</v>
      </c>
      <c r="L276" s="17">
        <v>1</v>
      </c>
      <c r="M276" s="17">
        <v>1</v>
      </c>
      <c r="N276" s="17">
        <v>1</v>
      </c>
      <c r="O276" s="17">
        <v>1</v>
      </c>
      <c r="P276" s="17">
        <v>1</v>
      </c>
      <c r="Q276" s="17">
        <v>1</v>
      </c>
      <c r="R276" s="17" t="str">
        <f>VLOOKUP($C276, Factor!$AM$4:$AY$30, 9, 0)</f>
        <v>Small</v>
      </c>
      <c r="S276" s="17" t="s">
        <v>400</v>
      </c>
      <c r="T276" s="17" t="str">
        <f>VLOOKUP($C276, Factor!$AM$4:$AY$30, 10, 0)</f>
        <v>enpc</v>
      </c>
      <c r="U276" s="17" cm="1">
        <f t="array" ref="U276">L276*VLOOKUP($I276, Factor!$B$4:$G$8, 2, 0)*VLOOKUP($J276, Factor!$B$12:$G$13, 2, 0)*VLOOKUP($K276, Factor!$B$17:$G$18, 2, 0)*VLOOKUP($H276, Factor!$J$4:$O$7, 2, 0)*VLOOKUP($F276, Factor!$Q$4:$V$15, 2, 0)*IF(MOD($G276,10)=0, 10, MOD($G276, 10))*((INDEX(Factor!$X$4:$AC$13, _xlfn.XMATCH($G276, Factor!$X$4:$X$13, 1),2)*IF(MOD(G276, 10) = 0, 10, MOD(G276, 10)))+INDEX(Factor!$AE$4:$AJ$13, _xlfn.XMATCH(MonsterData!$G276, Factor!$AE$4:$AE$13, 1),2))</f>
        <v>2520</v>
      </c>
      <c r="V276" s="17" cm="1">
        <f t="array" ref="V276">M276*VLOOKUP($I276, Factor!$B$4:$G$8, 3, 0)*VLOOKUP($J276, Factor!$B$12:$G$13, 3, 0)*VLOOKUP($K276, Factor!$B$17:$G$18, 3, 0)*VLOOKUP($H276, Factor!$J$4:$O$7, 3, 0)*VLOOKUP($F276, Factor!$Q$4:$V$15, 3, 0)*IF(MOD($G276,10)=0, 10, MOD($G276, 10))*((INDEX(Factor!$X$4:$AC$13, _xlfn.XMATCH($G276, Factor!$X$4:$X$13, 1),3)*IF(MOD(G276, 10) = 0, 10, MOD(G276, 10)))+INDEX(Factor!$AE$4:$AJ$13, _xlfn.XMATCH(MonsterData!$G276, Factor!$AE$4:$AE$13, 1),3))</f>
        <v>126</v>
      </c>
      <c r="W276" s="17" cm="1">
        <f t="array" ref="W276">N276*VLOOKUP($I276, Factor!$B$4:$G$8, 4, 0)*VLOOKUP($J276, Factor!$B$12:$G$13, 4, 0)*VLOOKUP($K276, Factor!$B$17:$G$18, 4, 0)*VLOOKUP($H276, Factor!$J$4:$O$7, 4, 0)*VLOOKUP($F276, Factor!$Q$4:$V$15, 4, 0)*IF(MOD($G276,10)=0, 10, MOD($G276, 10))*((INDEX(Factor!$X$4:$AC$13, _xlfn.XMATCH($G276, Factor!$X$4:$X$13, 1),4)*IF(MOD(G276, 10) = 0, 10, MOD(G276, 10)))+INDEX(Factor!$AE$4:$AJ$13, _xlfn.XMATCH(MonsterData!$G276, Factor!$AE$4:$AE$13, 1),4))</f>
        <v>75.600000000000009</v>
      </c>
      <c r="X276" s="17" cm="1">
        <f t="array" ref="X276">O276*VLOOKUP($I276, Factor!$B$4:$G$8, 5, 0)*VLOOKUP($J276, Factor!$B$12:$G$13, 5, 0)*VLOOKUP($K276, Factor!$B$17:$G$18, 5, 0)*VLOOKUP($H276, Factor!$J$4:$O$7, 5, 0)*VLOOKUP($F276, Factor!$Q$4:$V$15, 5, 0)*IF(MOD($G276,10)=0, 10, MOD($G276, 10))*((INDEX(Factor!$X$4:$AC$13, _xlfn.XMATCH($G276, Factor!$X$4:$X$13, 1),5)*IF(MOD(G276, 10) = 0, 10, MOD(G276, 10)))+INDEX(Factor!$AE$4:$AJ$13, _xlfn.XMATCH(MonsterData!$G276, Factor!$AE$4:$AE$13, 1),5))</f>
        <v>16.8</v>
      </c>
      <c r="Y276" s="17" cm="1">
        <f t="array" ref="Y276">P276*VLOOKUP($I276, Factor!$B$4:$G$8, 6, 0)*VLOOKUP($J276, Factor!$B$12:$G$13, 6, 0)*VLOOKUP($K276, Factor!$B$17:$G$18, 6, 0)*VLOOKUP($H276, Factor!$J$4:$O$7, 2, 0)*VLOOKUP($F276, Factor!$Q$4:$V$15, 6, 0)*IF(MOD($G276,10)=0, 10, MOD($G276, 10))*((INDEX(Factor!$X$4:$AC$13, _xlfn.XMATCH($G276, Factor!$X$4:$X$13, 1),6)*IF(MOD(G276, 10) = 0, 10, MOD(G276, 10)))+INDEX(Factor!$AE$4:$AJ$13, _xlfn.XMATCH(MonsterData!$G276, Factor!$AE$4:$AE$13, 1),6))</f>
        <v>84</v>
      </c>
      <c r="Z276" s="17">
        <f>$Q276*VLOOKUP($J276, Factor!$B$12:$H$13, 7, 0)</f>
        <v>1</v>
      </c>
      <c r="AA276" s="17">
        <v>1</v>
      </c>
      <c r="AB276" s="17">
        <f t="shared" si="13"/>
        <v>0</v>
      </c>
      <c r="AC276" s="17" t="s">
        <v>139</v>
      </c>
      <c r="AD276" s="19" t="s">
        <v>387</v>
      </c>
    </row>
    <row r="277" spans="1:30" ht="15.75" customHeight="1">
      <c r="A277" s="13" t="str">
        <f>T277&amp;"_"&amp;F277&amp;VLOOKUP($C277, Factor!$AM$4:$AY$30, 7, 0)&amp;IF(COUNTIFS($C$4:C276, C277, $F$4:F276, F277)+1&gt;=100, COUNTIFS($C$4:C276, C277, $F$4:F276, F277)+1,IF(COUNTIFS($C$4:C276, C277, $F$4:F276, F277)+1&gt;=10, "0"&amp;COUNTIFS($C$4:C276, C277, $F$4:F276, F277)+1, "00"&amp;COUNTIFS($C$4:C276, C277, $F$4:F276, F277)+1))</f>
        <v>enpc_F04_B_Kobold_005</v>
      </c>
      <c r="B277" s="13"/>
      <c r="C277" s="13" t="s">
        <v>359</v>
      </c>
      <c r="D277" s="21" t="str">
        <f t="shared" si="14"/>
        <v>코볼트</v>
      </c>
      <c r="E277" s="21" t="str">
        <f>VLOOKUP($C277, Factor!$AM$4:$AY$30, 8, 0)</f>
        <v>M</v>
      </c>
      <c r="F277" s="21" t="s">
        <v>112</v>
      </c>
      <c r="G277" s="22">
        <v>65</v>
      </c>
      <c r="H277" s="13" t="s">
        <v>56</v>
      </c>
      <c r="I277" s="21" t="str">
        <f>VLOOKUP($C277, Factor!$AM$4:$AY$30, 11, 0)</f>
        <v>B</v>
      </c>
      <c r="J277" s="21" t="str">
        <f>VLOOKUP($C277, Factor!$AM$4:$AY$30, 12, 0)</f>
        <v>ml</v>
      </c>
      <c r="K277" s="21" t="str">
        <f>VLOOKUP($C277, Factor!$AM$4:$AY$30, 13, 0)</f>
        <v>L</v>
      </c>
      <c r="L277" s="13">
        <v>1</v>
      </c>
      <c r="M277" s="13">
        <v>1</v>
      </c>
      <c r="N277" s="13">
        <v>1</v>
      </c>
      <c r="O277" s="13">
        <v>1</v>
      </c>
      <c r="P277" s="13">
        <v>1</v>
      </c>
      <c r="Q277" s="13">
        <v>1</v>
      </c>
      <c r="R277" s="21" t="str">
        <f>VLOOKUP($C277, Factor!$AM$4:$AY$30, 9, 0)</f>
        <v>Small</v>
      </c>
      <c r="S277" s="13" t="s">
        <v>406</v>
      </c>
      <c r="T277" s="21" t="str">
        <f>VLOOKUP($C277, Factor!$AM$4:$AY$30, 10, 0)</f>
        <v>enpc</v>
      </c>
      <c r="U277" s="21" cm="1">
        <f t="array" ref="U277">L277*VLOOKUP($I277, Factor!$B$4:$G$8, 2, 0)*VLOOKUP($J277, Factor!$B$12:$G$13, 2, 0)*VLOOKUP($K277, Factor!$B$17:$G$18, 2, 0)*VLOOKUP($H277, Factor!$J$4:$O$7, 2, 0)*VLOOKUP($F277, Factor!$Q$4:$V$15, 2, 0)*IF(MOD($G277,10)=0, 10, MOD($G277, 10))*((INDEX(Factor!$X$4:$AC$13, _xlfn.XMATCH($G277, Factor!$X$4:$X$13, 1),2)*IF(MOD(G277, 10) = 0, 10, MOD(G277, 10)))+INDEX(Factor!$AE$4:$AJ$13, _xlfn.XMATCH(MonsterData!$G277, Factor!$AE$4:$AE$13, 1),2))</f>
        <v>147000</v>
      </c>
      <c r="V277" s="21" cm="1">
        <f t="array" ref="V277">M277*VLOOKUP($I277, Factor!$B$4:$G$8, 3, 0)*VLOOKUP($J277, Factor!$B$12:$G$13, 3, 0)*VLOOKUP($K277, Factor!$B$17:$G$18, 3, 0)*VLOOKUP($H277, Factor!$J$4:$O$7, 3, 0)*VLOOKUP($F277, Factor!$Q$4:$V$15, 3, 0)*IF(MOD($G277,10)=0, 10, MOD($G277, 10))*((INDEX(Factor!$X$4:$AC$13, _xlfn.XMATCH($G277, Factor!$X$4:$X$13, 1),3)*IF(MOD(G277, 10) = 0, 10, MOD(G277, 10)))+INDEX(Factor!$AE$4:$AJ$13, _xlfn.XMATCH(MonsterData!$G277, Factor!$AE$4:$AE$13, 1),3))</f>
        <v>7350</v>
      </c>
      <c r="W277" s="21" cm="1">
        <f t="array" ref="W277">N277*VLOOKUP($I277, Factor!$B$4:$G$8, 4, 0)*VLOOKUP($J277, Factor!$B$12:$G$13, 4, 0)*VLOOKUP($K277, Factor!$B$17:$G$18, 4, 0)*VLOOKUP($H277, Factor!$J$4:$O$7, 4, 0)*VLOOKUP($F277, Factor!$Q$4:$V$15, 4, 0)*IF(MOD($G277,10)=0, 10, MOD($G277, 10))*((INDEX(Factor!$X$4:$AC$13, _xlfn.XMATCH($G277, Factor!$X$4:$X$13, 1),4)*IF(MOD(G277, 10) = 0, 10, MOD(G277, 10)))+INDEX(Factor!$AE$4:$AJ$13, _xlfn.XMATCH(MonsterData!$G277, Factor!$AE$4:$AE$13, 1),4))</f>
        <v>14700</v>
      </c>
      <c r="X277" s="21" cm="1">
        <f t="array" ref="X277">O277*VLOOKUP($I277, Factor!$B$4:$G$8, 5, 0)*VLOOKUP($J277, Factor!$B$12:$G$13, 5, 0)*VLOOKUP($K277, Factor!$B$17:$G$18, 5, 0)*VLOOKUP($H277, Factor!$J$4:$O$7, 5, 0)*VLOOKUP($F277, Factor!$Q$4:$V$15, 5, 0)*IF(MOD($G277,10)=0, 10, MOD($G277, 10))*((INDEX(Factor!$X$4:$AC$13, _xlfn.XMATCH($G277, Factor!$X$4:$X$13, 1),5)*IF(MOD(G277, 10) = 0, 10, MOD(G277, 10)))+INDEX(Factor!$AE$4:$AJ$13, _xlfn.XMATCH(MonsterData!$G277, Factor!$AE$4:$AE$13, 1),5))</f>
        <v>352.80000000000007</v>
      </c>
      <c r="Y277" s="21" cm="1">
        <f t="array" ref="Y277">P277*VLOOKUP($I277, Factor!$B$4:$G$8, 6, 0)*VLOOKUP($J277, Factor!$B$12:$G$13, 6, 0)*VLOOKUP($K277, Factor!$B$17:$G$18, 6, 0)*VLOOKUP($H277, Factor!$J$4:$O$7, 2, 0)*VLOOKUP($F277, Factor!$Q$4:$V$15, 6, 0)*IF(MOD($G277,10)=0, 10, MOD($G277, 10))*((INDEX(Factor!$X$4:$AC$13, _xlfn.XMATCH($G277, Factor!$X$4:$X$13, 1),6)*IF(MOD(G277, 10) = 0, 10, MOD(G277, 10)))+INDEX(Factor!$AE$4:$AJ$13, _xlfn.XMATCH(MonsterData!$G277, Factor!$AE$4:$AE$13, 1),6))</f>
        <v>784</v>
      </c>
      <c r="Z277" s="21">
        <f>$Q277*VLOOKUP($J277, Factor!$B$12:$H$13, 7, 0)</f>
        <v>1</v>
      </c>
      <c r="AA277" s="13">
        <v>1</v>
      </c>
      <c r="AB277" s="21">
        <f t="shared" si="13"/>
        <v>0</v>
      </c>
      <c r="AC277" s="13" t="s">
        <v>393</v>
      </c>
      <c r="AD277" s="15" t="s">
        <v>388</v>
      </c>
    </row>
    <row r="278" spans="1:30" ht="15.75" customHeight="1">
      <c r="A278" s="16" t="str">
        <f>T278&amp;"_"&amp;F278&amp;VLOOKUP($C278, Factor!$AM$4:$AY$30, 7, 0)&amp;IF(COUNTIFS($C$4:C277, C278, $F$4:F277, F278)+1&gt;=100, COUNTIFS($C$4:C277, C278, $F$4:F277, F278)+1,IF(COUNTIFS($C$4:C277, C278, $F$4:F277, F278)+1&gt;=10, "0"&amp;COUNTIFS($C$4:C277, C278, $F$4:F277, F278)+1, "00"&amp;COUNTIFS($C$4:C277, C278, $F$4:F277, F278)+1))</f>
        <v>enpc_F04_B_Ghoul_005</v>
      </c>
      <c r="B278" s="16"/>
      <c r="C278" s="16" t="s">
        <v>361</v>
      </c>
      <c r="D278" s="17" t="str">
        <f t="shared" si="14"/>
        <v>구울</v>
      </c>
      <c r="E278" s="17" t="str">
        <f>VLOOKUP($C278, Factor!$AM$4:$AY$30, 8, 0)</f>
        <v>M</v>
      </c>
      <c r="F278" s="17" t="s">
        <v>112</v>
      </c>
      <c r="G278" s="20">
        <v>65</v>
      </c>
      <c r="H278" s="16" t="s">
        <v>55</v>
      </c>
      <c r="I278" s="17" t="str">
        <f>VLOOKUP($C278, Factor!$AM$4:$AY$30, 11, 0)</f>
        <v>B</v>
      </c>
      <c r="J278" s="17" t="str">
        <f>VLOOKUP($C278, Factor!$AM$4:$AY$30, 12, 0)</f>
        <v>ml</v>
      </c>
      <c r="K278" s="17" t="str">
        <f>VLOOKUP($C278, Factor!$AM$4:$AY$30, 13, 0)</f>
        <v>L</v>
      </c>
      <c r="L278" s="17">
        <v>1</v>
      </c>
      <c r="M278" s="17">
        <v>1</v>
      </c>
      <c r="N278" s="17">
        <v>1</v>
      </c>
      <c r="O278" s="17">
        <v>1</v>
      </c>
      <c r="P278" s="17">
        <v>1</v>
      </c>
      <c r="Q278" s="17">
        <v>1</v>
      </c>
      <c r="R278" s="17" t="str">
        <f>VLOOKUP($C278, Factor!$AM$4:$AY$30, 9, 0)</f>
        <v>Midium</v>
      </c>
      <c r="S278" s="17" t="s">
        <v>401</v>
      </c>
      <c r="T278" s="17" t="str">
        <f>VLOOKUP($C278, Factor!$AM$4:$AY$30, 10, 0)</f>
        <v>enpc</v>
      </c>
      <c r="U278" s="17" cm="1">
        <f t="array" ref="U278">L278*VLOOKUP($I278, Factor!$B$4:$G$8, 2, 0)*VLOOKUP($J278, Factor!$B$12:$G$13, 2, 0)*VLOOKUP($K278, Factor!$B$17:$G$18, 2, 0)*VLOOKUP($H278, Factor!$J$4:$O$7, 2, 0)*VLOOKUP($F278, Factor!$Q$4:$V$15, 2, 0)*IF(MOD($G278,10)=0, 10, MOD($G278, 10))*((INDEX(Factor!$X$4:$AC$13, _xlfn.XMATCH($G278, Factor!$X$4:$X$13, 1),2)*IF(MOD(G278, 10) = 0, 10, MOD(G278, 10)))+INDEX(Factor!$AE$4:$AJ$13, _xlfn.XMATCH(MonsterData!$G278, Factor!$AE$4:$AE$13, 1),2))</f>
        <v>147000</v>
      </c>
      <c r="V278" s="17" cm="1">
        <f t="array" ref="V278">M278*VLOOKUP($I278, Factor!$B$4:$G$8, 3, 0)*VLOOKUP($J278, Factor!$B$12:$G$13, 3, 0)*VLOOKUP($K278, Factor!$B$17:$G$18, 3, 0)*VLOOKUP($H278, Factor!$J$4:$O$7, 3, 0)*VLOOKUP($F278, Factor!$Q$4:$V$15, 3, 0)*IF(MOD($G278,10)=0, 10, MOD($G278, 10))*((INDEX(Factor!$X$4:$AC$13, _xlfn.XMATCH($G278, Factor!$X$4:$X$13, 1),3)*IF(MOD(G278, 10) = 0, 10, MOD(G278, 10)))+INDEX(Factor!$AE$4:$AJ$13, _xlfn.XMATCH(MonsterData!$G278, Factor!$AE$4:$AE$13, 1),3))</f>
        <v>7350</v>
      </c>
      <c r="W278" s="17" cm="1">
        <f t="array" ref="W278">N278*VLOOKUP($I278, Factor!$B$4:$G$8, 4, 0)*VLOOKUP($J278, Factor!$B$12:$G$13, 4, 0)*VLOOKUP($K278, Factor!$B$17:$G$18, 4, 0)*VLOOKUP($H278, Factor!$J$4:$O$7, 4, 0)*VLOOKUP($F278, Factor!$Q$4:$V$15, 4, 0)*IF(MOD($G278,10)=0, 10, MOD($G278, 10))*((INDEX(Factor!$X$4:$AC$13, _xlfn.XMATCH($G278, Factor!$X$4:$X$13, 1),4)*IF(MOD(G278, 10) = 0, 10, MOD(G278, 10)))+INDEX(Factor!$AE$4:$AJ$13, _xlfn.XMATCH(MonsterData!$G278, Factor!$AE$4:$AE$13, 1),4))</f>
        <v>7350</v>
      </c>
      <c r="X278" s="17" cm="1">
        <f t="array" ref="X278">O278*VLOOKUP($I278, Factor!$B$4:$G$8, 5, 0)*VLOOKUP($J278, Factor!$B$12:$G$13, 5, 0)*VLOOKUP($K278, Factor!$B$17:$G$18, 5, 0)*VLOOKUP($H278, Factor!$J$4:$O$7, 5, 0)*VLOOKUP($F278, Factor!$Q$4:$V$15, 5, 0)*IF(MOD($G278,10)=0, 10, MOD($G278, 10))*((INDEX(Factor!$X$4:$AC$13, _xlfn.XMATCH($G278, Factor!$X$4:$X$13, 1),5)*IF(MOD(G278, 10) = 0, 10, MOD(G278, 10)))+INDEX(Factor!$AE$4:$AJ$13, _xlfn.XMATCH(MonsterData!$G278, Factor!$AE$4:$AE$13, 1),5))</f>
        <v>392</v>
      </c>
      <c r="Y278" s="17" cm="1">
        <f t="array" ref="Y278">P278*VLOOKUP($I278, Factor!$B$4:$G$8, 6, 0)*VLOOKUP($J278, Factor!$B$12:$G$13, 6, 0)*VLOOKUP($K278, Factor!$B$17:$G$18, 6, 0)*VLOOKUP($H278, Factor!$J$4:$O$7, 2, 0)*VLOOKUP($F278, Factor!$Q$4:$V$15, 6, 0)*IF(MOD($G278,10)=0, 10, MOD($G278, 10))*((INDEX(Factor!$X$4:$AC$13, _xlfn.XMATCH($G278, Factor!$X$4:$X$13, 1),6)*IF(MOD(G278, 10) = 0, 10, MOD(G278, 10)))+INDEX(Factor!$AE$4:$AJ$13, _xlfn.XMATCH(MonsterData!$G278, Factor!$AE$4:$AE$13, 1),6))</f>
        <v>784</v>
      </c>
      <c r="Z278" s="17">
        <f>$Q278*VLOOKUP($J278, Factor!$B$12:$H$13, 7, 0)</f>
        <v>1</v>
      </c>
      <c r="AA278" s="17">
        <v>1</v>
      </c>
      <c r="AB278" s="17">
        <f t="shared" si="13"/>
        <v>0</v>
      </c>
      <c r="AC278" s="17" t="s">
        <v>394</v>
      </c>
      <c r="AD278" s="19" t="s">
        <v>389</v>
      </c>
    </row>
    <row r="279" spans="1:30" ht="15.75" customHeight="1">
      <c r="A279" s="13" t="str">
        <f>T279&amp;"_"&amp;F279&amp;VLOOKUP($C279, Factor!$AM$4:$AY$30, 7, 0)&amp;IF(COUNTIFS($C$4:C278, C279, $F$4:F278, F279)+1&gt;=100, COUNTIFS($C$4:C278, C279, $F$4:F278, F279)+1,IF(COUNTIFS($C$4:C278, C279, $F$4:F278, F279)+1&gt;=10, "0"&amp;COUNTIFS($C$4:C278, C279, $F$4:F278, F279)+1, "00"&amp;COUNTIFS($C$4:C278, C279, $F$4:F278, F279)+1))</f>
        <v>enpc_F04_B_Gorgon_005</v>
      </c>
      <c r="B279" s="13"/>
      <c r="C279" s="13" t="s">
        <v>363</v>
      </c>
      <c r="D279" s="21" t="str">
        <f t="shared" si="14"/>
        <v>고르곤</v>
      </c>
      <c r="E279" s="21" t="str">
        <f>VLOOKUP($C279, Factor!$AM$4:$AY$30, 8, 0)</f>
        <v>B</v>
      </c>
      <c r="F279" s="21" t="s">
        <v>112</v>
      </c>
      <c r="G279" s="22">
        <v>65</v>
      </c>
      <c r="H279" s="13" t="s">
        <v>56</v>
      </c>
      <c r="I279" s="21" t="str">
        <f>VLOOKUP($C279, Factor!$AM$4:$AY$30, 11, 0)</f>
        <v>B</v>
      </c>
      <c r="J279" s="21" t="str">
        <f>VLOOKUP($C279, Factor!$AM$4:$AY$30, 12, 0)</f>
        <v>ml</v>
      </c>
      <c r="K279" s="21" t="str">
        <f>VLOOKUP($C279, Factor!$AM$4:$AY$30, 13, 0)</f>
        <v>L</v>
      </c>
      <c r="L279" s="13">
        <v>1</v>
      </c>
      <c r="M279" s="13">
        <v>1</v>
      </c>
      <c r="N279" s="13">
        <v>1</v>
      </c>
      <c r="O279" s="13">
        <v>1</v>
      </c>
      <c r="P279" s="13">
        <v>1</v>
      </c>
      <c r="Q279" s="13">
        <v>1</v>
      </c>
      <c r="R279" s="21" t="str">
        <f>VLOOKUP($C279, Factor!$AM$4:$AY$30, 9, 0)</f>
        <v>Midium</v>
      </c>
      <c r="S279" s="13" t="s">
        <v>407</v>
      </c>
      <c r="T279" s="21" t="str">
        <f>VLOOKUP($C279, Factor!$AM$4:$AY$30, 10, 0)</f>
        <v>enpc</v>
      </c>
      <c r="U279" s="21" cm="1">
        <f t="array" ref="U279">L279*VLOOKUP($I279, Factor!$B$4:$G$8, 2, 0)*VLOOKUP($J279, Factor!$B$12:$G$13, 2, 0)*VLOOKUP($K279, Factor!$B$17:$G$18, 2, 0)*VLOOKUP($H279, Factor!$J$4:$O$7, 2, 0)*VLOOKUP($F279, Factor!$Q$4:$V$15, 2, 0)*IF(MOD($G279,10)=0, 10, MOD($G279, 10))*((INDEX(Factor!$X$4:$AC$13, _xlfn.XMATCH($G279, Factor!$X$4:$X$13, 1),2)*IF(MOD(G279, 10) = 0, 10, MOD(G279, 10)))+INDEX(Factor!$AE$4:$AJ$13, _xlfn.XMATCH(MonsterData!$G279, Factor!$AE$4:$AE$13, 1),2))</f>
        <v>147000</v>
      </c>
      <c r="V279" s="21" cm="1">
        <f t="array" ref="V279">M279*VLOOKUP($I279, Factor!$B$4:$G$8, 3, 0)*VLOOKUP($J279, Factor!$B$12:$G$13, 3, 0)*VLOOKUP($K279, Factor!$B$17:$G$18, 3, 0)*VLOOKUP($H279, Factor!$J$4:$O$7, 3, 0)*VLOOKUP($F279, Factor!$Q$4:$V$15, 3, 0)*IF(MOD($G279,10)=0, 10, MOD($G279, 10))*((INDEX(Factor!$X$4:$AC$13, _xlfn.XMATCH($G279, Factor!$X$4:$X$13, 1),3)*IF(MOD(G279, 10) = 0, 10, MOD(G279, 10)))+INDEX(Factor!$AE$4:$AJ$13, _xlfn.XMATCH(MonsterData!$G279, Factor!$AE$4:$AE$13, 1),3))</f>
        <v>7350</v>
      </c>
      <c r="W279" s="21" cm="1">
        <f t="array" ref="W279">N279*VLOOKUP($I279, Factor!$B$4:$G$8, 4, 0)*VLOOKUP($J279, Factor!$B$12:$G$13, 4, 0)*VLOOKUP($K279, Factor!$B$17:$G$18, 4, 0)*VLOOKUP($H279, Factor!$J$4:$O$7, 4, 0)*VLOOKUP($F279, Factor!$Q$4:$V$15, 4, 0)*IF(MOD($G279,10)=0, 10, MOD($G279, 10))*((INDEX(Factor!$X$4:$AC$13, _xlfn.XMATCH($G279, Factor!$X$4:$X$13, 1),4)*IF(MOD(G279, 10) = 0, 10, MOD(G279, 10)))+INDEX(Factor!$AE$4:$AJ$13, _xlfn.XMATCH(MonsterData!$G279, Factor!$AE$4:$AE$13, 1),4))</f>
        <v>14700</v>
      </c>
      <c r="X279" s="21" cm="1">
        <f t="array" ref="X279">O279*VLOOKUP($I279, Factor!$B$4:$G$8, 5, 0)*VLOOKUP($J279, Factor!$B$12:$G$13, 5, 0)*VLOOKUP($K279, Factor!$B$17:$G$18, 5, 0)*VLOOKUP($H279, Factor!$J$4:$O$7, 5, 0)*VLOOKUP($F279, Factor!$Q$4:$V$15, 5, 0)*IF(MOD($G279,10)=0, 10, MOD($G279, 10))*((INDEX(Factor!$X$4:$AC$13, _xlfn.XMATCH($G279, Factor!$X$4:$X$13, 1),5)*IF(MOD(G279, 10) = 0, 10, MOD(G279, 10)))+INDEX(Factor!$AE$4:$AJ$13, _xlfn.XMATCH(MonsterData!$G279, Factor!$AE$4:$AE$13, 1),5))</f>
        <v>352.80000000000007</v>
      </c>
      <c r="Y279" s="21" cm="1">
        <f t="array" ref="Y279">P279*VLOOKUP($I279, Factor!$B$4:$G$8, 6, 0)*VLOOKUP($J279, Factor!$B$12:$G$13, 6, 0)*VLOOKUP($K279, Factor!$B$17:$G$18, 6, 0)*VLOOKUP($H279, Factor!$J$4:$O$7, 2, 0)*VLOOKUP($F279, Factor!$Q$4:$V$15, 6, 0)*IF(MOD($G279,10)=0, 10, MOD($G279, 10))*((INDEX(Factor!$X$4:$AC$13, _xlfn.XMATCH($G279, Factor!$X$4:$X$13, 1),6)*IF(MOD(G279, 10) = 0, 10, MOD(G279, 10)))+INDEX(Factor!$AE$4:$AJ$13, _xlfn.XMATCH(MonsterData!$G279, Factor!$AE$4:$AE$13, 1),6))</f>
        <v>784</v>
      </c>
      <c r="Z279" s="21">
        <f>$Q279*VLOOKUP($J279, Factor!$B$12:$H$13, 7, 0)</f>
        <v>1</v>
      </c>
      <c r="AA279" s="13">
        <v>1</v>
      </c>
      <c r="AB279" s="21">
        <f t="shared" ref="AB279:AB342" si="15">IF(J279 = "ml", 0, $Z279*$AA279)</f>
        <v>0</v>
      </c>
      <c r="AC279" s="13" t="s">
        <v>395</v>
      </c>
      <c r="AD279" s="15" t="s">
        <v>390</v>
      </c>
    </row>
    <row r="280" spans="1:30" ht="15.75" customHeight="1">
      <c r="A280" s="16" t="str">
        <f>T280&amp;"_"&amp;F280&amp;VLOOKUP($C280, Factor!$AM$4:$AY$30, 7, 0)&amp;IF(COUNTIFS($C$4:C279, C280, $F$4:F279, F280)+1&gt;=100, COUNTIFS($C$4:C279, C280, $F$4:F279, F280)+1,IF(COUNTIFS($C$4:C279, C280, $F$4:F279, F280)+1&gt;=10, "0"&amp;COUNTIFS($C$4:C279, C280, $F$4:F279, F280)+1, "00"&amp;COUNTIFS($C$4:C279, C280, $F$4:F279, F280)+1))</f>
        <v>enpc_F04_B_Gargoyle_005</v>
      </c>
      <c r="B280" s="16"/>
      <c r="C280" s="16" t="s">
        <v>365</v>
      </c>
      <c r="D280" s="17" t="str">
        <f t="shared" si="14"/>
        <v>가고일</v>
      </c>
      <c r="E280" s="17" t="str">
        <f>VLOOKUP($C280, Factor!$AM$4:$AY$30, 8, 0)</f>
        <v>B</v>
      </c>
      <c r="F280" s="17" t="s">
        <v>112</v>
      </c>
      <c r="G280" s="20">
        <v>65</v>
      </c>
      <c r="H280" s="16" t="s">
        <v>55</v>
      </c>
      <c r="I280" s="17" t="str">
        <f>VLOOKUP($C280, Factor!$AM$4:$AY$30, 11, 0)</f>
        <v>B</v>
      </c>
      <c r="J280" s="17" t="str">
        <f>VLOOKUP($C280, Factor!$AM$4:$AY$30, 12, 0)</f>
        <v>ml</v>
      </c>
      <c r="K280" s="17" t="str">
        <f>VLOOKUP($C280, Factor!$AM$4:$AY$30, 13, 0)</f>
        <v>F</v>
      </c>
      <c r="L280" s="17">
        <v>1</v>
      </c>
      <c r="M280" s="17">
        <v>1</v>
      </c>
      <c r="N280" s="17">
        <v>1</v>
      </c>
      <c r="O280" s="17">
        <v>1</v>
      </c>
      <c r="P280" s="17">
        <v>1</v>
      </c>
      <c r="Q280" s="17">
        <v>1</v>
      </c>
      <c r="R280" s="17" t="str">
        <f>VLOOKUP($C280, Factor!$AM$4:$AY$30, 9, 0)</f>
        <v>Big</v>
      </c>
      <c r="S280" s="17" t="s">
        <v>402</v>
      </c>
      <c r="T280" s="17" t="str">
        <f>VLOOKUP($C280, Factor!$AM$4:$AY$30, 10, 0)</f>
        <v>enpc</v>
      </c>
      <c r="U280" s="17" cm="1">
        <f t="array" ref="U280">L280*VLOOKUP($I280, Factor!$B$4:$G$8, 2, 0)*VLOOKUP($J280, Factor!$B$12:$G$13, 2, 0)*VLOOKUP($K280, Factor!$B$17:$G$18, 2, 0)*VLOOKUP($H280, Factor!$J$4:$O$7, 2, 0)*VLOOKUP($F280, Factor!$Q$4:$V$15, 2, 0)*IF(MOD($G280,10)=0, 10, MOD($G280, 10))*((INDEX(Factor!$X$4:$AC$13, _xlfn.XMATCH($G280, Factor!$X$4:$X$13, 1),2)*IF(MOD(G280, 10) = 0, 10, MOD(G280, 10)))+INDEX(Factor!$AE$4:$AJ$13, _xlfn.XMATCH(MonsterData!$G280, Factor!$AE$4:$AE$13, 1),2))</f>
        <v>98000</v>
      </c>
      <c r="V280" s="17" cm="1">
        <f t="array" ref="V280">M280*VLOOKUP($I280, Factor!$B$4:$G$8, 3, 0)*VLOOKUP($J280, Factor!$B$12:$G$13, 3, 0)*VLOOKUP($K280, Factor!$B$17:$G$18, 3, 0)*VLOOKUP($H280, Factor!$J$4:$O$7, 3, 0)*VLOOKUP($F280, Factor!$Q$4:$V$15, 3, 0)*IF(MOD($G280,10)=0, 10, MOD($G280, 10))*((INDEX(Factor!$X$4:$AC$13, _xlfn.XMATCH($G280, Factor!$X$4:$X$13, 1),3)*IF(MOD(G280, 10) = 0, 10, MOD(G280, 10)))+INDEX(Factor!$AE$4:$AJ$13, _xlfn.XMATCH(MonsterData!$G280, Factor!$AE$4:$AE$13, 1),3))</f>
        <v>4900</v>
      </c>
      <c r="W280" s="17" cm="1">
        <f t="array" ref="W280">N280*VLOOKUP($I280, Factor!$B$4:$G$8, 4, 0)*VLOOKUP($J280, Factor!$B$12:$G$13, 4, 0)*VLOOKUP($K280, Factor!$B$17:$G$18, 4, 0)*VLOOKUP($H280, Factor!$J$4:$O$7, 4, 0)*VLOOKUP($F280, Factor!$Q$4:$V$15, 4, 0)*IF(MOD($G280,10)=0, 10, MOD($G280, 10))*((INDEX(Factor!$X$4:$AC$13, _xlfn.XMATCH($G280, Factor!$X$4:$X$13, 1),4)*IF(MOD(G280, 10) = 0, 10, MOD(G280, 10)))+INDEX(Factor!$AE$4:$AJ$13, _xlfn.XMATCH(MonsterData!$G280, Factor!$AE$4:$AE$13, 1),4))</f>
        <v>4900</v>
      </c>
      <c r="X280" s="17" cm="1">
        <f t="array" ref="X280">O280*VLOOKUP($I280, Factor!$B$4:$G$8, 5, 0)*VLOOKUP($J280, Factor!$B$12:$G$13, 5, 0)*VLOOKUP($K280, Factor!$B$17:$G$18, 5, 0)*VLOOKUP($H280, Factor!$J$4:$O$7, 5, 0)*VLOOKUP($F280, Factor!$Q$4:$V$15, 5, 0)*IF(MOD($G280,10)=0, 10, MOD($G280, 10))*((INDEX(Factor!$X$4:$AC$13, _xlfn.XMATCH($G280, Factor!$X$4:$X$13, 1),5)*IF(MOD(G280, 10) = 0, 10, MOD(G280, 10)))+INDEX(Factor!$AE$4:$AJ$13, _xlfn.XMATCH(MonsterData!$G280, Factor!$AE$4:$AE$13, 1),5))</f>
        <v>392</v>
      </c>
      <c r="Y280" s="17" cm="1">
        <f t="array" ref="Y280">P280*VLOOKUP($I280, Factor!$B$4:$G$8, 6, 0)*VLOOKUP($J280, Factor!$B$12:$G$13, 6, 0)*VLOOKUP($K280, Factor!$B$17:$G$18, 6, 0)*VLOOKUP($H280, Factor!$J$4:$O$7, 2, 0)*VLOOKUP($F280, Factor!$Q$4:$V$15, 6, 0)*IF(MOD($G280,10)=0, 10, MOD($G280, 10))*((INDEX(Factor!$X$4:$AC$13, _xlfn.XMATCH($G280, Factor!$X$4:$X$13, 1),6)*IF(MOD(G280, 10) = 0, 10, MOD(G280, 10)))+INDEX(Factor!$AE$4:$AJ$13, _xlfn.XMATCH(MonsterData!$G280, Factor!$AE$4:$AE$13, 1),6))</f>
        <v>2352.0000000000005</v>
      </c>
      <c r="Z280" s="17">
        <f>$Q280*VLOOKUP($J280, Factor!$B$12:$H$13, 7, 0)</f>
        <v>1</v>
      </c>
      <c r="AA280" s="17">
        <v>1</v>
      </c>
      <c r="AB280" s="17">
        <f t="shared" si="15"/>
        <v>0</v>
      </c>
      <c r="AC280" s="17" t="s">
        <v>396</v>
      </c>
      <c r="AD280" s="19" t="s">
        <v>391</v>
      </c>
    </row>
    <row r="281" spans="1:30" ht="15.75" customHeight="1">
      <c r="A281" s="13" t="str">
        <f>T281&amp;"_"&amp;F281&amp;VLOOKUP($C281, Factor!$AM$4:$AY$30, 7, 0)&amp;IF(COUNTIFS($C$4:C280, C281, $F$4:F280, F281)+1&gt;=100, COUNTIFS($C$4:C280, C281, $F$4:F280, F281)+1,IF(COUNTIFS($C$4:C280, C281, $F$4:F280, F281)+1&gt;=10, "0"&amp;COUNTIFS($C$4:C280, C281, $F$4:F280, F281)+1, "00"&amp;COUNTIFS($C$4:C280, C281, $F$4:F280, F281)+1))</f>
        <v>enpc_F05_A_Lava_001</v>
      </c>
      <c r="B281" s="13"/>
      <c r="C281" s="13" t="s">
        <v>35</v>
      </c>
      <c r="D281" s="21" t="str">
        <f t="shared" si="14"/>
        <v>라바</v>
      </c>
      <c r="E281" s="21" t="str">
        <f>VLOOKUP($C281, Factor!$AM$4:$AY$30, 8, 0)</f>
        <v>S</v>
      </c>
      <c r="F281" s="21" t="s">
        <v>385</v>
      </c>
      <c r="G281" s="22">
        <v>43</v>
      </c>
      <c r="H281" s="13" t="s">
        <v>54</v>
      </c>
      <c r="I281" s="21" t="str">
        <f>VLOOKUP($C281, Factor!$AM$4:$AY$30, 11, 0)</f>
        <v>A</v>
      </c>
      <c r="J281" s="21" t="str">
        <f>VLOOKUP($C281, Factor!$AM$4:$AY$30, 12, 0)</f>
        <v>ml</v>
      </c>
      <c r="K281" s="21" t="str">
        <f>VLOOKUP($C281, Factor!$AM$4:$AY$30, 13, 0)</f>
        <v>L</v>
      </c>
      <c r="L281" s="13">
        <v>1</v>
      </c>
      <c r="M281" s="13">
        <v>1</v>
      </c>
      <c r="N281" s="13">
        <v>1</v>
      </c>
      <c r="O281" s="13">
        <v>1</v>
      </c>
      <c r="P281" s="13">
        <v>1</v>
      </c>
      <c r="Q281" s="13">
        <v>1</v>
      </c>
      <c r="R281" s="21" t="str">
        <f>VLOOKUP($C281, Factor!$AM$4:$AY$30, 9, 0)</f>
        <v>Small</v>
      </c>
      <c r="S281" s="13" t="s">
        <v>88</v>
      </c>
      <c r="T281" s="21" t="str">
        <f>VLOOKUP($C281, Factor!$AM$4:$AY$30, 10, 0)</f>
        <v>enpc</v>
      </c>
      <c r="U281" s="21" cm="1">
        <f t="array" ref="U281">L281*VLOOKUP($I281, Factor!$B$4:$G$8, 2, 0)*VLOOKUP($J281, Factor!$B$12:$G$13, 2, 0)*VLOOKUP($K281, Factor!$B$17:$G$18, 2, 0)*VLOOKUP($H281, Factor!$J$4:$O$7, 2, 0)*VLOOKUP($F281, Factor!$Q$4:$V$15, 2, 0)*IF(MOD($G281,10)=0, 10, MOD($G281, 10))*((INDEX(Factor!$X$4:$AC$13, _xlfn.XMATCH($G281, Factor!$X$4:$X$13, 1),2)*IF(MOD(G281, 10) = 0, 10, MOD(G281, 10)))+INDEX(Factor!$AE$4:$AJ$13, _xlfn.XMATCH(MonsterData!$G281, Factor!$AE$4:$AE$13, 1),2))</f>
        <v>7452</v>
      </c>
      <c r="V281" s="21" cm="1">
        <f t="array" ref="V281">M281*VLOOKUP($I281, Factor!$B$4:$G$8, 3, 0)*VLOOKUP($J281, Factor!$B$12:$G$13, 3, 0)*VLOOKUP($K281, Factor!$B$17:$G$18, 3, 0)*VLOOKUP($H281, Factor!$J$4:$O$7, 3, 0)*VLOOKUP($F281, Factor!$Q$4:$V$15, 3, 0)*IF(MOD($G281,10)=0, 10, MOD($G281, 10))*((INDEX(Factor!$X$4:$AC$13, _xlfn.XMATCH($G281, Factor!$X$4:$X$13, 1),3)*IF(MOD(G281, 10) = 0, 10, MOD(G281, 10)))+INDEX(Factor!$AE$4:$AJ$13, _xlfn.XMATCH(MonsterData!$G281, Factor!$AE$4:$AE$13, 1),3))</f>
        <v>372.60000000000008</v>
      </c>
      <c r="W281" s="21" cm="1">
        <f t="array" ref="W281">N281*VLOOKUP($I281, Factor!$B$4:$G$8, 4, 0)*VLOOKUP($J281, Factor!$B$12:$G$13, 4, 0)*VLOOKUP($K281, Factor!$B$17:$G$18, 4, 0)*VLOOKUP($H281, Factor!$J$4:$O$7, 4, 0)*VLOOKUP($F281, Factor!$Q$4:$V$15, 4, 0)*IF(MOD($G281,10)=0, 10, MOD($G281, 10))*((INDEX(Factor!$X$4:$AC$13, _xlfn.XMATCH($G281, Factor!$X$4:$X$13, 1),4)*IF(MOD(G281, 10) = 0, 10, MOD(G281, 10)))+INDEX(Factor!$AE$4:$AJ$13, _xlfn.XMATCH(MonsterData!$G281, Factor!$AE$4:$AE$13, 1),4))</f>
        <v>223.56</v>
      </c>
      <c r="X281" s="21" cm="1">
        <f t="array" ref="X281">O281*VLOOKUP($I281, Factor!$B$4:$G$8, 5, 0)*VLOOKUP($J281, Factor!$B$12:$G$13, 5, 0)*VLOOKUP($K281, Factor!$B$17:$G$18, 5, 0)*VLOOKUP($H281, Factor!$J$4:$O$7, 5, 0)*VLOOKUP($F281, Factor!$Q$4:$V$15, 5, 0)*IF(MOD($G281,10)=0, 10, MOD($G281, 10))*((INDEX(Factor!$X$4:$AC$13, _xlfn.XMATCH($G281, Factor!$X$4:$X$13, 1),5)*IF(MOD(G281, 10) = 0, 10, MOD(G281, 10)))+INDEX(Factor!$AE$4:$AJ$13, _xlfn.XMATCH(MonsterData!$G281, Factor!$AE$4:$AE$13, 1),5))</f>
        <v>62.1</v>
      </c>
      <c r="Y281" s="21" cm="1">
        <f t="array" ref="Y281">P281*VLOOKUP($I281, Factor!$B$4:$G$8, 6, 0)*VLOOKUP($J281, Factor!$B$12:$G$13, 6, 0)*VLOOKUP($K281, Factor!$B$17:$G$18, 6, 0)*VLOOKUP($H281, Factor!$J$4:$O$7, 2, 0)*VLOOKUP($F281, Factor!$Q$4:$V$15, 6, 0)*IF(MOD($G281,10)=0, 10, MOD($G281, 10))*((INDEX(Factor!$X$4:$AC$13, _xlfn.XMATCH($G281, Factor!$X$4:$X$13, 1),6)*IF(MOD(G281, 10) = 0, 10, MOD(G281, 10)))+INDEX(Factor!$AE$4:$AJ$13, _xlfn.XMATCH(MonsterData!$G281, Factor!$AE$4:$AE$13, 1),6))</f>
        <v>248.4</v>
      </c>
      <c r="Z281" s="21">
        <f>$Q281*VLOOKUP($J281, Factor!$B$12:$H$13, 7, 0)</f>
        <v>1</v>
      </c>
      <c r="AA281" s="13">
        <v>1</v>
      </c>
      <c r="AB281" s="21">
        <f t="shared" si="15"/>
        <v>0</v>
      </c>
      <c r="AC281" s="13" t="s">
        <v>139</v>
      </c>
      <c r="AD281" s="15" t="s">
        <v>142</v>
      </c>
    </row>
    <row r="282" spans="1:30" ht="15.75" customHeight="1">
      <c r="A282" s="16" t="str">
        <f>T282&amp;"_"&amp;F282&amp;VLOOKUP($C282, Factor!$AM$4:$AY$30, 7, 0)&amp;IF(COUNTIFS($C$4:C281, C282, $F$4:F281, F282)+1&gt;=100, COUNTIFS($C$4:C281, C282, $F$4:F281, F282)+1,IF(COUNTIFS($C$4:C281, C282, $F$4:F281, F282)+1&gt;=10, "0"&amp;COUNTIFS($C$4:C281, C282, $F$4:F281, F282)+1, "00"&amp;COUNTIFS($C$4:C281, C282, $F$4:F281, F282)+1))</f>
        <v>enpc_F05_A_Cocoon_001</v>
      </c>
      <c r="B282" s="16"/>
      <c r="C282" s="16" t="s">
        <v>270</v>
      </c>
      <c r="D282" s="17" t="str">
        <f t="shared" si="14"/>
        <v>코쿤</v>
      </c>
      <c r="E282" s="17" t="str">
        <f>VLOOKUP($C282, Factor!$AM$4:$AY$30, 8, 0)</f>
        <v>M</v>
      </c>
      <c r="F282" s="17" t="s">
        <v>385</v>
      </c>
      <c r="G282" s="20">
        <v>43</v>
      </c>
      <c r="H282" s="16" t="s">
        <v>55</v>
      </c>
      <c r="I282" s="17" t="str">
        <f>VLOOKUP($C282, Factor!$AM$4:$AY$30, 11, 0)</f>
        <v>A</v>
      </c>
      <c r="J282" s="17" t="str">
        <f>VLOOKUP($C282, Factor!$AM$4:$AY$30, 12, 0)</f>
        <v>ml</v>
      </c>
      <c r="K282" s="17" t="str">
        <f>VLOOKUP($C282, Factor!$AM$4:$AY$30, 13, 0)</f>
        <v>L</v>
      </c>
      <c r="L282" s="17">
        <v>1</v>
      </c>
      <c r="M282" s="17">
        <v>1</v>
      </c>
      <c r="N282" s="17">
        <v>1</v>
      </c>
      <c r="O282" s="17">
        <v>1</v>
      </c>
      <c r="P282" s="17">
        <v>1</v>
      </c>
      <c r="Q282" s="17">
        <v>1</v>
      </c>
      <c r="R282" s="17" t="str">
        <f>VLOOKUP($C282, Factor!$AM$4:$AY$30, 9, 0)</f>
        <v>Midium</v>
      </c>
      <c r="S282" s="17" t="s">
        <v>196</v>
      </c>
      <c r="T282" s="17" t="str">
        <f>VLOOKUP($C282, Factor!$AM$4:$AY$30, 10, 0)</f>
        <v>enpc</v>
      </c>
      <c r="U282" s="17" cm="1">
        <f t="array" ref="U282">L282*VLOOKUP($I282, Factor!$B$4:$G$8, 2, 0)*VLOOKUP($J282, Factor!$B$12:$G$13, 2, 0)*VLOOKUP($K282, Factor!$B$17:$G$18, 2, 0)*VLOOKUP($H282, Factor!$J$4:$O$7, 2, 0)*VLOOKUP($F282, Factor!$Q$4:$V$15, 2, 0)*IF(MOD($G282,10)=0, 10, MOD($G282, 10))*((INDEX(Factor!$X$4:$AC$13, _xlfn.XMATCH($G282, Factor!$X$4:$X$13, 1),2)*IF(MOD(G282, 10) = 0, 10, MOD(G282, 10)))+INDEX(Factor!$AE$4:$AJ$13, _xlfn.XMATCH(MonsterData!$G282, Factor!$AE$4:$AE$13, 1),2))</f>
        <v>9315</v>
      </c>
      <c r="V282" s="17" cm="1">
        <f t="array" ref="V282">M282*VLOOKUP($I282, Factor!$B$4:$G$8, 3, 0)*VLOOKUP($J282, Factor!$B$12:$G$13, 3, 0)*VLOOKUP($K282, Factor!$B$17:$G$18, 3, 0)*VLOOKUP($H282, Factor!$J$4:$O$7, 3, 0)*VLOOKUP($F282, Factor!$Q$4:$V$15, 3, 0)*IF(MOD($G282,10)=0, 10, MOD($G282, 10))*((INDEX(Factor!$X$4:$AC$13, _xlfn.XMATCH($G282, Factor!$X$4:$X$13, 1),3)*IF(MOD(G282, 10) = 0, 10, MOD(G282, 10)))+INDEX(Factor!$AE$4:$AJ$13, _xlfn.XMATCH(MonsterData!$G282, Factor!$AE$4:$AE$13, 1),3))</f>
        <v>465.75</v>
      </c>
      <c r="W282" s="17" cm="1">
        <f t="array" ref="W282">N282*VLOOKUP($I282, Factor!$B$4:$G$8, 4, 0)*VLOOKUP($J282, Factor!$B$12:$G$13, 4, 0)*VLOOKUP($K282, Factor!$B$17:$G$18, 4, 0)*VLOOKUP($H282, Factor!$J$4:$O$7, 4, 0)*VLOOKUP($F282, Factor!$Q$4:$V$15, 4, 0)*IF(MOD($G282,10)=0, 10, MOD($G282, 10))*((INDEX(Factor!$X$4:$AC$13, _xlfn.XMATCH($G282, Factor!$X$4:$X$13, 1),4)*IF(MOD(G282, 10) = 0, 10, MOD(G282, 10)))+INDEX(Factor!$AE$4:$AJ$13, _xlfn.XMATCH(MonsterData!$G282, Factor!$AE$4:$AE$13, 1),4))</f>
        <v>279.45</v>
      </c>
      <c r="X282" s="17" cm="1">
        <f t="array" ref="X282">O282*VLOOKUP($I282, Factor!$B$4:$G$8, 5, 0)*VLOOKUP($J282, Factor!$B$12:$G$13, 5, 0)*VLOOKUP($K282, Factor!$B$17:$G$18, 5, 0)*VLOOKUP($H282, Factor!$J$4:$O$7, 5, 0)*VLOOKUP($F282, Factor!$Q$4:$V$15, 5, 0)*IF(MOD($G282,10)=0, 10, MOD($G282, 10))*((INDEX(Factor!$X$4:$AC$13, _xlfn.XMATCH($G282, Factor!$X$4:$X$13, 1),5)*IF(MOD(G282, 10) = 0, 10, MOD(G282, 10)))+INDEX(Factor!$AE$4:$AJ$13, _xlfn.XMATCH(MonsterData!$G282, Factor!$AE$4:$AE$13, 1),5))</f>
        <v>62.1</v>
      </c>
      <c r="Y282" s="17" cm="1">
        <f t="array" ref="Y282">P282*VLOOKUP($I282, Factor!$B$4:$G$8, 6, 0)*VLOOKUP($J282, Factor!$B$12:$G$13, 6, 0)*VLOOKUP($K282, Factor!$B$17:$G$18, 6, 0)*VLOOKUP($H282, Factor!$J$4:$O$7, 2, 0)*VLOOKUP($F282, Factor!$Q$4:$V$15, 6, 0)*IF(MOD($G282,10)=0, 10, MOD($G282, 10))*((INDEX(Factor!$X$4:$AC$13, _xlfn.XMATCH($G282, Factor!$X$4:$X$13, 1),6)*IF(MOD(G282, 10) = 0, 10, MOD(G282, 10)))+INDEX(Factor!$AE$4:$AJ$13, _xlfn.XMATCH(MonsterData!$G282, Factor!$AE$4:$AE$13, 1),6))</f>
        <v>310.5</v>
      </c>
      <c r="Z282" s="17">
        <f>$Q282*VLOOKUP($J282, Factor!$B$12:$H$13, 7, 0)</f>
        <v>1</v>
      </c>
      <c r="AA282" s="17">
        <v>1</v>
      </c>
      <c r="AB282" s="17">
        <f t="shared" si="15"/>
        <v>0</v>
      </c>
      <c r="AC282" s="17" t="s">
        <v>139</v>
      </c>
      <c r="AD282" s="19" t="s">
        <v>142</v>
      </c>
    </row>
    <row r="283" spans="1:30" ht="15.75" customHeight="1">
      <c r="A283" s="13" t="str">
        <f>T283&amp;"_"&amp;F283&amp;VLOOKUP($C283, Factor!$AM$4:$AY$30, 7, 0)&amp;IF(COUNTIFS($C$4:C282, C283, $F$4:F282, F283)+1&gt;=100, COUNTIFS($C$4:C282, C283, $F$4:F282, F283)+1,IF(COUNTIFS($C$4:C282, C283, $F$4:F282, F283)+1&gt;=10, "0"&amp;COUNTIFS($C$4:C282, C283, $F$4:F282, F283)+1, "00"&amp;COUNTIFS($C$4:C282, C283, $F$4:F282, F283)+1))</f>
        <v>enpc_F05_A_Antlion_001</v>
      </c>
      <c r="B283" s="13"/>
      <c r="C283" s="13" t="s">
        <v>38</v>
      </c>
      <c r="D283" s="21" t="str">
        <f t="shared" si="14"/>
        <v>앤틸리온</v>
      </c>
      <c r="E283" s="21" t="str">
        <f>VLOOKUP($C283, Factor!$AM$4:$AY$30, 8, 0)</f>
        <v>M</v>
      </c>
      <c r="F283" s="21" t="s">
        <v>113</v>
      </c>
      <c r="G283" s="22">
        <v>43</v>
      </c>
      <c r="H283" s="13" t="s">
        <v>55</v>
      </c>
      <c r="I283" s="21" t="str">
        <f>VLOOKUP($C283, Factor!$AM$4:$AY$30, 11, 0)</f>
        <v>A</v>
      </c>
      <c r="J283" s="21" t="str">
        <f>VLOOKUP($C283, Factor!$AM$4:$AY$30, 12, 0)</f>
        <v>ra</v>
      </c>
      <c r="K283" s="21" t="str">
        <f>VLOOKUP($C283, Factor!$AM$4:$AY$30, 13, 0)</f>
        <v>L</v>
      </c>
      <c r="L283" s="13">
        <v>1</v>
      </c>
      <c r="M283" s="13">
        <v>1</v>
      </c>
      <c r="N283" s="13">
        <v>1</v>
      </c>
      <c r="O283" s="13">
        <v>1</v>
      </c>
      <c r="P283" s="13">
        <v>1</v>
      </c>
      <c r="Q283" s="13">
        <v>1</v>
      </c>
      <c r="R283" s="21" t="str">
        <f>VLOOKUP($C283, Factor!$AM$4:$AY$30, 9, 0)</f>
        <v>Midium</v>
      </c>
      <c r="S283" s="13" t="s">
        <v>397</v>
      </c>
      <c r="T283" s="21" t="str">
        <f>VLOOKUP($C283, Factor!$AM$4:$AY$30, 10, 0)</f>
        <v>enpc</v>
      </c>
      <c r="U283" s="21" cm="1">
        <f t="array" ref="U283">L283*VLOOKUP($I283, Factor!$B$4:$G$8, 2, 0)*VLOOKUP($J283, Factor!$B$12:$G$13, 2, 0)*VLOOKUP($K283, Factor!$B$17:$G$18, 2, 0)*VLOOKUP($H283, Factor!$J$4:$O$7, 2, 0)*VLOOKUP($F283, Factor!$Q$4:$V$15, 2, 0)*IF(MOD($G283,10)=0, 10, MOD($G283, 10))*((INDEX(Factor!$X$4:$AC$13, _xlfn.XMATCH($G283, Factor!$X$4:$X$13, 1),2)*IF(MOD(G283, 10) = 0, 10, MOD(G283, 10)))+INDEX(Factor!$AE$4:$AJ$13, _xlfn.XMATCH(MonsterData!$G283, Factor!$AE$4:$AE$13, 1),2))</f>
        <v>7452</v>
      </c>
      <c r="V283" s="21" cm="1">
        <f t="array" ref="V283">M283*VLOOKUP($I283, Factor!$B$4:$G$8, 3, 0)*VLOOKUP($J283, Factor!$B$12:$G$13, 3, 0)*VLOOKUP($K283, Factor!$B$17:$G$18, 3, 0)*VLOOKUP($H283, Factor!$J$4:$O$7, 3, 0)*VLOOKUP($F283, Factor!$Q$4:$V$15, 3, 0)*IF(MOD($G283,10)=0, 10, MOD($G283, 10))*((INDEX(Factor!$X$4:$AC$13, _xlfn.XMATCH($G283, Factor!$X$4:$X$13, 1),3)*IF(MOD(G283, 10) = 0, 10, MOD(G283, 10)))+INDEX(Factor!$AE$4:$AJ$13, _xlfn.XMATCH(MonsterData!$G283, Factor!$AE$4:$AE$13, 1),3))</f>
        <v>372.60000000000008</v>
      </c>
      <c r="W283" s="21" cm="1">
        <f t="array" ref="W283">N283*VLOOKUP($I283, Factor!$B$4:$G$8, 4, 0)*VLOOKUP($J283, Factor!$B$12:$G$13, 4, 0)*VLOOKUP($K283, Factor!$B$17:$G$18, 4, 0)*VLOOKUP($H283, Factor!$J$4:$O$7, 4, 0)*VLOOKUP($F283, Factor!$Q$4:$V$15, 4, 0)*IF(MOD($G283,10)=0, 10, MOD($G283, 10))*((INDEX(Factor!$X$4:$AC$13, _xlfn.XMATCH($G283, Factor!$X$4:$X$13, 1),4)*IF(MOD(G283, 10) = 0, 10, MOD(G283, 10)))+INDEX(Factor!$AE$4:$AJ$13, _xlfn.XMATCH(MonsterData!$G283, Factor!$AE$4:$AE$13, 1),4))</f>
        <v>335.34</v>
      </c>
      <c r="X283" s="21" cm="1">
        <f t="array" ref="X283">O283*VLOOKUP($I283, Factor!$B$4:$G$8, 5, 0)*VLOOKUP($J283, Factor!$B$12:$G$13, 5, 0)*VLOOKUP($K283, Factor!$B$17:$G$18, 5, 0)*VLOOKUP($H283, Factor!$J$4:$O$7, 5, 0)*VLOOKUP($F283, Factor!$Q$4:$V$15, 5, 0)*IF(MOD($G283,10)=0, 10, MOD($G283, 10))*((INDEX(Factor!$X$4:$AC$13, _xlfn.XMATCH($G283, Factor!$X$4:$X$13, 1),5)*IF(MOD(G283, 10) = 0, 10, MOD(G283, 10)))+INDEX(Factor!$AE$4:$AJ$13, _xlfn.XMATCH(MonsterData!$G283, Factor!$AE$4:$AE$13, 1),5))</f>
        <v>93.15000000000002</v>
      </c>
      <c r="Y283" s="21" cm="1">
        <f t="array" ref="Y283">P283*VLOOKUP($I283, Factor!$B$4:$G$8, 6, 0)*VLOOKUP($J283, Factor!$B$12:$G$13, 6, 0)*VLOOKUP($K283, Factor!$B$17:$G$18, 6, 0)*VLOOKUP($H283, Factor!$J$4:$O$7, 2, 0)*VLOOKUP($F283, Factor!$Q$4:$V$15, 6, 0)*IF(MOD($G283,10)=0, 10, MOD($G283, 10))*((INDEX(Factor!$X$4:$AC$13, _xlfn.XMATCH($G283, Factor!$X$4:$X$13, 1),6)*IF(MOD(G283, 10) = 0, 10, MOD(G283, 10)))+INDEX(Factor!$AE$4:$AJ$13, _xlfn.XMATCH(MonsterData!$G283, Factor!$AE$4:$AE$13, 1),6))</f>
        <v>310.5</v>
      </c>
      <c r="Z283" s="21">
        <f>$Q283*VLOOKUP($J283, Factor!$B$12:$H$13, 7, 0)</f>
        <v>4</v>
      </c>
      <c r="AA283" s="13">
        <v>1</v>
      </c>
      <c r="AB283" s="21">
        <f t="shared" si="15"/>
        <v>4</v>
      </c>
      <c r="AC283" s="13" t="s">
        <v>139</v>
      </c>
      <c r="AD283" s="15" t="s">
        <v>142</v>
      </c>
    </row>
    <row r="284" spans="1:30" ht="15.75" customHeight="1">
      <c r="A284" s="16" t="str">
        <f>T284&amp;"_"&amp;F284&amp;VLOOKUP($C284, Factor!$AM$4:$AY$30, 7, 0)&amp;IF(COUNTIFS($C$4:C283, C284, $F$4:F283, F284)+1&gt;=100, COUNTIFS($C$4:C283, C284, $F$4:F283, F284)+1,IF(COUNTIFS($C$4:C283, C284, $F$4:F283, F284)+1&gt;=10, "0"&amp;COUNTIFS($C$4:C283, C284, $F$4:F283, F284)+1, "00"&amp;COUNTIFS($C$4:C283, C284, $F$4:F283, F284)+1))</f>
        <v>enpc_F05_A_Nymphe_001</v>
      </c>
      <c r="B284" s="16"/>
      <c r="C284" s="16" t="s">
        <v>39</v>
      </c>
      <c r="D284" s="17" t="str">
        <f t="shared" si="14"/>
        <v>님프</v>
      </c>
      <c r="E284" s="17" t="str">
        <f>VLOOKUP($C284, Factor!$AM$4:$AY$30, 8, 0)</f>
        <v>S</v>
      </c>
      <c r="F284" s="17" t="s">
        <v>113</v>
      </c>
      <c r="G284" s="20">
        <v>43</v>
      </c>
      <c r="H284" s="16" t="s">
        <v>55</v>
      </c>
      <c r="I284" s="17" t="str">
        <f>VLOOKUP($C284, Factor!$AM$4:$AY$30, 11, 0)</f>
        <v>A</v>
      </c>
      <c r="J284" s="17" t="str">
        <f>VLOOKUP($C284, Factor!$AM$4:$AY$30, 12, 0)</f>
        <v>ml</v>
      </c>
      <c r="K284" s="17" t="str">
        <f>VLOOKUP($C284, Factor!$AM$4:$AY$30, 13, 0)</f>
        <v>F</v>
      </c>
      <c r="L284" s="17">
        <v>1</v>
      </c>
      <c r="M284" s="17">
        <v>1</v>
      </c>
      <c r="N284" s="17">
        <v>1</v>
      </c>
      <c r="O284" s="17">
        <v>1</v>
      </c>
      <c r="P284" s="17">
        <v>1</v>
      </c>
      <c r="Q284" s="17">
        <v>1</v>
      </c>
      <c r="R284" s="17" t="str">
        <f>VLOOKUP($C284, Factor!$AM$4:$AY$30, 9, 0)</f>
        <v>Small</v>
      </c>
      <c r="S284" s="17" t="s">
        <v>197</v>
      </c>
      <c r="T284" s="17" t="str">
        <f>VLOOKUP($C284, Factor!$AM$4:$AY$30, 10, 0)</f>
        <v>enpc</v>
      </c>
      <c r="U284" s="17" cm="1">
        <f t="array" ref="U284">L284*VLOOKUP($I284, Factor!$B$4:$G$8, 2, 0)*VLOOKUP($J284, Factor!$B$12:$G$13, 2, 0)*VLOOKUP($K284, Factor!$B$17:$G$18, 2, 0)*VLOOKUP($H284, Factor!$J$4:$O$7, 2, 0)*VLOOKUP($F284, Factor!$Q$4:$V$15, 2, 0)*IF(MOD($G284,10)=0, 10, MOD($G284, 10))*((INDEX(Factor!$X$4:$AC$13, _xlfn.XMATCH($G284, Factor!$X$4:$X$13, 1),2)*IF(MOD(G284, 10) = 0, 10, MOD(G284, 10)))+INDEX(Factor!$AE$4:$AJ$13, _xlfn.XMATCH(MonsterData!$G284, Factor!$AE$4:$AE$13, 1),2))</f>
        <v>6210</v>
      </c>
      <c r="V284" s="17" cm="1">
        <f t="array" ref="V284">M284*VLOOKUP($I284, Factor!$B$4:$G$8, 3, 0)*VLOOKUP($J284, Factor!$B$12:$G$13, 3, 0)*VLOOKUP($K284, Factor!$B$17:$G$18, 3, 0)*VLOOKUP($H284, Factor!$J$4:$O$7, 3, 0)*VLOOKUP($F284, Factor!$Q$4:$V$15, 3, 0)*IF(MOD($G284,10)=0, 10, MOD($G284, 10))*((INDEX(Factor!$X$4:$AC$13, _xlfn.XMATCH($G284, Factor!$X$4:$X$13, 1),3)*IF(MOD(G284, 10) = 0, 10, MOD(G284, 10)))+INDEX(Factor!$AE$4:$AJ$13, _xlfn.XMATCH(MonsterData!$G284, Factor!$AE$4:$AE$13, 1),3))</f>
        <v>310.5</v>
      </c>
      <c r="W284" s="17" cm="1">
        <f t="array" ref="W284">N284*VLOOKUP($I284, Factor!$B$4:$G$8, 4, 0)*VLOOKUP($J284, Factor!$B$12:$G$13, 4, 0)*VLOOKUP($K284, Factor!$B$17:$G$18, 4, 0)*VLOOKUP($H284, Factor!$J$4:$O$7, 4, 0)*VLOOKUP($F284, Factor!$Q$4:$V$15, 4, 0)*IF(MOD($G284,10)=0, 10, MOD($G284, 10))*((INDEX(Factor!$X$4:$AC$13, _xlfn.XMATCH($G284, Factor!$X$4:$X$13, 1),4)*IF(MOD(G284, 10) = 0, 10, MOD(G284, 10)))+INDEX(Factor!$AE$4:$AJ$13, _xlfn.XMATCH(MonsterData!$G284, Factor!$AE$4:$AE$13, 1),4))</f>
        <v>186.30000000000004</v>
      </c>
      <c r="X284" s="17" cm="1">
        <f t="array" ref="X284">O284*VLOOKUP($I284, Factor!$B$4:$G$8, 5, 0)*VLOOKUP($J284, Factor!$B$12:$G$13, 5, 0)*VLOOKUP($K284, Factor!$B$17:$G$18, 5, 0)*VLOOKUP($H284, Factor!$J$4:$O$7, 5, 0)*VLOOKUP($F284, Factor!$Q$4:$V$15, 5, 0)*IF(MOD($G284,10)=0, 10, MOD($G284, 10))*((INDEX(Factor!$X$4:$AC$13, _xlfn.XMATCH($G284, Factor!$X$4:$X$13, 1),5)*IF(MOD(G284, 10) = 0, 10, MOD(G284, 10)))+INDEX(Factor!$AE$4:$AJ$13, _xlfn.XMATCH(MonsterData!$G284, Factor!$AE$4:$AE$13, 1),5))</f>
        <v>62.1</v>
      </c>
      <c r="Y284" s="17" cm="1">
        <f t="array" ref="Y284">P284*VLOOKUP($I284, Factor!$B$4:$G$8, 6, 0)*VLOOKUP($J284, Factor!$B$12:$G$13, 6, 0)*VLOOKUP($K284, Factor!$B$17:$G$18, 6, 0)*VLOOKUP($H284, Factor!$J$4:$O$7, 2, 0)*VLOOKUP($F284, Factor!$Q$4:$V$15, 6, 0)*IF(MOD($G284,10)=0, 10, MOD($G284, 10))*((INDEX(Factor!$X$4:$AC$13, _xlfn.XMATCH($G284, Factor!$X$4:$X$13, 1),6)*IF(MOD(G284, 10) = 0, 10, MOD(G284, 10)))+INDEX(Factor!$AE$4:$AJ$13, _xlfn.XMATCH(MonsterData!$G284, Factor!$AE$4:$AE$13, 1),6))</f>
        <v>931.5</v>
      </c>
      <c r="Z284" s="17">
        <f>$Q284*VLOOKUP($J284, Factor!$B$12:$H$13, 7, 0)</f>
        <v>1</v>
      </c>
      <c r="AA284" s="17">
        <v>1</v>
      </c>
      <c r="AB284" s="17">
        <f t="shared" si="15"/>
        <v>0</v>
      </c>
      <c r="AC284" s="17" t="s">
        <v>139</v>
      </c>
      <c r="AD284" s="19" t="s">
        <v>142</v>
      </c>
    </row>
    <row r="285" spans="1:30" ht="15.75" customHeight="1">
      <c r="A285" s="13" t="str">
        <f>T285&amp;"_"&amp;F285&amp;VLOOKUP($C285, Factor!$AM$4:$AY$30, 7, 0)&amp;IF(COUNTIFS($C$4:C284, C285, $F$4:F284, F285)+1&gt;=100, COUNTIFS($C$4:C284, C285, $F$4:F284, F285)+1,IF(COUNTIFS($C$4:C284, C285, $F$4:F284, F285)+1&gt;=10, "0"&amp;COUNTIFS($C$4:C284, C285, $F$4:F284, F285)+1, "00"&amp;COUNTIFS($C$4:C284, C285, $F$4:F284, F285)+1))</f>
        <v>enpc_F05_B_Golem_001</v>
      </c>
      <c r="B285" s="13"/>
      <c r="C285" s="13" t="s">
        <v>40</v>
      </c>
      <c r="D285" s="21" t="str">
        <f t="shared" si="14"/>
        <v>골렘</v>
      </c>
      <c r="E285" s="21" t="str">
        <f>VLOOKUP($C285, Factor!$AM$4:$AY$30, 8, 0)</f>
        <v>B</v>
      </c>
      <c r="F285" s="21" t="s">
        <v>113</v>
      </c>
      <c r="G285" s="22">
        <v>68</v>
      </c>
      <c r="H285" s="13" t="s">
        <v>57</v>
      </c>
      <c r="I285" s="21" t="str">
        <f>VLOOKUP($C285, Factor!$AM$4:$AY$30, 11, 0)</f>
        <v>B</v>
      </c>
      <c r="J285" s="21" t="str">
        <f>VLOOKUP($C285, Factor!$AM$4:$AY$30, 12, 0)</f>
        <v>ml</v>
      </c>
      <c r="K285" s="21" t="str">
        <f>VLOOKUP($C285, Factor!$AM$4:$AY$30, 13, 0)</f>
        <v>L</v>
      </c>
      <c r="L285" s="13">
        <v>1</v>
      </c>
      <c r="M285" s="13">
        <v>1</v>
      </c>
      <c r="N285" s="13">
        <v>1</v>
      </c>
      <c r="O285" s="13">
        <v>1</v>
      </c>
      <c r="P285" s="13">
        <v>1</v>
      </c>
      <c r="Q285" s="13">
        <v>1</v>
      </c>
      <c r="R285" s="21" t="str">
        <f>VLOOKUP($C285, Factor!$AM$4:$AY$30, 9, 0)</f>
        <v>Big</v>
      </c>
      <c r="S285" s="13" t="s">
        <v>398</v>
      </c>
      <c r="T285" s="21" t="str">
        <f>VLOOKUP($C285, Factor!$AM$4:$AY$30, 10, 0)</f>
        <v>enpc</v>
      </c>
      <c r="U285" s="21" cm="1">
        <f t="array" ref="U285">L285*VLOOKUP($I285, Factor!$B$4:$G$8, 2, 0)*VLOOKUP($J285, Factor!$B$12:$G$13, 2, 0)*VLOOKUP($K285, Factor!$B$17:$G$18, 2, 0)*VLOOKUP($H285, Factor!$J$4:$O$7, 2, 0)*VLOOKUP($F285, Factor!$Q$4:$V$15, 2, 0)*IF(MOD($G285,10)=0, 10, MOD($G285, 10))*((INDEX(Factor!$X$4:$AC$13, _xlfn.XMATCH($G285, Factor!$X$4:$X$13, 1),2)*IF(MOD(G285, 10) = 0, 10, MOD(G285, 10)))+INDEX(Factor!$AE$4:$AJ$13, _xlfn.XMATCH(MonsterData!$G285, Factor!$AE$4:$AE$13, 1),2))</f>
        <v>574560</v>
      </c>
      <c r="V285" s="21" cm="1">
        <f t="array" ref="V285">M285*VLOOKUP($I285, Factor!$B$4:$G$8, 3, 0)*VLOOKUP($J285, Factor!$B$12:$G$13, 3, 0)*VLOOKUP($K285, Factor!$B$17:$G$18, 3, 0)*VLOOKUP($H285, Factor!$J$4:$O$7, 3, 0)*VLOOKUP($F285, Factor!$Q$4:$V$15, 3, 0)*IF(MOD($G285,10)=0, 10, MOD($G285, 10))*((INDEX(Factor!$X$4:$AC$13, _xlfn.XMATCH($G285, Factor!$X$4:$X$13, 1),3)*IF(MOD(G285, 10) = 0, 10, MOD(G285, 10)))+INDEX(Factor!$AE$4:$AJ$13, _xlfn.XMATCH(MonsterData!$G285, Factor!$AE$4:$AE$13, 1),3))</f>
        <v>28728</v>
      </c>
      <c r="W285" s="21" cm="1">
        <f t="array" ref="W285">N285*VLOOKUP($I285, Factor!$B$4:$G$8, 4, 0)*VLOOKUP($J285, Factor!$B$12:$G$13, 4, 0)*VLOOKUP($K285, Factor!$B$17:$G$18, 4, 0)*VLOOKUP($H285, Factor!$J$4:$O$7, 4, 0)*VLOOKUP($F285, Factor!$Q$4:$V$15, 4, 0)*IF(MOD($G285,10)=0, 10, MOD($G285, 10))*((INDEX(Factor!$X$4:$AC$13, _xlfn.XMATCH($G285, Factor!$X$4:$X$13, 1),4)*IF(MOD(G285, 10) = 0, 10, MOD(G285, 10)))+INDEX(Factor!$AE$4:$AJ$13, _xlfn.XMATCH(MonsterData!$G285, Factor!$AE$4:$AE$13, 1),4))</f>
        <v>1436.4</v>
      </c>
      <c r="X285" s="21" cm="1">
        <f t="array" ref="X285">O285*VLOOKUP($I285, Factor!$B$4:$G$8, 5, 0)*VLOOKUP($J285, Factor!$B$12:$G$13, 5, 0)*VLOOKUP($K285, Factor!$B$17:$G$18, 5, 0)*VLOOKUP($H285, Factor!$J$4:$O$7, 5, 0)*VLOOKUP($F285, Factor!$Q$4:$V$15, 5, 0)*IF(MOD($G285,10)=0, 10, MOD($G285, 10))*((INDEX(Factor!$X$4:$AC$13, _xlfn.XMATCH($G285, Factor!$X$4:$X$13, 1),5)*IF(MOD(G285, 10) = 0, 10, MOD(G285, 10)))+INDEX(Factor!$AE$4:$AJ$13, _xlfn.XMATCH(MonsterData!$G285, Factor!$AE$4:$AE$13, 1),5))</f>
        <v>1532.16</v>
      </c>
      <c r="Y285" s="21" cm="1">
        <f t="array" ref="Y285">P285*VLOOKUP($I285, Factor!$B$4:$G$8, 6, 0)*VLOOKUP($J285, Factor!$B$12:$G$13, 6, 0)*VLOOKUP($K285, Factor!$B$17:$G$18, 6, 0)*VLOOKUP($H285, Factor!$J$4:$O$7, 2, 0)*VLOOKUP($F285, Factor!$Q$4:$V$15, 6, 0)*IF(MOD($G285,10)=0, 10, MOD($G285, 10))*((INDEX(Factor!$X$4:$AC$13, _xlfn.XMATCH($G285, Factor!$X$4:$X$13, 1),6)*IF(MOD(G285, 10) = 0, 10, MOD(G285, 10)))+INDEX(Factor!$AE$4:$AJ$13, _xlfn.XMATCH(MonsterData!$G285, Factor!$AE$4:$AE$13, 1),6))</f>
        <v>3064.32</v>
      </c>
      <c r="Z285" s="21">
        <f>$Q285*VLOOKUP($J285, Factor!$B$12:$H$13, 7, 0)</f>
        <v>1</v>
      </c>
      <c r="AA285" s="13">
        <v>1</v>
      </c>
      <c r="AB285" s="21">
        <f t="shared" si="15"/>
        <v>0</v>
      </c>
      <c r="AC285" s="13" t="s">
        <v>140</v>
      </c>
      <c r="AD285" s="15" t="s">
        <v>143</v>
      </c>
    </row>
    <row r="286" spans="1:30" ht="15.75" customHeight="1">
      <c r="A286" s="16" t="str">
        <f>T286&amp;"_"&amp;F286&amp;VLOOKUP($C286, Factor!$AM$4:$AY$30, 7, 0)&amp;IF(COUNTIFS($C$4:C285, C286, $F$4:F285, F286)+1&gt;=100, COUNTIFS($C$4:C285, C286, $F$4:F285, F286)+1,IF(COUNTIFS($C$4:C285, C286, $F$4:F285, F286)+1&gt;=10, "0"&amp;COUNTIFS($C$4:C285, C286, $F$4:F285, F286)+1, "00"&amp;COUNTIFS($C$4:C285, C286, $F$4:F285, F286)+1))</f>
        <v>enpc_F05_B_Banshee_001</v>
      </c>
      <c r="B286" s="16"/>
      <c r="C286" s="16" t="s">
        <v>42</v>
      </c>
      <c r="D286" s="17" t="str">
        <f t="shared" si="14"/>
        <v>밴시</v>
      </c>
      <c r="E286" s="17" t="str">
        <f>VLOOKUP($C286, Factor!$AM$4:$AY$30, 8, 0)</f>
        <v>S</v>
      </c>
      <c r="F286" s="17" t="s">
        <v>113</v>
      </c>
      <c r="G286" s="20">
        <v>68</v>
      </c>
      <c r="H286" s="16" t="s">
        <v>56</v>
      </c>
      <c r="I286" s="17" t="str">
        <f>VLOOKUP($C286, Factor!$AM$4:$AY$30, 11, 0)</f>
        <v>B</v>
      </c>
      <c r="J286" s="17" t="str">
        <f>VLOOKUP($C286, Factor!$AM$4:$AY$30, 12, 0)</f>
        <v>ra</v>
      </c>
      <c r="K286" s="17" t="str">
        <f>VLOOKUP($C286, Factor!$AM$4:$AY$30, 13, 0)</f>
        <v>L</v>
      </c>
      <c r="L286" s="17">
        <v>1</v>
      </c>
      <c r="M286" s="17">
        <v>1</v>
      </c>
      <c r="N286" s="17">
        <v>1</v>
      </c>
      <c r="O286" s="17">
        <v>1</v>
      </c>
      <c r="P286" s="17">
        <v>1</v>
      </c>
      <c r="Q286" s="17">
        <v>1</v>
      </c>
      <c r="R286" s="17" t="str">
        <f>VLOOKUP($C286, Factor!$AM$4:$AY$30, 9, 0)</f>
        <v>Midium</v>
      </c>
      <c r="S286" s="17" t="s">
        <v>198</v>
      </c>
      <c r="T286" s="17" t="str">
        <f>VLOOKUP($C286, Factor!$AM$4:$AY$30, 10, 0)</f>
        <v>enpc</v>
      </c>
      <c r="U286" s="17" cm="1">
        <f t="array" ref="U286">L286*VLOOKUP($I286, Factor!$B$4:$G$8, 2, 0)*VLOOKUP($J286, Factor!$B$12:$G$13, 2, 0)*VLOOKUP($K286, Factor!$B$17:$G$18, 2, 0)*VLOOKUP($H286, Factor!$J$4:$O$7, 2, 0)*VLOOKUP($F286, Factor!$Q$4:$V$15, 2, 0)*IF(MOD($G286,10)=0, 10, MOD($G286, 10))*((INDEX(Factor!$X$4:$AC$13, _xlfn.XMATCH($G286, Factor!$X$4:$X$13, 1),2)*IF(MOD(G286, 10) = 0, 10, MOD(G286, 10)))+INDEX(Factor!$AE$4:$AJ$13, _xlfn.XMATCH(MonsterData!$G286, Factor!$AE$4:$AE$13, 1),2))</f>
        <v>229824</v>
      </c>
      <c r="V286" s="17" cm="1">
        <f t="array" ref="V286">M286*VLOOKUP($I286, Factor!$B$4:$G$8, 3, 0)*VLOOKUP($J286, Factor!$B$12:$G$13, 3, 0)*VLOOKUP($K286, Factor!$B$17:$G$18, 3, 0)*VLOOKUP($H286, Factor!$J$4:$O$7, 3, 0)*VLOOKUP($F286, Factor!$Q$4:$V$15, 3, 0)*IF(MOD($G286,10)=0, 10, MOD($G286, 10))*((INDEX(Factor!$X$4:$AC$13, _xlfn.XMATCH($G286, Factor!$X$4:$X$13, 1),3)*IF(MOD(G286, 10) = 0, 10, MOD(G286, 10)))+INDEX(Factor!$AE$4:$AJ$13, _xlfn.XMATCH(MonsterData!$G286, Factor!$AE$4:$AE$13, 1),3))</f>
        <v>11491.2</v>
      </c>
      <c r="W286" s="17" cm="1">
        <f t="array" ref="W286">N286*VLOOKUP($I286, Factor!$B$4:$G$8, 4, 0)*VLOOKUP($J286, Factor!$B$12:$G$13, 4, 0)*VLOOKUP($K286, Factor!$B$17:$G$18, 4, 0)*VLOOKUP($H286, Factor!$J$4:$O$7, 4, 0)*VLOOKUP($F286, Factor!$Q$4:$V$15, 4, 0)*IF(MOD($G286,10)=0, 10, MOD($G286, 10))*((INDEX(Factor!$X$4:$AC$13, _xlfn.XMATCH($G286, Factor!$X$4:$X$13, 1),4)*IF(MOD(G286, 10) = 0, 10, MOD(G286, 10)))+INDEX(Factor!$AE$4:$AJ$13, _xlfn.XMATCH(MonsterData!$G286, Factor!$AE$4:$AE$13, 1),4))</f>
        <v>34473.599999999999</v>
      </c>
      <c r="X286" s="17" cm="1">
        <f t="array" ref="X286">O286*VLOOKUP($I286, Factor!$B$4:$G$8, 5, 0)*VLOOKUP($J286, Factor!$B$12:$G$13, 5, 0)*VLOOKUP($K286, Factor!$B$17:$G$18, 5, 0)*VLOOKUP($H286, Factor!$J$4:$O$7, 5, 0)*VLOOKUP($F286, Factor!$Q$4:$V$15, 5, 0)*IF(MOD($G286,10)=0, 10, MOD($G286, 10))*((INDEX(Factor!$X$4:$AC$13, _xlfn.XMATCH($G286, Factor!$X$4:$X$13, 1),5)*IF(MOD(G286, 10) = 0, 10, MOD(G286, 10)))+INDEX(Factor!$AE$4:$AJ$13, _xlfn.XMATCH(MonsterData!$G286, Factor!$AE$4:$AE$13, 1),5))</f>
        <v>1034.2080000000001</v>
      </c>
      <c r="Y286" s="17" cm="1">
        <f t="array" ref="Y286">P286*VLOOKUP($I286, Factor!$B$4:$G$8, 6, 0)*VLOOKUP($J286, Factor!$B$12:$G$13, 6, 0)*VLOOKUP($K286, Factor!$B$17:$G$18, 6, 0)*VLOOKUP($H286, Factor!$J$4:$O$7, 2, 0)*VLOOKUP($F286, Factor!$Q$4:$V$15, 6, 0)*IF(MOD($G286,10)=0, 10, MOD($G286, 10))*((INDEX(Factor!$X$4:$AC$13, _xlfn.XMATCH($G286, Factor!$X$4:$X$13, 1),6)*IF(MOD(G286, 10) = 0, 10, MOD(G286, 10)))+INDEX(Factor!$AE$4:$AJ$13, _xlfn.XMATCH(MonsterData!$G286, Factor!$AE$4:$AE$13, 1),6))</f>
        <v>1532.16</v>
      </c>
      <c r="Z286" s="17">
        <f>$Q286*VLOOKUP($J286, Factor!$B$12:$H$13, 7, 0)</f>
        <v>4</v>
      </c>
      <c r="AA286" s="17">
        <v>1</v>
      </c>
      <c r="AB286" s="17">
        <f t="shared" si="15"/>
        <v>4</v>
      </c>
      <c r="AC286" s="17" t="s">
        <v>141</v>
      </c>
      <c r="AD286" s="19" t="s">
        <v>144</v>
      </c>
    </row>
    <row r="287" spans="1:30" ht="15.75" customHeight="1">
      <c r="A287" s="13" t="str">
        <f>T287&amp;"_"&amp;F287&amp;VLOOKUP($C287, Factor!$AM$4:$AY$30, 7, 0)&amp;IF(COUNTIFS($C$4:C286, C287, $F$4:F286, F287)+1&gt;=100, COUNTIFS($C$4:C286, C287, $F$4:F286, F287)+1,IF(COUNTIFS($C$4:C286, C287, $F$4:F286, F287)+1&gt;=10, "0"&amp;COUNTIFS($C$4:C286, C287, $F$4:F286, F287)+1, "00"&amp;COUNTIFS($C$4:C286, C287, $F$4:F286, F287)+1))</f>
        <v>enpc_F05_A_Scarab_001</v>
      </c>
      <c r="B287" s="13"/>
      <c r="C287" s="13" t="s">
        <v>353</v>
      </c>
      <c r="D287" s="21" t="str">
        <f t="shared" si="14"/>
        <v>스캐럽</v>
      </c>
      <c r="E287" s="21" t="str">
        <f>VLOOKUP($C287, Factor!$AM$4:$AY$30, 8, 0)</f>
        <v>S</v>
      </c>
      <c r="F287" s="21" t="s">
        <v>113</v>
      </c>
      <c r="G287" s="22">
        <v>43</v>
      </c>
      <c r="H287" s="13" t="s">
        <v>55</v>
      </c>
      <c r="I287" s="21" t="str">
        <f>VLOOKUP($C287, Factor!$AM$4:$AY$30, 11, 0)</f>
        <v>A</v>
      </c>
      <c r="J287" s="21" t="str">
        <f>VLOOKUP($C287, Factor!$AM$4:$AY$30, 12, 0)</f>
        <v>ml</v>
      </c>
      <c r="K287" s="21" t="str">
        <f>VLOOKUP($C287, Factor!$AM$4:$AY$30, 13, 0)</f>
        <v>L</v>
      </c>
      <c r="L287" s="13">
        <v>1</v>
      </c>
      <c r="M287" s="13">
        <v>1</v>
      </c>
      <c r="N287" s="13">
        <v>1</v>
      </c>
      <c r="O287" s="13">
        <v>1</v>
      </c>
      <c r="P287" s="13">
        <v>1</v>
      </c>
      <c r="Q287" s="13">
        <v>1</v>
      </c>
      <c r="R287" s="21" t="str">
        <f>VLOOKUP($C287, Factor!$AM$4:$AY$30, 9, 0)</f>
        <v>Midium</v>
      </c>
      <c r="S287" s="13" t="s">
        <v>399</v>
      </c>
      <c r="T287" s="21" t="str">
        <f>VLOOKUP($C287, Factor!$AM$4:$AY$30, 10, 0)</f>
        <v>enpc</v>
      </c>
      <c r="U287" s="21" cm="1">
        <f t="array" ref="U287">L287*VLOOKUP($I287, Factor!$B$4:$G$8, 2, 0)*VLOOKUP($J287, Factor!$B$12:$G$13, 2, 0)*VLOOKUP($K287, Factor!$B$17:$G$18, 2, 0)*VLOOKUP($H287, Factor!$J$4:$O$7, 2, 0)*VLOOKUP($F287, Factor!$Q$4:$V$15, 2, 0)*IF(MOD($G287,10)=0, 10, MOD($G287, 10))*((INDEX(Factor!$X$4:$AC$13, _xlfn.XMATCH($G287, Factor!$X$4:$X$13, 1),2)*IF(MOD(G287, 10) = 0, 10, MOD(G287, 10)))+INDEX(Factor!$AE$4:$AJ$13, _xlfn.XMATCH(MonsterData!$G287, Factor!$AE$4:$AE$13, 1),2))</f>
        <v>9315</v>
      </c>
      <c r="V287" s="21" cm="1">
        <f t="array" ref="V287">M287*VLOOKUP($I287, Factor!$B$4:$G$8, 3, 0)*VLOOKUP($J287, Factor!$B$12:$G$13, 3, 0)*VLOOKUP($K287, Factor!$B$17:$G$18, 3, 0)*VLOOKUP($H287, Factor!$J$4:$O$7, 3, 0)*VLOOKUP($F287, Factor!$Q$4:$V$15, 3, 0)*IF(MOD($G287,10)=0, 10, MOD($G287, 10))*((INDEX(Factor!$X$4:$AC$13, _xlfn.XMATCH($G287, Factor!$X$4:$X$13, 1),3)*IF(MOD(G287, 10) = 0, 10, MOD(G287, 10)))+INDEX(Factor!$AE$4:$AJ$13, _xlfn.XMATCH(MonsterData!$G287, Factor!$AE$4:$AE$13, 1),3))</f>
        <v>465.75</v>
      </c>
      <c r="W287" s="21" cm="1">
        <f t="array" ref="W287">N287*VLOOKUP($I287, Factor!$B$4:$G$8, 4, 0)*VLOOKUP($J287, Factor!$B$12:$G$13, 4, 0)*VLOOKUP($K287, Factor!$B$17:$G$18, 4, 0)*VLOOKUP($H287, Factor!$J$4:$O$7, 4, 0)*VLOOKUP($F287, Factor!$Q$4:$V$15, 4, 0)*IF(MOD($G287,10)=0, 10, MOD($G287, 10))*((INDEX(Factor!$X$4:$AC$13, _xlfn.XMATCH($G287, Factor!$X$4:$X$13, 1),4)*IF(MOD(G287, 10) = 0, 10, MOD(G287, 10)))+INDEX(Factor!$AE$4:$AJ$13, _xlfn.XMATCH(MonsterData!$G287, Factor!$AE$4:$AE$13, 1),4))</f>
        <v>279.45</v>
      </c>
      <c r="X287" s="21" cm="1">
        <f t="array" ref="X287">O287*VLOOKUP($I287, Factor!$B$4:$G$8, 5, 0)*VLOOKUP($J287, Factor!$B$12:$G$13, 5, 0)*VLOOKUP($K287, Factor!$B$17:$G$18, 5, 0)*VLOOKUP($H287, Factor!$J$4:$O$7, 5, 0)*VLOOKUP($F287, Factor!$Q$4:$V$15, 5, 0)*IF(MOD($G287,10)=0, 10, MOD($G287, 10))*((INDEX(Factor!$X$4:$AC$13, _xlfn.XMATCH($G287, Factor!$X$4:$X$13, 1),5)*IF(MOD(G287, 10) = 0, 10, MOD(G287, 10)))+INDEX(Factor!$AE$4:$AJ$13, _xlfn.XMATCH(MonsterData!$G287, Factor!$AE$4:$AE$13, 1),5))</f>
        <v>62.1</v>
      </c>
      <c r="Y287" s="21" cm="1">
        <f t="array" ref="Y287">P287*VLOOKUP($I287, Factor!$B$4:$G$8, 6, 0)*VLOOKUP($J287, Factor!$B$12:$G$13, 6, 0)*VLOOKUP($K287, Factor!$B$17:$G$18, 6, 0)*VLOOKUP($H287, Factor!$J$4:$O$7, 2, 0)*VLOOKUP($F287, Factor!$Q$4:$V$15, 6, 0)*IF(MOD($G287,10)=0, 10, MOD($G287, 10))*((INDEX(Factor!$X$4:$AC$13, _xlfn.XMATCH($G287, Factor!$X$4:$X$13, 1),6)*IF(MOD(G287, 10) = 0, 10, MOD(G287, 10)))+INDEX(Factor!$AE$4:$AJ$13, _xlfn.XMATCH(MonsterData!$G287, Factor!$AE$4:$AE$13, 1),6))</f>
        <v>310.5</v>
      </c>
      <c r="Z287" s="21">
        <f>$Q287*VLOOKUP($J287, Factor!$B$12:$H$13, 7, 0)</f>
        <v>1</v>
      </c>
      <c r="AA287" s="13">
        <v>1</v>
      </c>
      <c r="AB287" s="21">
        <f t="shared" si="15"/>
        <v>0</v>
      </c>
      <c r="AC287" s="13" t="s">
        <v>139</v>
      </c>
      <c r="AD287" s="15" t="s">
        <v>387</v>
      </c>
    </row>
    <row r="288" spans="1:30" ht="15.75" customHeight="1">
      <c r="A288" s="16" t="str">
        <f>T288&amp;"_"&amp;F288&amp;VLOOKUP($C288, Factor!$AM$4:$AY$30, 7, 0)&amp;IF(COUNTIFS($C$4:C287, C288, $F$4:F287, F288)+1&gt;=100, COUNTIFS($C$4:C287, C288, $F$4:F287, F288)+1,IF(COUNTIFS($C$4:C287, C288, $F$4:F287, F288)+1&gt;=10, "0"&amp;COUNTIFS($C$4:C287, C288, $F$4:F287, F288)+1, "00"&amp;COUNTIFS($C$4:C287, C288, $F$4:F287, F288)+1))</f>
        <v>enpc_F05_A_Swarmlet_001</v>
      </c>
      <c r="B288" s="16"/>
      <c r="C288" s="16" t="s">
        <v>355</v>
      </c>
      <c r="D288" s="17" t="str">
        <f t="shared" si="14"/>
        <v>스웜렛</v>
      </c>
      <c r="E288" s="17" t="str">
        <f>VLOOKUP($C288, Factor!$AM$4:$AY$30, 8, 0)</f>
        <v>B</v>
      </c>
      <c r="F288" s="17" t="s">
        <v>113</v>
      </c>
      <c r="G288" s="20">
        <v>43</v>
      </c>
      <c r="H288" s="16" t="s">
        <v>56</v>
      </c>
      <c r="I288" s="17" t="str">
        <f>VLOOKUP($C288, Factor!$AM$4:$AY$30, 11, 0)</f>
        <v>A</v>
      </c>
      <c r="J288" s="17" t="str">
        <f>VLOOKUP($C288, Factor!$AM$4:$AY$30, 12, 0)</f>
        <v>ml</v>
      </c>
      <c r="K288" s="17" t="str">
        <f>VLOOKUP($C288, Factor!$AM$4:$AY$30, 13, 0)</f>
        <v>L</v>
      </c>
      <c r="L288" s="17">
        <v>1</v>
      </c>
      <c r="M288" s="17">
        <v>1</v>
      </c>
      <c r="N288" s="17">
        <v>1</v>
      </c>
      <c r="O288" s="17">
        <v>1</v>
      </c>
      <c r="P288" s="17">
        <v>1</v>
      </c>
      <c r="Q288" s="17">
        <v>1</v>
      </c>
      <c r="R288" s="17" t="str">
        <f>VLOOKUP($C288, Factor!$AM$4:$AY$30, 9, 0)</f>
        <v>Small</v>
      </c>
      <c r="S288" s="17" t="s">
        <v>376</v>
      </c>
      <c r="T288" s="17" t="str">
        <f>VLOOKUP($C288, Factor!$AM$4:$AY$30, 10, 0)</f>
        <v>enpc</v>
      </c>
      <c r="U288" s="17" cm="1">
        <f t="array" ref="U288">L288*VLOOKUP($I288, Factor!$B$4:$G$8, 2, 0)*VLOOKUP($J288, Factor!$B$12:$G$13, 2, 0)*VLOOKUP($K288, Factor!$B$17:$G$18, 2, 0)*VLOOKUP($H288, Factor!$J$4:$O$7, 2, 0)*VLOOKUP($F288, Factor!$Q$4:$V$15, 2, 0)*IF(MOD($G288,10)=0, 10, MOD($G288, 10))*((INDEX(Factor!$X$4:$AC$13, _xlfn.XMATCH($G288, Factor!$X$4:$X$13, 1),2)*IF(MOD(G288, 10) = 0, 10, MOD(G288, 10)))+INDEX(Factor!$AE$4:$AJ$13, _xlfn.XMATCH(MonsterData!$G288, Factor!$AE$4:$AE$13, 1),2))</f>
        <v>9315</v>
      </c>
      <c r="V288" s="17" cm="1">
        <f t="array" ref="V288">M288*VLOOKUP($I288, Factor!$B$4:$G$8, 3, 0)*VLOOKUP($J288, Factor!$B$12:$G$13, 3, 0)*VLOOKUP($K288, Factor!$B$17:$G$18, 3, 0)*VLOOKUP($H288, Factor!$J$4:$O$7, 3, 0)*VLOOKUP($F288, Factor!$Q$4:$V$15, 3, 0)*IF(MOD($G288,10)=0, 10, MOD($G288, 10))*((INDEX(Factor!$X$4:$AC$13, _xlfn.XMATCH($G288, Factor!$X$4:$X$13, 1),3)*IF(MOD(G288, 10) = 0, 10, MOD(G288, 10)))+INDEX(Factor!$AE$4:$AJ$13, _xlfn.XMATCH(MonsterData!$G288, Factor!$AE$4:$AE$13, 1),3))</f>
        <v>465.75</v>
      </c>
      <c r="W288" s="17" cm="1">
        <f t="array" ref="W288">N288*VLOOKUP($I288, Factor!$B$4:$G$8, 4, 0)*VLOOKUP($J288, Factor!$B$12:$G$13, 4, 0)*VLOOKUP($K288, Factor!$B$17:$G$18, 4, 0)*VLOOKUP($H288, Factor!$J$4:$O$7, 4, 0)*VLOOKUP($F288, Factor!$Q$4:$V$15, 4, 0)*IF(MOD($G288,10)=0, 10, MOD($G288, 10))*((INDEX(Factor!$X$4:$AC$13, _xlfn.XMATCH($G288, Factor!$X$4:$X$13, 1),4)*IF(MOD(G288, 10) = 0, 10, MOD(G288, 10)))+INDEX(Factor!$AE$4:$AJ$13, _xlfn.XMATCH(MonsterData!$G288, Factor!$AE$4:$AE$13, 1),4))</f>
        <v>558.9</v>
      </c>
      <c r="X288" s="17" cm="1">
        <f t="array" ref="X288">O288*VLOOKUP($I288, Factor!$B$4:$G$8, 5, 0)*VLOOKUP($J288, Factor!$B$12:$G$13, 5, 0)*VLOOKUP($K288, Factor!$B$17:$G$18, 5, 0)*VLOOKUP($H288, Factor!$J$4:$O$7, 5, 0)*VLOOKUP($F288, Factor!$Q$4:$V$15, 5, 0)*IF(MOD($G288,10)=0, 10, MOD($G288, 10))*((INDEX(Factor!$X$4:$AC$13, _xlfn.XMATCH($G288, Factor!$X$4:$X$13, 1),5)*IF(MOD(G288, 10) = 0, 10, MOD(G288, 10)))+INDEX(Factor!$AE$4:$AJ$13, _xlfn.XMATCH(MonsterData!$G288, Factor!$AE$4:$AE$13, 1),5))</f>
        <v>55.89</v>
      </c>
      <c r="Y288" s="17" cm="1">
        <f t="array" ref="Y288">P288*VLOOKUP($I288, Factor!$B$4:$G$8, 6, 0)*VLOOKUP($J288, Factor!$B$12:$G$13, 6, 0)*VLOOKUP($K288, Factor!$B$17:$G$18, 6, 0)*VLOOKUP($H288, Factor!$J$4:$O$7, 2, 0)*VLOOKUP($F288, Factor!$Q$4:$V$15, 6, 0)*IF(MOD($G288,10)=0, 10, MOD($G288, 10))*((INDEX(Factor!$X$4:$AC$13, _xlfn.XMATCH($G288, Factor!$X$4:$X$13, 1),6)*IF(MOD(G288, 10) = 0, 10, MOD(G288, 10)))+INDEX(Factor!$AE$4:$AJ$13, _xlfn.XMATCH(MonsterData!$G288, Factor!$AE$4:$AE$13, 1),6))</f>
        <v>310.5</v>
      </c>
      <c r="Z288" s="17">
        <f>$Q288*VLOOKUP($J288, Factor!$B$12:$H$13, 7, 0)</f>
        <v>1</v>
      </c>
      <c r="AA288" s="17">
        <v>1</v>
      </c>
      <c r="AB288" s="17">
        <f t="shared" si="15"/>
        <v>0</v>
      </c>
      <c r="AC288" s="17" t="s">
        <v>139</v>
      </c>
      <c r="AD288" s="19" t="s">
        <v>387</v>
      </c>
    </row>
    <row r="289" spans="1:30" ht="15.75" customHeight="1">
      <c r="A289" s="13" t="str">
        <f>T289&amp;"_"&amp;F289&amp;VLOOKUP($C289, Factor!$AM$4:$AY$30, 7, 0)&amp;IF(COUNTIFS($C$4:C288, C289, $F$4:F288, F289)+1&gt;=100, COUNTIFS($C$4:C288, C289, $F$4:F288, F289)+1,IF(COUNTIFS($C$4:C288, C289, $F$4:F288, F289)+1&gt;=10, "0"&amp;COUNTIFS($C$4:C288, C289, $F$4:F288, F289)+1, "00"&amp;COUNTIFS($C$4:C288, C289, $F$4:F288, F289)+1))</f>
        <v>enpc_F05_A_Mantis_001</v>
      </c>
      <c r="B289" s="13"/>
      <c r="C289" s="13" t="s">
        <v>357</v>
      </c>
      <c r="D289" s="21" t="str">
        <f t="shared" si="14"/>
        <v>맨티스</v>
      </c>
      <c r="E289" s="21" t="str">
        <f>VLOOKUP($C289, Factor!$AM$4:$AY$30, 8, 0)</f>
        <v>S</v>
      </c>
      <c r="F289" s="21" t="s">
        <v>113</v>
      </c>
      <c r="G289" s="22">
        <v>43</v>
      </c>
      <c r="H289" s="13" t="s">
        <v>55</v>
      </c>
      <c r="I289" s="21" t="str">
        <f>VLOOKUP($C289, Factor!$AM$4:$AY$30, 11, 0)</f>
        <v>A</v>
      </c>
      <c r="J289" s="21" t="str">
        <f>VLOOKUP($C289, Factor!$AM$4:$AY$30, 12, 0)</f>
        <v>ml</v>
      </c>
      <c r="K289" s="21" t="str">
        <f>VLOOKUP($C289, Factor!$AM$4:$AY$30, 13, 0)</f>
        <v>L</v>
      </c>
      <c r="L289" s="13">
        <v>1</v>
      </c>
      <c r="M289" s="13">
        <v>1</v>
      </c>
      <c r="N289" s="13">
        <v>1</v>
      </c>
      <c r="O289" s="13">
        <v>1</v>
      </c>
      <c r="P289" s="13">
        <v>1</v>
      </c>
      <c r="Q289" s="13">
        <v>1</v>
      </c>
      <c r="R289" s="21" t="str">
        <f>VLOOKUP($C289, Factor!$AM$4:$AY$30, 9, 0)</f>
        <v>Small</v>
      </c>
      <c r="S289" s="13" t="s">
        <v>400</v>
      </c>
      <c r="T289" s="21" t="str">
        <f>VLOOKUP($C289, Factor!$AM$4:$AY$30, 10, 0)</f>
        <v>enpc</v>
      </c>
      <c r="U289" s="21" cm="1">
        <f t="array" ref="U289">L289*VLOOKUP($I289, Factor!$B$4:$G$8, 2, 0)*VLOOKUP($J289, Factor!$B$12:$G$13, 2, 0)*VLOOKUP($K289, Factor!$B$17:$G$18, 2, 0)*VLOOKUP($H289, Factor!$J$4:$O$7, 2, 0)*VLOOKUP($F289, Factor!$Q$4:$V$15, 2, 0)*IF(MOD($G289,10)=0, 10, MOD($G289, 10))*((INDEX(Factor!$X$4:$AC$13, _xlfn.XMATCH($G289, Factor!$X$4:$X$13, 1),2)*IF(MOD(G289, 10) = 0, 10, MOD(G289, 10)))+INDEX(Factor!$AE$4:$AJ$13, _xlfn.XMATCH(MonsterData!$G289, Factor!$AE$4:$AE$13, 1),2))</f>
        <v>9315</v>
      </c>
      <c r="V289" s="21" cm="1">
        <f t="array" ref="V289">M289*VLOOKUP($I289, Factor!$B$4:$G$8, 3, 0)*VLOOKUP($J289, Factor!$B$12:$G$13, 3, 0)*VLOOKUP($K289, Factor!$B$17:$G$18, 3, 0)*VLOOKUP($H289, Factor!$J$4:$O$7, 3, 0)*VLOOKUP($F289, Factor!$Q$4:$V$15, 3, 0)*IF(MOD($G289,10)=0, 10, MOD($G289, 10))*((INDEX(Factor!$X$4:$AC$13, _xlfn.XMATCH($G289, Factor!$X$4:$X$13, 1),3)*IF(MOD(G289, 10) = 0, 10, MOD(G289, 10)))+INDEX(Factor!$AE$4:$AJ$13, _xlfn.XMATCH(MonsterData!$G289, Factor!$AE$4:$AE$13, 1),3))</f>
        <v>465.75</v>
      </c>
      <c r="W289" s="21" cm="1">
        <f t="array" ref="W289">N289*VLOOKUP($I289, Factor!$B$4:$G$8, 4, 0)*VLOOKUP($J289, Factor!$B$12:$G$13, 4, 0)*VLOOKUP($K289, Factor!$B$17:$G$18, 4, 0)*VLOOKUP($H289, Factor!$J$4:$O$7, 4, 0)*VLOOKUP($F289, Factor!$Q$4:$V$15, 4, 0)*IF(MOD($G289,10)=0, 10, MOD($G289, 10))*((INDEX(Factor!$X$4:$AC$13, _xlfn.XMATCH($G289, Factor!$X$4:$X$13, 1),4)*IF(MOD(G289, 10) = 0, 10, MOD(G289, 10)))+INDEX(Factor!$AE$4:$AJ$13, _xlfn.XMATCH(MonsterData!$G289, Factor!$AE$4:$AE$13, 1),4))</f>
        <v>279.45</v>
      </c>
      <c r="X289" s="21" cm="1">
        <f t="array" ref="X289">O289*VLOOKUP($I289, Factor!$B$4:$G$8, 5, 0)*VLOOKUP($J289, Factor!$B$12:$G$13, 5, 0)*VLOOKUP($K289, Factor!$B$17:$G$18, 5, 0)*VLOOKUP($H289, Factor!$J$4:$O$7, 5, 0)*VLOOKUP($F289, Factor!$Q$4:$V$15, 5, 0)*IF(MOD($G289,10)=0, 10, MOD($G289, 10))*((INDEX(Factor!$X$4:$AC$13, _xlfn.XMATCH($G289, Factor!$X$4:$X$13, 1),5)*IF(MOD(G289, 10) = 0, 10, MOD(G289, 10)))+INDEX(Factor!$AE$4:$AJ$13, _xlfn.XMATCH(MonsterData!$G289, Factor!$AE$4:$AE$13, 1),5))</f>
        <v>62.1</v>
      </c>
      <c r="Y289" s="21" cm="1">
        <f t="array" ref="Y289">P289*VLOOKUP($I289, Factor!$B$4:$G$8, 6, 0)*VLOOKUP($J289, Factor!$B$12:$G$13, 6, 0)*VLOOKUP($K289, Factor!$B$17:$G$18, 6, 0)*VLOOKUP($H289, Factor!$J$4:$O$7, 2, 0)*VLOOKUP($F289, Factor!$Q$4:$V$15, 6, 0)*IF(MOD($G289,10)=0, 10, MOD($G289, 10))*((INDEX(Factor!$X$4:$AC$13, _xlfn.XMATCH($G289, Factor!$X$4:$X$13, 1),6)*IF(MOD(G289, 10) = 0, 10, MOD(G289, 10)))+INDEX(Factor!$AE$4:$AJ$13, _xlfn.XMATCH(MonsterData!$G289, Factor!$AE$4:$AE$13, 1),6))</f>
        <v>310.5</v>
      </c>
      <c r="Z289" s="21">
        <f>$Q289*VLOOKUP($J289, Factor!$B$12:$H$13, 7, 0)</f>
        <v>1</v>
      </c>
      <c r="AA289" s="13">
        <v>1</v>
      </c>
      <c r="AB289" s="21">
        <f t="shared" si="15"/>
        <v>0</v>
      </c>
      <c r="AC289" s="13" t="s">
        <v>139</v>
      </c>
      <c r="AD289" s="15" t="s">
        <v>387</v>
      </c>
    </row>
    <row r="290" spans="1:30" ht="15.75" customHeight="1">
      <c r="A290" s="16" t="str">
        <f>T290&amp;"_"&amp;F290&amp;VLOOKUP($C290, Factor!$AM$4:$AY$30, 7, 0)&amp;IF(COUNTIFS($C$4:C289, C290, $F$4:F289, F290)+1&gt;=100, COUNTIFS($C$4:C289, C290, $F$4:F289, F290)+1,IF(COUNTIFS($C$4:C289, C290, $F$4:F289, F290)+1&gt;=10, "0"&amp;COUNTIFS($C$4:C289, C290, $F$4:F289, F290)+1, "00"&amp;COUNTIFS($C$4:C289, C290, $F$4:F289, F290)+1))</f>
        <v>enpc_F05_B_Kobold_001</v>
      </c>
      <c r="B290" s="16"/>
      <c r="C290" s="16" t="s">
        <v>359</v>
      </c>
      <c r="D290" s="17" t="str">
        <f t="shared" si="14"/>
        <v>코볼트</v>
      </c>
      <c r="E290" s="17" t="str">
        <f>VLOOKUP($C290, Factor!$AM$4:$AY$30, 8, 0)</f>
        <v>M</v>
      </c>
      <c r="F290" s="17" t="s">
        <v>113</v>
      </c>
      <c r="G290" s="20">
        <v>68</v>
      </c>
      <c r="H290" s="16" t="s">
        <v>56</v>
      </c>
      <c r="I290" s="17" t="str">
        <f>VLOOKUP($C290, Factor!$AM$4:$AY$30, 11, 0)</f>
        <v>B</v>
      </c>
      <c r="J290" s="17" t="str">
        <f>VLOOKUP($C290, Factor!$AM$4:$AY$30, 12, 0)</f>
        <v>ml</v>
      </c>
      <c r="K290" s="17" t="str">
        <f>VLOOKUP($C290, Factor!$AM$4:$AY$30, 13, 0)</f>
        <v>L</v>
      </c>
      <c r="L290" s="17">
        <v>1</v>
      </c>
      <c r="M290" s="17">
        <v>1</v>
      </c>
      <c r="N290" s="17">
        <v>1</v>
      </c>
      <c r="O290" s="17">
        <v>1</v>
      </c>
      <c r="P290" s="17">
        <v>1</v>
      </c>
      <c r="Q290" s="17">
        <v>1</v>
      </c>
      <c r="R290" s="17" t="str">
        <f>VLOOKUP($C290, Factor!$AM$4:$AY$30, 9, 0)</f>
        <v>Small</v>
      </c>
      <c r="S290" s="17" t="s">
        <v>378</v>
      </c>
      <c r="T290" s="17" t="str">
        <f>VLOOKUP($C290, Factor!$AM$4:$AY$30, 10, 0)</f>
        <v>enpc</v>
      </c>
      <c r="U290" s="17" cm="1">
        <f t="array" ref="U290">L290*VLOOKUP($I290, Factor!$B$4:$G$8, 2, 0)*VLOOKUP($J290, Factor!$B$12:$G$13, 2, 0)*VLOOKUP($K290, Factor!$B$17:$G$18, 2, 0)*VLOOKUP($H290, Factor!$J$4:$O$7, 2, 0)*VLOOKUP($F290, Factor!$Q$4:$V$15, 2, 0)*IF(MOD($G290,10)=0, 10, MOD($G290, 10))*((INDEX(Factor!$X$4:$AC$13, _xlfn.XMATCH($G290, Factor!$X$4:$X$13, 1),2)*IF(MOD(G290, 10) = 0, 10, MOD(G290, 10)))+INDEX(Factor!$AE$4:$AJ$13, _xlfn.XMATCH(MonsterData!$G290, Factor!$AE$4:$AE$13, 1),2))</f>
        <v>287280</v>
      </c>
      <c r="V290" s="17" cm="1">
        <f t="array" ref="V290">M290*VLOOKUP($I290, Factor!$B$4:$G$8, 3, 0)*VLOOKUP($J290, Factor!$B$12:$G$13, 3, 0)*VLOOKUP($K290, Factor!$B$17:$G$18, 3, 0)*VLOOKUP($H290, Factor!$J$4:$O$7, 3, 0)*VLOOKUP($F290, Factor!$Q$4:$V$15, 3, 0)*IF(MOD($G290,10)=0, 10, MOD($G290, 10))*((INDEX(Factor!$X$4:$AC$13, _xlfn.XMATCH($G290, Factor!$X$4:$X$13, 1),3)*IF(MOD(G290, 10) = 0, 10, MOD(G290, 10)))+INDEX(Factor!$AE$4:$AJ$13, _xlfn.XMATCH(MonsterData!$G290, Factor!$AE$4:$AE$13, 1),3))</f>
        <v>14364</v>
      </c>
      <c r="W290" s="17" cm="1">
        <f t="array" ref="W290">N290*VLOOKUP($I290, Factor!$B$4:$G$8, 4, 0)*VLOOKUP($J290, Factor!$B$12:$G$13, 4, 0)*VLOOKUP($K290, Factor!$B$17:$G$18, 4, 0)*VLOOKUP($H290, Factor!$J$4:$O$7, 4, 0)*VLOOKUP($F290, Factor!$Q$4:$V$15, 4, 0)*IF(MOD($G290,10)=0, 10, MOD($G290, 10))*((INDEX(Factor!$X$4:$AC$13, _xlfn.XMATCH($G290, Factor!$X$4:$X$13, 1),4)*IF(MOD(G290, 10) = 0, 10, MOD(G290, 10)))+INDEX(Factor!$AE$4:$AJ$13, _xlfn.XMATCH(MonsterData!$G290, Factor!$AE$4:$AE$13, 1),4))</f>
        <v>28728</v>
      </c>
      <c r="X290" s="17" cm="1">
        <f t="array" ref="X290">O290*VLOOKUP($I290, Factor!$B$4:$G$8, 5, 0)*VLOOKUP($J290, Factor!$B$12:$G$13, 5, 0)*VLOOKUP($K290, Factor!$B$17:$G$18, 5, 0)*VLOOKUP($H290, Factor!$J$4:$O$7, 5, 0)*VLOOKUP($F290, Factor!$Q$4:$V$15, 5, 0)*IF(MOD($G290,10)=0, 10, MOD($G290, 10))*((INDEX(Factor!$X$4:$AC$13, _xlfn.XMATCH($G290, Factor!$X$4:$X$13, 1),5)*IF(MOD(G290, 10) = 0, 10, MOD(G290, 10)))+INDEX(Factor!$AE$4:$AJ$13, _xlfn.XMATCH(MonsterData!$G290, Factor!$AE$4:$AE$13, 1),5))</f>
        <v>689.47200000000009</v>
      </c>
      <c r="Y290" s="17" cm="1">
        <f t="array" ref="Y290">P290*VLOOKUP($I290, Factor!$B$4:$G$8, 6, 0)*VLOOKUP($J290, Factor!$B$12:$G$13, 6, 0)*VLOOKUP($K290, Factor!$B$17:$G$18, 6, 0)*VLOOKUP($H290, Factor!$J$4:$O$7, 2, 0)*VLOOKUP($F290, Factor!$Q$4:$V$15, 6, 0)*IF(MOD($G290,10)=0, 10, MOD($G290, 10))*((INDEX(Factor!$X$4:$AC$13, _xlfn.XMATCH($G290, Factor!$X$4:$X$13, 1),6)*IF(MOD(G290, 10) = 0, 10, MOD(G290, 10)))+INDEX(Factor!$AE$4:$AJ$13, _xlfn.XMATCH(MonsterData!$G290, Factor!$AE$4:$AE$13, 1),6))</f>
        <v>1532.16</v>
      </c>
      <c r="Z290" s="17">
        <f>$Q290*VLOOKUP($J290, Factor!$B$12:$H$13, 7, 0)</f>
        <v>1</v>
      </c>
      <c r="AA290" s="17">
        <v>1</v>
      </c>
      <c r="AB290" s="17">
        <f t="shared" si="15"/>
        <v>0</v>
      </c>
      <c r="AC290" s="17" t="s">
        <v>393</v>
      </c>
      <c r="AD290" s="19" t="s">
        <v>388</v>
      </c>
    </row>
    <row r="291" spans="1:30" ht="15.75" customHeight="1">
      <c r="A291" s="13" t="str">
        <f>T291&amp;"_"&amp;F291&amp;VLOOKUP($C291, Factor!$AM$4:$AY$30, 7, 0)&amp;IF(COUNTIFS($C$4:C290, C291, $F$4:F290, F291)+1&gt;=100, COUNTIFS($C$4:C290, C291, $F$4:F290, F291)+1,IF(COUNTIFS($C$4:C290, C291, $F$4:F290, F291)+1&gt;=10, "0"&amp;COUNTIFS($C$4:C290, C291, $F$4:F290, F291)+1, "00"&amp;COUNTIFS($C$4:C290, C291, $F$4:F290, F291)+1))</f>
        <v>enpc_F05_B_Ghoul_001</v>
      </c>
      <c r="B291" s="13"/>
      <c r="C291" s="13" t="s">
        <v>361</v>
      </c>
      <c r="D291" s="21" t="str">
        <f t="shared" si="14"/>
        <v>구울</v>
      </c>
      <c r="E291" s="21" t="str">
        <f>VLOOKUP($C291, Factor!$AM$4:$AY$30, 8, 0)</f>
        <v>M</v>
      </c>
      <c r="F291" s="21" t="s">
        <v>113</v>
      </c>
      <c r="G291" s="22">
        <v>68</v>
      </c>
      <c r="H291" s="13" t="s">
        <v>55</v>
      </c>
      <c r="I291" s="21" t="str">
        <f>VLOOKUP($C291, Factor!$AM$4:$AY$30, 11, 0)</f>
        <v>B</v>
      </c>
      <c r="J291" s="21" t="str">
        <f>VLOOKUP($C291, Factor!$AM$4:$AY$30, 12, 0)</f>
        <v>ml</v>
      </c>
      <c r="K291" s="21" t="str">
        <f>VLOOKUP($C291, Factor!$AM$4:$AY$30, 13, 0)</f>
        <v>L</v>
      </c>
      <c r="L291" s="13">
        <v>1</v>
      </c>
      <c r="M291" s="13">
        <v>1</v>
      </c>
      <c r="N291" s="13">
        <v>1</v>
      </c>
      <c r="O291" s="13">
        <v>1</v>
      </c>
      <c r="P291" s="13">
        <v>1</v>
      </c>
      <c r="Q291" s="13">
        <v>1</v>
      </c>
      <c r="R291" s="21" t="str">
        <f>VLOOKUP($C291, Factor!$AM$4:$AY$30, 9, 0)</f>
        <v>Midium</v>
      </c>
      <c r="S291" s="13" t="s">
        <v>401</v>
      </c>
      <c r="T291" s="21" t="str">
        <f>VLOOKUP($C291, Factor!$AM$4:$AY$30, 10, 0)</f>
        <v>enpc</v>
      </c>
      <c r="U291" s="21" cm="1">
        <f t="array" ref="U291">L291*VLOOKUP($I291, Factor!$B$4:$G$8, 2, 0)*VLOOKUP($J291, Factor!$B$12:$G$13, 2, 0)*VLOOKUP($K291, Factor!$B$17:$G$18, 2, 0)*VLOOKUP($H291, Factor!$J$4:$O$7, 2, 0)*VLOOKUP($F291, Factor!$Q$4:$V$15, 2, 0)*IF(MOD($G291,10)=0, 10, MOD($G291, 10))*((INDEX(Factor!$X$4:$AC$13, _xlfn.XMATCH($G291, Factor!$X$4:$X$13, 1),2)*IF(MOD(G291, 10) = 0, 10, MOD(G291, 10)))+INDEX(Factor!$AE$4:$AJ$13, _xlfn.XMATCH(MonsterData!$G291, Factor!$AE$4:$AE$13, 1),2))</f>
        <v>287280</v>
      </c>
      <c r="V291" s="21" cm="1">
        <f t="array" ref="V291">M291*VLOOKUP($I291, Factor!$B$4:$G$8, 3, 0)*VLOOKUP($J291, Factor!$B$12:$G$13, 3, 0)*VLOOKUP($K291, Factor!$B$17:$G$18, 3, 0)*VLOOKUP($H291, Factor!$J$4:$O$7, 3, 0)*VLOOKUP($F291, Factor!$Q$4:$V$15, 3, 0)*IF(MOD($G291,10)=0, 10, MOD($G291, 10))*((INDEX(Factor!$X$4:$AC$13, _xlfn.XMATCH($G291, Factor!$X$4:$X$13, 1),3)*IF(MOD(G291, 10) = 0, 10, MOD(G291, 10)))+INDEX(Factor!$AE$4:$AJ$13, _xlfn.XMATCH(MonsterData!$G291, Factor!$AE$4:$AE$13, 1),3))</f>
        <v>14364</v>
      </c>
      <c r="W291" s="21" cm="1">
        <f t="array" ref="W291">N291*VLOOKUP($I291, Factor!$B$4:$G$8, 4, 0)*VLOOKUP($J291, Factor!$B$12:$G$13, 4, 0)*VLOOKUP($K291, Factor!$B$17:$G$18, 4, 0)*VLOOKUP($H291, Factor!$J$4:$O$7, 4, 0)*VLOOKUP($F291, Factor!$Q$4:$V$15, 4, 0)*IF(MOD($G291,10)=0, 10, MOD($G291, 10))*((INDEX(Factor!$X$4:$AC$13, _xlfn.XMATCH($G291, Factor!$X$4:$X$13, 1),4)*IF(MOD(G291, 10) = 0, 10, MOD(G291, 10)))+INDEX(Factor!$AE$4:$AJ$13, _xlfn.XMATCH(MonsterData!$G291, Factor!$AE$4:$AE$13, 1),4))</f>
        <v>14364</v>
      </c>
      <c r="X291" s="21" cm="1">
        <f t="array" ref="X291">O291*VLOOKUP($I291, Factor!$B$4:$G$8, 5, 0)*VLOOKUP($J291, Factor!$B$12:$G$13, 5, 0)*VLOOKUP($K291, Factor!$B$17:$G$18, 5, 0)*VLOOKUP($H291, Factor!$J$4:$O$7, 5, 0)*VLOOKUP($F291, Factor!$Q$4:$V$15, 5, 0)*IF(MOD($G291,10)=0, 10, MOD($G291, 10))*((INDEX(Factor!$X$4:$AC$13, _xlfn.XMATCH($G291, Factor!$X$4:$X$13, 1),5)*IF(MOD(G291, 10) = 0, 10, MOD(G291, 10)))+INDEX(Factor!$AE$4:$AJ$13, _xlfn.XMATCH(MonsterData!$G291, Factor!$AE$4:$AE$13, 1),5))</f>
        <v>766.08</v>
      </c>
      <c r="Y291" s="21" cm="1">
        <f t="array" ref="Y291">P291*VLOOKUP($I291, Factor!$B$4:$G$8, 6, 0)*VLOOKUP($J291, Factor!$B$12:$G$13, 6, 0)*VLOOKUP($K291, Factor!$B$17:$G$18, 6, 0)*VLOOKUP($H291, Factor!$J$4:$O$7, 2, 0)*VLOOKUP($F291, Factor!$Q$4:$V$15, 6, 0)*IF(MOD($G291,10)=0, 10, MOD($G291, 10))*((INDEX(Factor!$X$4:$AC$13, _xlfn.XMATCH($G291, Factor!$X$4:$X$13, 1),6)*IF(MOD(G291, 10) = 0, 10, MOD(G291, 10)))+INDEX(Factor!$AE$4:$AJ$13, _xlfn.XMATCH(MonsterData!$G291, Factor!$AE$4:$AE$13, 1),6))</f>
        <v>1532.16</v>
      </c>
      <c r="Z291" s="21">
        <f>$Q291*VLOOKUP($J291, Factor!$B$12:$H$13, 7, 0)</f>
        <v>1</v>
      </c>
      <c r="AA291" s="13">
        <v>1</v>
      </c>
      <c r="AB291" s="21">
        <f t="shared" si="15"/>
        <v>0</v>
      </c>
      <c r="AC291" s="13" t="s">
        <v>394</v>
      </c>
      <c r="AD291" s="15" t="s">
        <v>389</v>
      </c>
    </row>
    <row r="292" spans="1:30" ht="15.75" customHeight="1">
      <c r="A292" s="16" t="str">
        <f>T292&amp;"_"&amp;F292&amp;VLOOKUP($C292, Factor!$AM$4:$AY$30, 7, 0)&amp;IF(COUNTIFS($C$4:C291, C292, $F$4:F291, F292)+1&gt;=100, COUNTIFS($C$4:C291, C292, $F$4:F291, F292)+1,IF(COUNTIFS($C$4:C291, C292, $F$4:F291, F292)+1&gt;=10, "0"&amp;COUNTIFS($C$4:C291, C292, $F$4:F291, F292)+1, "00"&amp;COUNTIFS($C$4:C291, C292, $F$4:F291, F292)+1))</f>
        <v>enpc_F05_B_Gorgon_001</v>
      </c>
      <c r="B292" s="16"/>
      <c r="C292" s="16" t="s">
        <v>363</v>
      </c>
      <c r="D292" s="17" t="str">
        <f t="shared" si="14"/>
        <v>고르곤</v>
      </c>
      <c r="E292" s="17" t="str">
        <f>VLOOKUP($C292, Factor!$AM$4:$AY$30, 8, 0)</f>
        <v>B</v>
      </c>
      <c r="F292" s="17" t="s">
        <v>113</v>
      </c>
      <c r="G292" s="20">
        <v>68</v>
      </c>
      <c r="H292" s="16" t="s">
        <v>56</v>
      </c>
      <c r="I292" s="17" t="str">
        <f>VLOOKUP($C292, Factor!$AM$4:$AY$30, 11, 0)</f>
        <v>B</v>
      </c>
      <c r="J292" s="17" t="str">
        <f>VLOOKUP($C292, Factor!$AM$4:$AY$30, 12, 0)</f>
        <v>ml</v>
      </c>
      <c r="K292" s="17" t="str">
        <f>VLOOKUP($C292, Factor!$AM$4:$AY$30, 13, 0)</f>
        <v>L</v>
      </c>
      <c r="L292" s="17">
        <v>1</v>
      </c>
      <c r="M292" s="17">
        <v>1</v>
      </c>
      <c r="N292" s="17">
        <v>1</v>
      </c>
      <c r="O292" s="17">
        <v>1</v>
      </c>
      <c r="P292" s="17">
        <v>1</v>
      </c>
      <c r="Q292" s="17">
        <v>1</v>
      </c>
      <c r="R292" s="17" t="str">
        <f>VLOOKUP($C292, Factor!$AM$4:$AY$30, 9, 0)</f>
        <v>Midium</v>
      </c>
      <c r="S292" s="17" t="s">
        <v>380</v>
      </c>
      <c r="T292" s="17" t="str">
        <f>VLOOKUP($C292, Factor!$AM$4:$AY$30, 10, 0)</f>
        <v>enpc</v>
      </c>
      <c r="U292" s="17" cm="1">
        <f t="array" ref="U292">L292*VLOOKUP($I292, Factor!$B$4:$G$8, 2, 0)*VLOOKUP($J292, Factor!$B$12:$G$13, 2, 0)*VLOOKUP($K292, Factor!$B$17:$G$18, 2, 0)*VLOOKUP($H292, Factor!$J$4:$O$7, 2, 0)*VLOOKUP($F292, Factor!$Q$4:$V$15, 2, 0)*IF(MOD($G292,10)=0, 10, MOD($G292, 10))*((INDEX(Factor!$X$4:$AC$13, _xlfn.XMATCH($G292, Factor!$X$4:$X$13, 1),2)*IF(MOD(G292, 10) = 0, 10, MOD(G292, 10)))+INDEX(Factor!$AE$4:$AJ$13, _xlfn.XMATCH(MonsterData!$G292, Factor!$AE$4:$AE$13, 1),2))</f>
        <v>287280</v>
      </c>
      <c r="V292" s="17" cm="1">
        <f t="array" ref="V292">M292*VLOOKUP($I292, Factor!$B$4:$G$8, 3, 0)*VLOOKUP($J292, Factor!$B$12:$G$13, 3, 0)*VLOOKUP($K292, Factor!$B$17:$G$18, 3, 0)*VLOOKUP($H292, Factor!$J$4:$O$7, 3, 0)*VLOOKUP($F292, Factor!$Q$4:$V$15, 3, 0)*IF(MOD($G292,10)=0, 10, MOD($G292, 10))*((INDEX(Factor!$X$4:$AC$13, _xlfn.XMATCH($G292, Factor!$X$4:$X$13, 1),3)*IF(MOD(G292, 10) = 0, 10, MOD(G292, 10)))+INDEX(Factor!$AE$4:$AJ$13, _xlfn.XMATCH(MonsterData!$G292, Factor!$AE$4:$AE$13, 1),3))</f>
        <v>14364</v>
      </c>
      <c r="W292" s="17" cm="1">
        <f t="array" ref="W292">N292*VLOOKUP($I292, Factor!$B$4:$G$8, 4, 0)*VLOOKUP($J292, Factor!$B$12:$G$13, 4, 0)*VLOOKUP($K292, Factor!$B$17:$G$18, 4, 0)*VLOOKUP($H292, Factor!$J$4:$O$7, 4, 0)*VLOOKUP($F292, Factor!$Q$4:$V$15, 4, 0)*IF(MOD($G292,10)=0, 10, MOD($G292, 10))*((INDEX(Factor!$X$4:$AC$13, _xlfn.XMATCH($G292, Factor!$X$4:$X$13, 1),4)*IF(MOD(G292, 10) = 0, 10, MOD(G292, 10)))+INDEX(Factor!$AE$4:$AJ$13, _xlfn.XMATCH(MonsterData!$G292, Factor!$AE$4:$AE$13, 1),4))</f>
        <v>28728</v>
      </c>
      <c r="X292" s="17" cm="1">
        <f t="array" ref="X292">O292*VLOOKUP($I292, Factor!$B$4:$G$8, 5, 0)*VLOOKUP($J292, Factor!$B$12:$G$13, 5, 0)*VLOOKUP($K292, Factor!$B$17:$G$18, 5, 0)*VLOOKUP($H292, Factor!$J$4:$O$7, 5, 0)*VLOOKUP($F292, Factor!$Q$4:$V$15, 5, 0)*IF(MOD($G292,10)=0, 10, MOD($G292, 10))*((INDEX(Factor!$X$4:$AC$13, _xlfn.XMATCH($G292, Factor!$X$4:$X$13, 1),5)*IF(MOD(G292, 10) = 0, 10, MOD(G292, 10)))+INDEX(Factor!$AE$4:$AJ$13, _xlfn.XMATCH(MonsterData!$G292, Factor!$AE$4:$AE$13, 1),5))</f>
        <v>689.47200000000009</v>
      </c>
      <c r="Y292" s="17" cm="1">
        <f t="array" ref="Y292">P292*VLOOKUP($I292, Factor!$B$4:$G$8, 6, 0)*VLOOKUP($J292, Factor!$B$12:$G$13, 6, 0)*VLOOKUP($K292, Factor!$B$17:$G$18, 6, 0)*VLOOKUP($H292, Factor!$J$4:$O$7, 2, 0)*VLOOKUP($F292, Factor!$Q$4:$V$15, 6, 0)*IF(MOD($G292,10)=0, 10, MOD($G292, 10))*((INDEX(Factor!$X$4:$AC$13, _xlfn.XMATCH($G292, Factor!$X$4:$X$13, 1),6)*IF(MOD(G292, 10) = 0, 10, MOD(G292, 10)))+INDEX(Factor!$AE$4:$AJ$13, _xlfn.XMATCH(MonsterData!$G292, Factor!$AE$4:$AE$13, 1),6))</f>
        <v>1532.16</v>
      </c>
      <c r="Z292" s="17">
        <f>$Q292*VLOOKUP($J292, Factor!$B$12:$H$13, 7, 0)</f>
        <v>1</v>
      </c>
      <c r="AA292" s="17">
        <v>1</v>
      </c>
      <c r="AB292" s="17">
        <f t="shared" si="15"/>
        <v>0</v>
      </c>
      <c r="AC292" s="17" t="s">
        <v>395</v>
      </c>
      <c r="AD292" s="19" t="s">
        <v>390</v>
      </c>
    </row>
    <row r="293" spans="1:30" ht="15.75" customHeight="1">
      <c r="A293" s="13" t="str">
        <f>T293&amp;"_"&amp;F293&amp;VLOOKUP($C293, Factor!$AM$4:$AY$30, 7, 0)&amp;IF(COUNTIFS($C$4:C292, C293, $F$4:F292, F293)+1&gt;=100, COUNTIFS($C$4:C292, C293, $F$4:F292, F293)+1,IF(COUNTIFS($C$4:C292, C293, $F$4:F292, F293)+1&gt;=10, "0"&amp;COUNTIFS($C$4:C292, C293, $F$4:F292, F293)+1, "00"&amp;COUNTIFS($C$4:C292, C293, $F$4:F292, F293)+1))</f>
        <v>enpc_F05_B_Gargoyle_001</v>
      </c>
      <c r="B293" s="13"/>
      <c r="C293" s="13" t="s">
        <v>365</v>
      </c>
      <c r="D293" s="21" t="str">
        <f t="shared" si="14"/>
        <v>가고일</v>
      </c>
      <c r="E293" s="21" t="str">
        <f>VLOOKUP($C293, Factor!$AM$4:$AY$30, 8, 0)</f>
        <v>B</v>
      </c>
      <c r="F293" s="21" t="s">
        <v>113</v>
      </c>
      <c r="G293" s="22">
        <v>68</v>
      </c>
      <c r="H293" s="13" t="s">
        <v>55</v>
      </c>
      <c r="I293" s="21" t="str">
        <f>VLOOKUP($C293, Factor!$AM$4:$AY$30, 11, 0)</f>
        <v>B</v>
      </c>
      <c r="J293" s="21" t="str">
        <f>VLOOKUP($C293, Factor!$AM$4:$AY$30, 12, 0)</f>
        <v>ml</v>
      </c>
      <c r="K293" s="21" t="str">
        <f>VLOOKUP($C293, Factor!$AM$4:$AY$30, 13, 0)</f>
        <v>F</v>
      </c>
      <c r="L293" s="13">
        <v>1</v>
      </c>
      <c r="M293" s="13">
        <v>1</v>
      </c>
      <c r="N293" s="13">
        <v>1</v>
      </c>
      <c r="O293" s="13">
        <v>1</v>
      </c>
      <c r="P293" s="13">
        <v>1</v>
      </c>
      <c r="Q293" s="13">
        <v>1</v>
      </c>
      <c r="R293" s="21" t="str">
        <f>VLOOKUP($C293, Factor!$AM$4:$AY$30, 9, 0)</f>
        <v>Big</v>
      </c>
      <c r="S293" s="13" t="s">
        <v>402</v>
      </c>
      <c r="T293" s="21" t="str">
        <f>VLOOKUP($C293, Factor!$AM$4:$AY$30, 10, 0)</f>
        <v>enpc</v>
      </c>
      <c r="U293" s="21" cm="1">
        <f t="array" ref="U293">L293*VLOOKUP($I293, Factor!$B$4:$G$8, 2, 0)*VLOOKUP($J293, Factor!$B$12:$G$13, 2, 0)*VLOOKUP($K293, Factor!$B$17:$G$18, 2, 0)*VLOOKUP($H293, Factor!$J$4:$O$7, 2, 0)*VLOOKUP($F293, Factor!$Q$4:$V$15, 2, 0)*IF(MOD($G293,10)=0, 10, MOD($G293, 10))*((INDEX(Factor!$X$4:$AC$13, _xlfn.XMATCH($G293, Factor!$X$4:$X$13, 1),2)*IF(MOD(G293, 10) = 0, 10, MOD(G293, 10)))+INDEX(Factor!$AE$4:$AJ$13, _xlfn.XMATCH(MonsterData!$G293, Factor!$AE$4:$AE$13, 1),2))</f>
        <v>191520</v>
      </c>
      <c r="V293" s="21" cm="1">
        <f t="array" ref="V293">M293*VLOOKUP($I293, Factor!$B$4:$G$8, 3, 0)*VLOOKUP($J293, Factor!$B$12:$G$13, 3, 0)*VLOOKUP($K293, Factor!$B$17:$G$18, 3, 0)*VLOOKUP($H293, Factor!$J$4:$O$7, 3, 0)*VLOOKUP($F293, Factor!$Q$4:$V$15, 3, 0)*IF(MOD($G293,10)=0, 10, MOD($G293, 10))*((INDEX(Factor!$X$4:$AC$13, _xlfn.XMATCH($G293, Factor!$X$4:$X$13, 1),3)*IF(MOD(G293, 10) = 0, 10, MOD(G293, 10)))+INDEX(Factor!$AE$4:$AJ$13, _xlfn.XMATCH(MonsterData!$G293, Factor!$AE$4:$AE$13, 1),3))</f>
        <v>9576</v>
      </c>
      <c r="W293" s="21" cm="1">
        <f t="array" ref="W293">N293*VLOOKUP($I293, Factor!$B$4:$G$8, 4, 0)*VLOOKUP($J293, Factor!$B$12:$G$13, 4, 0)*VLOOKUP($K293, Factor!$B$17:$G$18, 4, 0)*VLOOKUP($H293, Factor!$J$4:$O$7, 4, 0)*VLOOKUP($F293, Factor!$Q$4:$V$15, 4, 0)*IF(MOD($G293,10)=0, 10, MOD($G293, 10))*((INDEX(Factor!$X$4:$AC$13, _xlfn.XMATCH($G293, Factor!$X$4:$X$13, 1),4)*IF(MOD(G293, 10) = 0, 10, MOD(G293, 10)))+INDEX(Factor!$AE$4:$AJ$13, _xlfn.XMATCH(MonsterData!$G293, Factor!$AE$4:$AE$13, 1),4))</f>
        <v>9576</v>
      </c>
      <c r="X293" s="21" cm="1">
        <f t="array" ref="X293">O293*VLOOKUP($I293, Factor!$B$4:$G$8, 5, 0)*VLOOKUP($J293, Factor!$B$12:$G$13, 5, 0)*VLOOKUP($K293, Factor!$B$17:$G$18, 5, 0)*VLOOKUP($H293, Factor!$J$4:$O$7, 5, 0)*VLOOKUP($F293, Factor!$Q$4:$V$15, 5, 0)*IF(MOD($G293,10)=0, 10, MOD($G293, 10))*((INDEX(Factor!$X$4:$AC$13, _xlfn.XMATCH($G293, Factor!$X$4:$X$13, 1),5)*IF(MOD(G293, 10) = 0, 10, MOD(G293, 10)))+INDEX(Factor!$AE$4:$AJ$13, _xlfn.XMATCH(MonsterData!$G293, Factor!$AE$4:$AE$13, 1),5))</f>
        <v>766.08</v>
      </c>
      <c r="Y293" s="21" cm="1">
        <f t="array" ref="Y293">P293*VLOOKUP($I293, Factor!$B$4:$G$8, 6, 0)*VLOOKUP($J293, Factor!$B$12:$G$13, 6, 0)*VLOOKUP($K293, Factor!$B$17:$G$18, 6, 0)*VLOOKUP($H293, Factor!$J$4:$O$7, 2, 0)*VLOOKUP($F293, Factor!$Q$4:$V$15, 6, 0)*IF(MOD($G293,10)=0, 10, MOD($G293, 10))*((INDEX(Factor!$X$4:$AC$13, _xlfn.XMATCH($G293, Factor!$X$4:$X$13, 1),6)*IF(MOD(G293, 10) = 0, 10, MOD(G293, 10)))+INDEX(Factor!$AE$4:$AJ$13, _xlfn.XMATCH(MonsterData!$G293, Factor!$AE$4:$AE$13, 1),6))</f>
        <v>4596.4800000000005</v>
      </c>
      <c r="Z293" s="21">
        <f>$Q293*VLOOKUP($J293, Factor!$B$12:$H$13, 7, 0)</f>
        <v>1</v>
      </c>
      <c r="AA293" s="13">
        <v>1</v>
      </c>
      <c r="AB293" s="21">
        <f t="shared" si="15"/>
        <v>0</v>
      </c>
      <c r="AC293" s="13" t="s">
        <v>396</v>
      </c>
      <c r="AD293" s="15" t="s">
        <v>391</v>
      </c>
    </row>
    <row r="294" spans="1:30" ht="15.75" customHeight="1">
      <c r="A294" s="16" t="str">
        <f>T294&amp;"_"&amp;F294&amp;VLOOKUP($C294, Factor!$AM$4:$AY$30, 7, 0)&amp;IF(COUNTIFS($C$4:C293, C294, $F$4:F293, F294)+1&gt;=100, COUNTIFS($C$4:C293, C294, $F$4:F293, F294)+1,IF(COUNTIFS($C$4:C293, C294, $F$4:F293, F294)+1&gt;=10, "0"&amp;COUNTIFS($C$4:C293, C294, $F$4:F293, F294)+1, "00"&amp;COUNTIFS($C$4:C293, C294, $F$4:F293, F294)+1))</f>
        <v>enpc_F05_A_Lava_002</v>
      </c>
      <c r="B294" s="16"/>
      <c r="C294" s="16" t="s">
        <v>35</v>
      </c>
      <c r="D294" s="17" t="str">
        <f t="shared" si="14"/>
        <v>라바</v>
      </c>
      <c r="E294" s="17" t="str">
        <f>VLOOKUP($C294, Factor!$AM$4:$AY$30, 8, 0)</f>
        <v>S</v>
      </c>
      <c r="F294" s="17" t="s">
        <v>113</v>
      </c>
      <c r="G294" s="20">
        <v>45</v>
      </c>
      <c r="H294" s="16" t="s">
        <v>54</v>
      </c>
      <c r="I294" s="17" t="str">
        <f>VLOOKUP($C294, Factor!$AM$4:$AY$30, 11, 0)</f>
        <v>A</v>
      </c>
      <c r="J294" s="17" t="str">
        <f>VLOOKUP($C294, Factor!$AM$4:$AY$30, 12, 0)</f>
        <v>ml</v>
      </c>
      <c r="K294" s="17" t="str">
        <f>VLOOKUP($C294, Factor!$AM$4:$AY$30, 13, 0)</f>
        <v>L</v>
      </c>
      <c r="L294" s="17">
        <v>1</v>
      </c>
      <c r="M294" s="17">
        <v>1</v>
      </c>
      <c r="N294" s="17">
        <v>1</v>
      </c>
      <c r="O294" s="17">
        <v>1</v>
      </c>
      <c r="P294" s="17">
        <v>1</v>
      </c>
      <c r="Q294" s="17">
        <v>1</v>
      </c>
      <c r="R294" s="17" t="str">
        <f>VLOOKUP($C294, Factor!$AM$4:$AY$30, 9, 0)</f>
        <v>Small</v>
      </c>
      <c r="S294" s="17" t="s">
        <v>88</v>
      </c>
      <c r="T294" s="17" t="str">
        <f>VLOOKUP($C294, Factor!$AM$4:$AY$30, 10, 0)</f>
        <v>enpc</v>
      </c>
      <c r="U294" s="17" cm="1">
        <f t="array" ref="U294">L294*VLOOKUP($I294, Factor!$B$4:$G$8, 2, 0)*VLOOKUP($J294, Factor!$B$12:$G$13, 2, 0)*VLOOKUP($K294, Factor!$B$17:$G$18, 2, 0)*VLOOKUP($H294, Factor!$J$4:$O$7, 2, 0)*VLOOKUP($F294, Factor!$Q$4:$V$15, 2, 0)*IF(MOD($G294,10)=0, 10, MOD($G294, 10))*((INDEX(Factor!$X$4:$AC$13, _xlfn.XMATCH($G294, Factor!$X$4:$X$13, 1),2)*IF(MOD(G294, 10) = 0, 10, MOD(G294, 10)))+INDEX(Factor!$AE$4:$AJ$13, _xlfn.XMATCH(MonsterData!$G294, Factor!$AE$4:$AE$13, 1),2))</f>
        <v>13500</v>
      </c>
      <c r="V294" s="17" cm="1">
        <f t="array" ref="V294">M294*VLOOKUP($I294, Factor!$B$4:$G$8, 3, 0)*VLOOKUP($J294, Factor!$B$12:$G$13, 3, 0)*VLOOKUP($K294, Factor!$B$17:$G$18, 3, 0)*VLOOKUP($H294, Factor!$J$4:$O$7, 3, 0)*VLOOKUP($F294, Factor!$Q$4:$V$15, 3, 0)*IF(MOD($G294,10)=0, 10, MOD($G294, 10))*((INDEX(Factor!$X$4:$AC$13, _xlfn.XMATCH($G294, Factor!$X$4:$X$13, 1),3)*IF(MOD(G294, 10) = 0, 10, MOD(G294, 10)))+INDEX(Factor!$AE$4:$AJ$13, _xlfn.XMATCH(MonsterData!$G294, Factor!$AE$4:$AE$13, 1),3))</f>
        <v>675</v>
      </c>
      <c r="W294" s="17" cm="1">
        <f t="array" ref="W294">N294*VLOOKUP($I294, Factor!$B$4:$G$8, 4, 0)*VLOOKUP($J294, Factor!$B$12:$G$13, 4, 0)*VLOOKUP($K294, Factor!$B$17:$G$18, 4, 0)*VLOOKUP($H294, Factor!$J$4:$O$7, 4, 0)*VLOOKUP($F294, Factor!$Q$4:$V$15, 4, 0)*IF(MOD($G294,10)=0, 10, MOD($G294, 10))*((INDEX(Factor!$X$4:$AC$13, _xlfn.XMATCH($G294, Factor!$X$4:$X$13, 1),4)*IF(MOD(G294, 10) = 0, 10, MOD(G294, 10)))+INDEX(Factor!$AE$4:$AJ$13, _xlfn.XMATCH(MonsterData!$G294, Factor!$AE$4:$AE$13, 1),4))</f>
        <v>405.00000000000006</v>
      </c>
      <c r="X294" s="17" cm="1">
        <f t="array" ref="X294">O294*VLOOKUP($I294, Factor!$B$4:$G$8, 5, 0)*VLOOKUP($J294, Factor!$B$12:$G$13, 5, 0)*VLOOKUP($K294, Factor!$B$17:$G$18, 5, 0)*VLOOKUP($H294, Factor!$J$4:$O$7, 5, 0)*VLOOKUP($F294, Factor!$Q$4:$V$15, 5, 0)*IF(MOD($G294,10)=0, 10, MOD($G294, 10))*((INDEX(Factor!$X$4:$AC$13, _xlfn.XMATCH($G294, Factor!$X$4:$X$13, 1),5)*IF(MOD(G294, 10) = 0, 10, MOD(G294, 10)))+INDEX(Factor!$AE$4:$AJ$13, _xlfn.XMATCH(MonsterData!$G294, Factor!$AE$4:$AE$13, 1),5))</f>
        <v>112.5</v>
      </c>
      <c r="Y294" s="17" cm="1">
        <f t="array" ref="Y294">P294*VLOOKUP($I294, Factor!$B$4:$G$8, 6, 0)*VLOOKUP($J294, Factor!$B$12:$G$13, 6, 0)*VLOOKUP($K294, Factor!$B$17:$G$18, 6, 0)*VLOOKUP($H294, Factor!$J$4:$O$7, 2, 0)*VLOOKUP($F294, Factor!$Q$4:$V$15, 6, 0)*IF(MOD($G294,10)=0, 10, MOD($G294, 10))*((INDEX(Factor!$X$4:$AC$13, _xlfn.XMATCH($G294, Factor!$X$4:$X$13, 1),6)*IF(MOD(G294, 10) = 0, 10, MOD(G294, 10)))+INDEX(Factor!$AE$4:$AJ$13, _xlfn.XMATCH(MonsterData!$G294, Factor!$AE$4:$AE$13, 1),6))</f>
        <v>450</v>
      </c>
      <c r="Z294" s="17">
        <f>$Q294*VLOOKUP($J294, Factor!$B$12:$H$13, 7, 0)</f>
        <v>1</v>
      </c>
      <c r="AA294" s="17">
        <v>1</v>
      </c>
      <c r="AB294" s="17">
        <f t="shared" si="15"/>
        <v>0</v>
      </c>
      <c r="AC294" s="17" t="s">
        <v>139</v>
      </c>
      <c r="AD294" s="19" t="s">
        <v>142</v>
      </c>
    </row>
    <row r="295" spans="1:30" ht="15.75" customHeight="1">
      <c r="A295" s="13" t="str">
        <f>T295&amp;"_"&amp;F295&amp;VLOOKUP($C295, Factor!$AM$4:$AY$30, 7, 0)&amp;IF(COUNTIFS($C$4:C294, C295, $F$4:F294, F295)+1&gt;=100, COUNTIFS($C$4:C294, C295, $F$4:F294, F295)+1,IF(COUNTIFS($C$4:C294, C295, $F$4:F294, F295)+1&gt;=10, "0"&amp;COUNTIFS($C$4:C294, C295, $F$4:F294, F295)+1, "00"&amp;COUNTIFS($C$4:C294, C295, $F$4:F294, F295)+1))</f>
        <v>enpc_F05_A_Cocoon_002</v>
      </c>
      <c r="B295" s="13"/>
      <c r="C295" s="13" t="s">
        <v>270</v>
      </c>
      <c r="D295" s="21" t="str">
        <f t="shared" si="14"/>
        <v>코쿤</v>
      </c>
      <c r="E295" s="21" t="str">
        <f>VLOOKUP($C295, Factor!$AM$4:$AY$30, 8, 0)</f>
        <v>M</v>
      </c>
      <c r="F295" s="21" t="s">
        <v>113</v>
      </c>
      <c r="G295" s="22">
        <v>45</v>
      </c>
      <c r="H295" s="13" t="s">
        <v>55</v>
      </c>
      <c r="I295" s="21" t="str">
        <f>VLOOKUP($C295, Factor!$AM$4:$AY$30, 11, 0)</f>
        <v>A</v>
      </c>
      <c r="J295" s="21" t="str">
        <f>VLOOKUP($C295, Factor!$AM$4:$AY$30, 12, 0)</f>
        <v>ml</v>
      </c>
      <c r="K295" s="21" t="str">
        <f>VLOOKUP($C295, Factor!$AM$4:$AY$30, 13, 0)</f>
        <v>L</v>
      </c>
      <c r="L295" s="13">
        <v>1</v>
      </c>
      <c r="M295" s="13">
        <v>1</v>
      </c>
      <c r="N295" s="13">
        <v>1</v>
      </c>
      <c r="O295" s="13">
        <v>1</v>
      </c>
      <c r="P295" s="13">
        <v>1</v>
      </c>
      <c r="Q295" s="13">
        <v>1</v>
      </c>
      <c r="R295" s="21" t="str">
        <f>VLOOKUP($C295, Factor!$AM$4:$AY$30, 9, 0)</f>
        <v>Midium</v>
      </c>
      <c r="S295" s="13" t="s">
        <v>408</v>
      </c>
      <c r="T295" s="21" t="str">
        <f>VLOOKUP($C295, Factor!$AM$4:$AY$30, 10, 0)</f>
        <v>enpc</v>
      </c>
      <c r="U295" s="21" cm="1">
        <f t="array" ref="U295">L295*VLOOKUP($I295, Factor!$B$4:$G$8, 2, 0)*VLOOKUP($J295, Factor!$B$12:$G$13, 2, 0)*VLOOKUP($K295, Factor!$B$17:$G$18, 2, 0)*VLOOKUP($H295, Factor!$J$4:$O$7, 2, 0)*VLOOKUP($F295, Factor!$Q$4:$V$15, 2, 0)*IF(MOD($G295,10)=0, 10, MOD($G295, 10))*((INDEX(Factor!$X$4:$AC$13, _xlfn.XMATCH($G295, Factor!$X$4:$X$13, 1),2)*IF(MOD(G295, 10) = 0, 10, MOD(G295, 10)))+INDEX(Factor!$AE$4:$AJ$13, _xlfn.XMATCH(MonsterData!$G295, Factor!$AE$4:$AE$13, 1),2))</f>
        <v>16875</v>
      </c>
      <c r="V295" s="21" cm="1">
        <f t="array" ref="V295">M295*VLOOKUP($I295, Factor!$B$4:$G$8, 3, 0)*VLOOKUP($J295, Factor!$B$12:$G$13, 3, 0)*VLOOKUP($K295, Factor!$B$17:$G$18, 3, 0)*VLOOKUP($H295, Factor!$J$4:$O$7, 3, 0)*VLOOKUP($F295, Factor!$Q$4:$V$15, 3, 0)*IF(MOD($G295,10)=0, 10, MOD($G295, 10))*((INDEX(Factor!$X$4:$AC$13, _xlfn.XMATCH($G295, Factor!$X$4:$X$13, 1),3)*IF(MOD(G295, 10) = 0, 10, MOD(G295, 10)))+INDEX(Factor!$AE$4:$AJ$13, _xlfn.XMATCH(MonsterData!$G295, Factor!$AE$4:$AE$13, 1),3))</f>
        <v>843.75</v>
      </c>
      <c r="W295" s="21" cm="1">
        <f t="array" ref="W295">N295*VLOOKUP($I295, Factor!$B$4:$G$8, 4, 0)*VLOOKUP($J295, Factor!$B$12:$G$13, 4, 0)*VLOOKUP($K295, Factor!$B$17:$G$18, 4, 0)*VLOOKUP($H295, Factor!$J$4:$O$7, 4, 0)*VLOOKUP($F295, Factor!$Q$4:$V$15, 4, 0)*IF(MOD($G295,10)=0, 10, MOD($G295, 10))*((INDEX(Factor!$X$4:$AC$13, _xlfn.XMATCH($G295, Factor!$X$4:$X$13, 1),4)*IF(MOD(G295, 10) = 0, 10, MOD(G295, 10)))+INDEX(Factor!$AE$4:$AJ$13, _xlfn.XMATCH(MonsterData!$G295, Factor!$AE$4:$AE$13, 1),4))</f>
        <v>506.25</v>
      </c>
      <c r="X295" s="21" cm="1">
        <f t="array" ref="X295">O295*VLOOKUP($I295, Factor!$B$4:$G$8, 5, 0)*VLOOKUP($J295, Factor!$B$12:$G$13, 5, 0)*VLOOKUP($K295, Factor!$B$17:$G$18, 5, 0)*VLOOKUP($H295, Factor!$J$4:$O$7, 5, 0)*VLOOKUP($F295, Factor!$Q$4:$V$15, 5, 0)*IF(MOD($G295,10)=0, 10, MOD($G295, 10))*((INDEX(Factor!$X$4:$AC$13, _xlfn.XMATCH($G295, Factor!$X$4:$X$13, 1),5)*IF(MOD(G295, 10) = 0, 10, MOD(G295, 10)))+INDEX(Factor!$AE$4:$AJ$13, _xlfn.XMATCH(MonsterData!$G295, Factor!$AE$4:$AE$13, 1),5))</f>
        <v>112.5</v>
      </c>
      <c r="Y295" s="21" cm="1">
        <f t="array" ref="Y295">P295*VLOOKUP($I295, Factor!$B$4:$G$8, 6, 0)*VLOOKUP($J295, Factor!$B$12:$G$13, 6, 0)*VLOOKUP($K295, Factor!$B$17:$G$18, 6, 0)*VLOOKUP($H295, Factor!$J$4:$O$7, 2, 0)*VLOOKUP($F295, Factor!$Q$4:$V$15, 6, 0)*IF(MOD($G295,10)=0, 10, MOD($G295, 10))*((INDEX(Factor!$X$4:$AC$13, _xlfn.XMATCH($G295, Factor!$X$4:$X$13, 1),6)*IF(MOD(G295, 10) = 0, 10, MOD(G295, 10)))+INDEX(Factor!$AE$4:$AJ$13, _xlfn.XMATCH(MonsterData!$G295, Factor!$AE$4:$AE$13, 1),6))</f>
        <v>562.5</v>
      </c>
      <c r="Z295" s="21">
        <f>$Q295*VLOOKUP($J295, Factor!$B$12:$H$13, 7, 0)</f>
        <v>1</v>
      </c>
      <c r="AA295" s="13">
        <v>1</v>
      </c>
      <c r="AB295" s="21">
        <f t="shared" si="15"/>
        <v>0</v>
      </c>
      <c r="AC295" s="13" t="s">
        <v>139</v>
      </c>
      <c r="AD295" s="15" t="s">
        <v>142</v>
      </c>
    </row>
    <row r="296" spans="1:30" ht="15.75" customHeight="1">
      <c r="A296" s="16" t="str">
        <f>T296&amp;"_"&amp;F296&amp;VLOOKUP($C296, Factor!$AM$4:$AY$30, 7, 0)&amp;IF(COUNTIFS($C$4:C295, C296, $F$4:F295, F296)+1&gt;=100, COUNTIFS($C$4:C295, C296, $F$4:F295, F296)+1,IF(COUNTIFS($C$4:C295, C296, $F$4:F295, F296)+1&gt;=10, "0"&amp;COUNTIFS($C$4:C295, C296, $F$4:F295, F296)+1, "00"&amp;COUNTIFS($C$4:C295, C296, $F$4:F295, F296)+1))</f>
        <v>enpc_F05_A_Antlion_002</v>
      </c>
      <c r="B296" s="16"/>
      <c r="C296" s="16" t="s">
        <v>38</v>
      </c>
      <c r="D296" s="17" t="str">
        <f t="shared" si="14"/>
        <v>앤틸리온</v>
      </c>
      <c r="E296" s="17" t="str">
        <f>VLOOKUP($C296, Factor!$AM$4:$AY$30, 8, 0)</f>
        <v>M</v>
      </c>
      <c r="F296" s="17" t="s">
        <v>113</v>
      </c>
      <c r="G296" s="20">
        <v>45</v>
      </c>
      <c r="H296" s="16" t="s">
        <v>55</v>
      </c>
      <c r="I296" s="17" t="str">
        <f>VLOOKUP($C296, Factor!$AM$4:$AY$30, 11, 0)</f>
        <v>A</v>
      </c>
      <c r="J296" s="17" t="str">
        <f>VLOOKUP($C296, Factor!$AM$4:$AY$30, 12, 0)</f>
        <v>ra</v>
      </c>
      <c r="K296" s="17" t="str">
        <f>VLOOKUP($C296, Factor!$AM$4:$AY$30, 13, 0)</f>
        <v>L</v>
      </c>
      <c r="L296" s="17">
        <v>1</v>
      </c>
      <c r="M296" s="17">
        <v>1</v>
      </c>
      <c r="N296" s="17">
        <v>1</v>
      </c>
      <c r="O296" s="17">
        <v>1</v>
      </c>
      <c r="P296" s="17">
        <v>1</v>
      </c>
      <c r="Q296" s="17">
        <v>1</v>
      </c>
      <c r="R296" s="17" t="str">
        <f>VLOOKUP($C296, Factor!$AM$4:$AY$30, 9, 0)</f>
        <v>Midium</v>
      </c>
      <c r="S296" s="17" t="s">
        <v>397</v>
      </c>
      <c r="T296" s="17" t="str">
        <f>VLOOKUP($C296, Factor!$AM$4:$AY$30, 10, 0)</f>
        <v>enpc</v>
      </c>
      <c r="U296" s="17" cm="1">
        <f t="array" ref="U296">L296*VLOOKUP($I296, Factor!$B$4:$G$8, 2, 0)*VLOOKUP($J296, Factor!$B$12:$G$13, 2, 0)*VLOOKUP($K296, Factor!$B$17:$G$18, 2, 0)*VLOOKUP($H296, Factor!$J$4:$O$7, 2, 0)*VLOOKUP($F296, Factor!$Q$4:$V$15, 2, 0)*IF(MOD($G296,10)=0, 10, MOD($G296, 10))*((INDEX(Factor!$X$4:$AC$13, _xlfn.XMATCH($G296, Factor!$X$4:$X$13, 1),2)*IF(MOD(G296, 10) = 0, 10, MOD(G296, 10)))+INDEX(Factor!$AE$4:$AJ$13, _xlfn.XMATCH(MonsterData!$G296, Factor!$AE$4:$AE$13, 1),2))</f>
        <v>13500</v>
      </c>
      <c r="V296" s="17" cm="1">
        <f t="array" ref="V296">M296*VLOOKUP($I296, Factor!$B$4:$G$8, 3, 0)*VLOOKUP($J296, Factor!$B$12:$G$13, 3, 0)*VLOOKUP($K296, Factor!$B$17:$G$18, 3, 0)*VLOOKUP($H296, Factor!$J$4:$O$7, 3, 0)*VLOOKUP($F296, Factor!$Q$4:$V$15, 3, 0)*IF(MOD($G296,10)=0, 10, MOD($G296, 10))*((INDEX(Factor!$X$4:$AC$13, _xlfn.XMATCH($G296, Factor!$X$4:$X$13, 1),3)*IF(MOD(G296, 10) = 0, 10, MOD(G296, 10)))+INDEX(Factor!$AE$4:$AJ$13, _xlfn.XMATCH(MonsterData!$G296, Factor!$AE$4:$AE$13, 1),3))</f>
        <v>675</v>
      </c>
      <c r="W296" s="17" cm="1">
        <f t="array" ref="W296">N296*VLOOKUP($I296, Factor!$B$4:$G$8, 4, 0)*VLOOKUP($J296, Factor!$B$12:$G$13, 4, 0)*VLOOKUP($K296, Factor!$B$17:$G$18, 4, 0)*VLOOKUP($H296, Factor!$J$4:$O$7, 4, 0)*VLOOKUP($F296, Factor!$Q$4:$V$15, 4, 0)*IF(MOD($G296,10)=0, 10, MOD($G296, 10))*((INDEX(Factor!$X$4:$AC$13, _xlfn.XMATCH($G296, Factor!$X$4:$X$13, 1),4)*IF(MOD(G296, 10) = 0, 10, MOD(G296, 10)))+INDEX(Factor!$AE$4:$AJ$13, _xlfn.XMATCH(MonsterData!$G296, Factor!$AE$4:$AE$13, 1),4))</f>
        <v>607.49999999999989</v>
      </c>
      <c r="X296" s="17" cm="1">
        <f t="array" ref="X296">O296*VLOOKUP($I296, Factor!$B$4:$G$8, 5, 0)*VLOOKUP($J296, Factor!$B$12:$G$13, 5, 0)*VLOOKUP($K296, Factor!$B$17:$G$18, 5, 0)*VLOOKUP($H296, Factor!$J$4:$O$7, 5, 0)*VLOOKUP($F296, Factor!$Q$4:$V$15, 5, 0)*IF(MOD($G296,10)=0, 10, MOD($G296, 10))*((INDEX(Factor!$X$4:$AC$13, _xlfn.XMATCH($G296, Factor!$X$4:$X$13, 1),5)*IF(MOD(G296, 10) = 0, 10, MOD(G296, 10)))+INDEX(Factor!$AE$4:$AJ$13, _xlfn.XMATCH(MonsterData!$G296, Factor!$AE$4:$AE$13, 1),5))</f>
        <v>168.75</v>
      </c>
      <c r="Y296" s="17" cm="1">
        <f t="array" ref="Y296">P296*VLOOKUP($I296, Factor!$B$4:$G$8, 6, 0)*VLOOKUP($J296, Factor!$B$12:$G$13, 6, 0)*VLOOKUP($K296, Factor!$B$17:$G$18, 6, 0)*VLOOKUP($H296, Factor!$J$4:$O$7, 2, 0)*VLOOKUP($F296, Factor!$Q$4:$V$15, 6, 0)*IF(MOD($G296,10)=0, 10, MOD($G296, 10))*((INDEX(Factor!$X$4:$AC$13, _xlfn.XMATCH($G296, Factor!$X$4:$X$13, 1),6)*IF(MOD(G296, 10) = 0, 10, MOD(G296, 10)))+INDEX(Factor!$AE$4:$AJ$13, _xlfn.XMATCH(MonsterData!$G296, Factor!$AE$4:$AE$13, 1),6))</f>
        <v>562.5</v>
      </c>
      <c r="Z296" s="17">
        <f>$Q296*VLOOKUP($J296, Factor!$B$12:$H$13, 7, 0)</f>
        <v>4</v>
      </c>
      <c r="AA296" s="17">
        <v>1</v>
      </c>
      <c r="AB296" s="17">
        <f t="shared" si="15"/>
        <v>4</v>
      </c>
      <c r="AC296" s="17" t="s">
        <v>139</v>
      </c>
      <c r="AD296" s="19" t="s">
        <v>142</v>
      </c>
    </row>
    <row r="297" spans="1:30" ht="15.75" customHeight="1">
      <c r="A297" s="13" t="str">
        <f>T297&amp;"_"&amp;F297&amp;VLOOKUP($C297, Factor!$AM$4:$AY$30, 7, 0)&amp;IF(COUNTIFS($C$4:C296, C297, $F$4:F296, F297)+1&gt;=100, COUNTIFS($C$4:C296, C297, $F$4:F296, F297)+1,IF(COUNTIFS($C$4:C296, C297, $F$4:F296, F297)+1&gt;=10, "0"&amp;COUNTIFS($C$4:C296, C297, $F$4:F296, F297)+1, "00"&amp;COUNTIFS($C$4:C296, C297, $F$4:F296, F297)+1))</f>
        <v>enpc_F05_A_Nymphe_002</v>
      </c>
      <c r="B297" s="13"/>
      <c r="C297" s="13" t="s">
        <v>39</v>
      </c>
      <c r="D297" s="21" t="str">
        <f t="shared" si="14"/>
        <v>님프</v>
      </c>
      <c r="E297" s="21" t="str">
        <f>VLOOKUP($C297, Factor!$AM$4:$AY$30, 8, 0)</f>
        <v>S</v>
      </c>
      <c r="F297" s="21" t="s">
        <v>113</v>
      </c>
      <c r="G297" s="22">
        <v>45</v>
      </c>
      <c r="H297" s="13" t="s">
        <v>55</v>
      </c>
      <c r="I297" s="21" t="str">
        <f>VLOOKUP($C297, Factor!$AM$4:$AY$30, 11, 0)</f>
        <v>A</v>
      </c>
      <c r="J297" s="21" t="str">
        <f>VLOOKUP($C297, Factor!$AM$4:$AY$30, 12, 0)</f>
        <v>ml</v>
      </c>
      <c r="K297" s="21" t="str">
        <f>VLOOKUP($C297, Factor!$AM$4:$AY$30, 13, 0)</f>
        <v>F</v>
      </c>
      <c r="L297" s="13">
        <v>1</v>
      </c>
      <c r="M297" s="13">
        <v>1</v>
      </c>
      <c r="N297" s="13">
        <v>1</v>
      </c>
      <c r="O297" s="13">
        <v>1</v>
      </c>
      <c r="P297" s="13">
        <v>1</v>
      </c>
      <c r="Q297" s="13">
        <v>1</v>
      </c>
      <c r="R297" s="21" t="str">
        <f>VLOOKUP($C297, Factor!$AM$4:$AY$30, 9, 0)</f>
        <v>Small</v>
      </c>
      <c r="S297" s="13" t="s">
        <v>409</v>
      </c>
      <c r="T297" s="21" t="str">
        <f>VLOOKUP($C297, Factor!$AM$4:$AY$30, 10, 0)</f>
        <v>enpc</v>
      </c>
      <c r="U297" s="21" cm="1">
        <f t="array" ref="U297">L297*VLOOKUP($I297, Factor!$B$4:$G$8, 2, 0)*VLOOKUP($J297, Factor!$B$12:$G$13, 2, 0)*VLOOKUP($K297, Factor!$B$17:$G$18, 2, 0)*VLOOKUP($H297, Factor!$J$4:$O$7, 2, 0)*VLOOKUP($F297, Factor!$Q$4:$V$15, 2, 0)*IF(MOD($G297,10)=0, 10, MOD($G297, 10))*((INDEX(Factor!$X$4:$AC$13, _xlfn.XMATCH($G297, Factor!$X$4:$X$13, 1),2)*IF(MOD(G297, 10) = 0, 10, MOD(G297, 10)))+INDEX(Factor!$AE$4:$AJ$13, _xlfn.XMATCH(MonsterData!$G297, Factor!$AE$4:$AE$13, 1),2))</f>
        <v>11250</v>
      </c>
      <c r="V297" s="21" cm="1">
        <f t="array" ref="V297">M297*VLOOKUP($I297, Factor!$B$4:$G$8, 3, 0)*VLOOKUP($J297, Factor!$B$12:$G$13, 3, 0)*VLOOKUP($K297, Factor!$B$17:$G$18, 3, 0)*VLOOKUP($H297, Factor!$J$4:$O$7, 3, 0)*VLOOKUP($F297, Factor!$Q$4:$V$15, 3, 0)*IF(MOD($G297,10)=0, 10, MOD($G297, 10))*((INDEX(Factor!$X$4:$AC$13, _xlfn.XMATCH($G297, Factor!$X$4:$X$13, 1),3)*IF(MOD(G297, 10) = 0, 10, MOD(G297, 10)))+INDEX(Factor!$AE$4:$AJ$13, _xlfn.XMATCH(MonsterData!$G297, Factor!$AE$4:$AE$13, 1),3))</f>
        <v>562.5</v>
      </c>
      <c r="W297" s="21" cm="1">
        <f t="array" ref="W297">N297*VLOOKUP($I297, Factor!$B$4:$G$8, 4, 0)*VLOOKUP($J297, Factor!$B$12:$G$13, 4, 0)*VLOOKUP($K297, Factor!$B$17:$G$18, 4, 0)*VLOOKUP($H297, Factor!$J$4:$O$7, 4, 0)*VLOOKUP($F297, Factor!$Q$4:$V$15, 4, 0)*IF(MOD($G297,10)=0, 10, MOD($G297, 10))*((INDEX(Factor!$X$4:$AC$13, _xlfn.XMATCH($G297, Factor!$X$4:$X$13, 1),4)*IF(MOD(G297, 10) = 0, 10, MOD(G297, 10)))+INDEX(Factor!$AE$4:$AJ$13, _xlfn.XMATCH(MonsterData!$G297, Factor!$AE$4:$AE$13, 1),4))</f>
        <v>337.5</v>
      </c>
      <c r="X297" s="21" cm="1">
        <f t="array" ref="X297">O297*VLOOKUP($I297, Factor!$B$4:$G$8, 5, 0)*VLOOKUP($J297, Factor!$B$12:$G$13, 5, 0)*VLOOKUP($K297, Factor!$B$17:$G$18, 5, 0)*VLOOKUP($H297, Factor!$J$4:$O$7, 5, 0)*VLOOKUP($F297, Factor!$Q$4:$V$15, 5, 0)*IF(MOD($G297,10)=0, 10, MOD($G297, 10))*((INDEX(Factor!$X$4:$AC$13, _xlfn.XMATCH($G297, Factor!$X$4:$X$13, 1),5)*IF(MOD(G297, 10) = 0, 10, MOD(G297, 10)))+INDEX(Factor!$AE$4:$AJ$13, _xlfn.XMATCH(MonsterData!$G297, Factor!$AE$4:$AE$13, 1),5))</f>
        <v>112.5</v>
      </c>
      <c r="Y297" s="21" cm="1">
        <f t="array" ref="Y297">P297*VLOOKUP($I297, Factor!$B$4:$G$8, 6, 0)*VLOOKUP($J297, Factor!$B$12:$G$13, 6, 0)*VLOOKUP($K297, Factor!$B$17:$G$18, 6, 0)*VLOOKUP($H297, Factor!$J$4:$O$7, 2, 0)*VLOOKUP($F297, Factor!$Q$4:$V$15, 6, 0)*IF(MOD($G297,10)=0, 10, MOD($G297, 10))*((INDEX(Factor!$X$4:$AC$13, _xlfn.XMATCH($G297, Factor!$X$4:$X$13, 1),6)*IF(MOD(G297, 10) = 0, 10, MOD(G297, 10)))+INDEX(Factor!$AE$4:$AJ$13, _xlfn.XMATCH(MonsterData!$G297, Factor!$AE$4:$AE$13, 1),6))</f>
        <v>1687.5</v>
      </c>
      <c r="Z297" s="21">
        <f>$Q297*VLOOKUP($J297, Factor!$B$12:$H$13, 7, 0)</f>
        <v>1</v>
      </c>
      <c r="AA297" s="13">
        <v>1</v>
      </c>
      <c r="AB297" s="21">
        <f t="shared" si="15"/>
        <v>0</v>
      </c>
      <c r="AC297" s="13" t="s">
        <v>139</v>
      </c>
      <c r="AD297" s="15" t="s">
        <v>142</v>
      </c>
    </row>
    <row r="298" spans="1:30" ht="15.75" customHeight="1">
      <c r="A298" s="16" t="str">
        <f>T298&amp;"_"&amp;F298&amp;VLOOKUP($C298, Factor!$AM$4:$AY$30, 7, 0)&amp;IF(COUNTIFS($C$4:C297, C298, $F$4:F297, F298)+1&gt;=100, COUNTIFS($C$4:C297, C298, $F$4:F297, F298)+1,IF(COUNTIFS($C$4:C297, C298, $F$4:F297, F298)+1&gt;=10, "0"&amp;COUNTIFS($C$4:C297, C298, $F$4:F297, F298)+1, "00"&amp;COUNTIFS($C$4:C297, C298, $F$4:F297, F298)+1))</f>
        <v>enpc_F05_B_Golem_002</v>
      </c>
      <c r="B298" s="16"/>
      <c r="C298" s="16" t="s">
        <v>40</v>
      </c>
      <c r="D298" s="17" t="str">
        <f t="shared" si="14"/>
        <v>골렘</v>
      </c>
      <c r="E298" s="17" t="str">
        <f>VLOOKUP($C298, Factor!$AM$4:$AY$30, 8, 0)</f>
        <v>B</v>
      </c>
      <c r="F298" s="17" t="s">
        <v>113</v>
      </c>
      <c r="G298" s="20">
        <v>71</v>
      </c>
      <c r="H298" s="16" t="s">
        <v>57</v>
      </c>
      <c r="I298" s="17" t="str">
        <f>VLOOKUP($C298, Factor!$AM$4:$AY$30, 11, 0)</f>
        <v>B</v>
      </c>
      <c r="J298" s="17" t="str">
        <f>VLOOKUP($C298, Factor!$AM$4:$AY$30, 12, 0)</f>
        <v>ml</v>
      </c>
      <c r="K298" s="17" t="str">
        <f>VLOOKUP($C298, Factor!$AM$4:$AY$30, 13, 0)</f>
        <v>L</v>
      </c>
      <c r="L298" s="17">
        <v>1</v>
      </c>
      <c r="M298" s="17">
        <v>1</v>
      </c>
      <c r="N298" s="17">
        <v>1</v>
      </c>
      <c r="O298" s="17">
        <v>1</v>
      </c>
      <c r="P298" s="17">
        <v>1</v>
      </c>
      <c r="Q298" s="17">
        <v>1</v>
      </c>
      <c r="R298" s="17" t="str">
        <f>VLOOKUP($C298, Factor!$AM$4:$AY$30, 9, 0)</f>
        <v>Big</v>
      </c>
      <c r="S298" s="17" t="s">
        <v>398</v>
      </c>
      <c r="T298" s="17" t="str">
        <f>VLOOKUP($C298, Factor!$AM$4:$AY$30, 10, 0)</f>
        <v>enpc</v>
      </c>
      <c r="U298" s="17" cm="1">
        <f t="array" ref="U298">L298*VLOOKUP($I298, Factor!$B$4:$G$8, 2, 0)*VLOOKUP($J298, Factor!$B$12:$G$13, 2, 0)*VLOOKUP($K298, Factor!$B$17:$G$18, 2, 0)*VLOOKUP($H298, Factor!$J$4:$O$7, 2, 0)*VLOOKUP($F298, Factor!$Q$4:$V$15, 2, 0)*IF(MOD($G298,10)=0, 10, MOD($G298, 10))*((INDEX(Factor!$X$4:$AC$13, _xlfn.XMATCH($G298, Factor!$X$4:$X$13, 1),2)*IF(MOD(G298, 10) = 0, 10, MOD(G298, 10)))+INDEX(Factor!$AE$4:$AJ$13, _xlfn.XMATCH(MonsterData!$G298, Factor!$AE$4:$AE$13, 1),2))</f>
        <v>77760</v>
      </c>
      <c r="V298" s="17" cm="1">
        <f t="array" ref="V298">M298*VLOOKUP($I298, Factor!$B$4:$G$8, 3, 0)*VLOOKUP($J298, Factor!$B$12:$G$13, 3, 0)*VLOOKUP($K298, Factor!$B$17:$G$18, 3, 0)*VLOOKUP($H298, Factor!$J$4:$O$7, 3, 0)*VLOOKUP($F298, Factor!$Q$4:$V$15, 3, 0)*IF(MOD($G298,10)=0, 10, MOD($G298, 10))*((INDEX(Factor!$X$4:$AC$13, _xlfn.XMATCH($G298, Factor!$X$4:$X$13, 1),3)*IF(MOD(G298, 10) = 0, 10, MOD(G298, 10)))+INDEX(Factor!$AE$4:$AJ$13, _xlfn.XMATCH(MonsterData!$G298, Factor!$AE$4:$AE$13, 1),3))</f>
        <v>3888</v>
      </c>
      <c r="W298" s="17" cm="1">
        <f t="array" ref="W298">N298*VLOOKUP($I298, Factor!$B$4:$G$8, 4, 0)*VLOOKUP($J298, Factor!$B$12:$G$13, 4, 0)*VLOOKUP($K298, Factor!$B$17:$G$18, 4, 0)*VLOOKUP($H298, Factor!$J$4:$O$7, 4, 0)*VLOOKUP($F298, Factor!$Q$4:$V$15, 4, 0)*IF(MOD($G298,10)=0, 10, MOD($G298, 10))*((INDEX(Factor!$X$4:$AC$13, _xlfn.XMATCH($G298, Factor!$X$4:$X$13, 1),4)*IF(MOD(G298, 10) = 0, 10, MOD(G298, 10)))+INDEX(Factor!$AE$4:$AJ$13, _xlfn.XMATCH(MonsterData!$G298, Factor!$AE$4:$AE$13, 1),4))</f>
        <v>194.4</v>
      </c>
      <c r="X298" s="17" cm="1">
        <f t="array" ref="X298">O298*VLOOKUP($I298, Factor!$B$4:$G$8, 5, 0)*VLOOKUP($J298, Factor!$B$12:$G$13, 5, 0)*VLOOKUP($K298, Factor!$B$17:$G$18, 5, 0)*VLOOKUP($H298, Factor!$J$4:$O$7, 5, 0)*VLOOKUP($F298, Factor!$Q$4:$V$15, 5, 0)*IF(MOD($G298,10)=0, 10, MOD($G298, 10))*((INDEX(Factor!$X$4:$AC$13, _xlfn.XMATCH($G298, Factor!$X$4:$X$13, 1),5)*IF(MOD(G298, 10) = 0, 10, MOD(G298, 10)))+INDEX(Factor!$AE$4:$AJ$13, _xlfn.XMATCH(MonsterData!$G298, Factor!$AE$4:$AE$13, 1),5))</f>
        <v>207.36</v>
      </c>
      <c r="Y298" s="17" cm="1">
        <f t="array" ref="Y298">P298*VLOOKUP($I298, Factor!$B$4:$G$8, 6, 0)*VLOOKUP($J298, Factor!$B$12:$G$13, 6, 0)*VLOOKUP($K298, Factor!$B$17:$G$18, 6, 0)*VLOOKUP($H298, Factor!$J$4:$O$7, 2, 0)*VLOOKUP($F298, Factor!$Q$4:$V$15, 6, 0)*IF(MOD($G298,10)=0, 10, MOD($G298, 10))*((INDEX(Factor!$X$4:$AC$13, _xlfn.XMATCH($G298, Factor!$X$4:$X$13, 1),6)*IF(MOD(G298, 10) = 0, 10, MOD(G298, 10)))+INDEX(Factor!$AE$4:$AJ$13, _xlfn.XMATCH(MonsterData!$G298, Factor!$AE$4:$AE$13, 1),6))</f>
        <v>414.72</v>
      </c>
      <c r="Z298" s="17">
        <f>$Q298*VLOOKUP($J298, Factor!$B$12:$H$13, 7, 0)</f>
        <v>1</v>
      </c>
      <c r="AA298" s="17">
        <v>1</v>
      </c>
      <c r="AB298" s="17">
        <f t="shared" si="15"/>
        <v>0</v>
      </c>
      <c r="AC298" s="17" t="s">
        <v>140</v>
      </c>
      <c r="AD298" s="19" t="s">
        <v>143</v>
      </c>
    </row>
    <row r="299" spans="1:30" ht="15.75" customHeight="1">
      <c r="A299" s="13" t="str">
        <f>T299&amp;"_"&amp;F299&amp;VLOOKUP($C299, Factor!$AM$4:$AY$30, 7, 0)&amp;IF(COUNTIFS($C$4:C298, C299, $F$4:F298, F299)+1&gt;=100, COUNTIFS($C$4:C298, C299, $F$4:F298, F299)+1,IF(COUNTIFS($C$4:C298, C299, $F$4:F298, F299)+1&gt;=10, "0"&amp;COUNTIFS($C$4:C298, C299, $F$4:F298, F299)+1, "00"&amp;COUNTIFS($C$4:C298, C299, $F$4:F298, F299)+1))</f>
        <v>enpc_F05_B_Banshee_002</v>
      </c>
      <c r="B299" s="13"/>
      <c r="C299" s="13" t="s">
        <v>42</v>
      </c>
      <c r="D299" s="21" t="str">
        <f t="shared" si="14"/>
        <v>밴시</v>
      </c>
      <c r="E299" s="21" t="str">
        <f>VLOOKUP($C299, Factor!$AM$4:$AY$30, 8, 0)</f>
        <v>S</v>
      </c>
      <c r="F299" s="21" t="s">
        <v>113</v>
      </c>
      <c r="G299" s="22">
        <v>71</v>
      </c>
      <c r="H299" s="13" t="s">
        <v>56</v>
      </c>
      <c r="I299" s="21" t="str">
        <f>VLOOKUP($C299, Factor!$AM$4:$AY$30, 11, 0)</f>
        <v>B</v>
      </c>
      <c r="J299" s="21" t="str">
        <f>VLOOKUP($C299, Factor!$AM$4:$AY$30, 12, 0)</f>
        <v>ra</v>
      </c>
      <c r="K299" s="21" t="str">
        <f>VLOOKUP($C299, Factor!$AM$4:$AY$30, 13, 0)</f>
        <v>L</v>
      </c>
      <c r="L299" s="13">
        <v>1</v>
      </c>
      <c r="M299" s="13">
        <v>1</v>
      </c>
      <c r="N299" s="13">
        <v>1</v>
      </c>
      <c r="O299" s="13">
        <v>1</v>
      </c>
      <c r="P299" s="13">
        <v>1</v>
      </c>
      <c r="Q299" s="13">
        <v>1</v>
      </c>
      <c r="R299" s="21" t="str">
        <f>VLOOKUP($C299, Factor!$AM$4:$AY$30, 9, 0)</f>
        <v>Midium</v>
      </c>
      <c r="S299" s="13" t="s">
        <v>410</v>
      </c>
      <c r="T299" s="21" t="str">
        <f>VLOOKUP($C299, Factor!$AM$4:$AY$30, 10, 0)</f>
        <v>enpc</v>
      </c>
      <c r="U299" s="21" cm="1">
        <f t="array" ref="U299">L299*VLOOKUP($I299, Factor!$B$4:$G$8, 2, 0)*VLOOKUP($J299, Factor!$B$12:$G$13, 2, 0)*VLOOKUP($K299, Factor!$B$17:$G$18, 2, 0)*VLOOKUP($H299, Factor!$J$4:$O$7, 2, 0)*VLOOKUP($F299, Factor!$Q$4:$V$15, 2, 0)*IF(MOD($G299,10)=0, 10, MOD($G299, 10))*((INDEX(Factor!$X$4:$AC$13, _xlfn.XMATCH($G299, Factor!$X$4:$X$13, 1),2)*IF(MOD(G299, 10) = 0, 10, MOD(G299, 10)))+INDEX(Factor!$AE$4:$AJ$13, _xlfn.XMATCH(MonsterData!$G299, Factor!$AE$4:$AE$13, 1),2))</f>
        <v>31104</v>
      </c>
      <c r="V299" s="21" cm="1">
        <f t="array" ref="V299">M299*VLOOKUP($I299, Factor!$B$4:$G$8, 3, 0)*VLOOKUP($J299, Factor!$B$12:$G$13, 3, 0)*VLOOKUP($K299, Factor!$B$17:$G$18, 3, 0)*VLOOKUP($H299, Factor!$J$4:$O$7, 3, 0)*VLOOKUP($F299, Factor!$Q$4:$V$15, 3, 0)*IF(MOD($G299,10)=0, 10, MOD($G299, 10))*((INDEX(Factor!$X$4:$AC$13, _xlfn.XMATCH($G299, Factor!$X$4:$X$13, 1),3)*IF(MOD(G299, 10) = 0, 10, MOD(G299, 10)))+INDEX(Factor!$AE$4:$AJ$13, _xlfn.XMATCH(MonsterData!$G299, Factor!$AE$4:$AE$13, 1),3))</f>
        <v>1555.2</v>
      </c>
      <c r="W299" s="21" cm="1">
        <f t="array" ref="W299">N299*VLOOKUP($I299, Factor!$B$4:$G$8, 4, 0)*VLOOKUP($J299, Factor!$B$12:$G$13, 4, 0)*VLOOKUP($K299, Factor!$B$17:$G$18, 4, 0)*VLOOKUP($H299, Factor!$J$4:$O$7, 4, 0)*VLOOKUP($F299, Factor!$Q$4:$V$15, 4, 0)*IF(MOD($G299,10)=0, 10, MOD($G299, 10))*((INDEX(Factor!$X$4:$AC$13, _xlfn.XMATCH($G299, Factor!$X$4:$X$13, 1),4)*IF(MOD(G299, 10) = 0, 10, MOD(G299, 10)))+INDEX(Factor!$AE$4:$AJ$13, _xlfn.XMATCH(MonsterData!$G299, Factor!$AE$4:$AE$13, 1),4))</f>
        <v>4665.6000000000004</v>
      </c>
      <c r="X299" s="21" cm="1">
        <f t="array" ref="X299">O299*VLOOKUP($I299, Factor!$B$4:$G$8, 5, 0)*VLOOKUP($J299, Factor!$B$12:$G$13, 5, 0)*VLOOKUP($K299, Factor!$B$17:$G$18, 5, 0)*VLOOKUP($H299, Factor!$J$4:$O$7, 5, 0)*VLOOKUP($F299, Factor!$Q$4:$V$15, 5, 0)*IF(MOD($G299,10)=0, 10, MOD($G299, 10))*((INDEX(Factor!$X$4:$AC$13, _xlfn.XMATCH($G299, Factor!$X$4:$X$13, 1),5)*IF(MOD(G299, 10) = 0, 10, MOD(G299, 10)))+INDEX(Factor!$AE$4:$AJ$13, _xlfn.XMATCH(MonsterData!$G299, Factor!$AE$4:$AE$13, 1),5))</f>
        <v>139.96800000000002</v>
      </c>
      <c r="Y299" s="21" cm="1">
        <f t="array" ref="Y299">P299*VLOOKUP($I299, Factor!$B$4:$G$8, 6, 0)*VLOOKUP($J299, Factor!$B$12:$G$13, 6, 0)*VLOOKUP($K299, Factor!$B$17:$G$18, 6, 0)*VLOOKUP($H299, Factor!$J$4:$O$7, 2, 0)*VLOOKUP($F299, Factor!$Q$4:$V$15, 6, 0)*IF(MOD($G299,10)=0, 10, MOD($G299, 10))*((INDEX(Factor!$X$4:$AC$13, _xlfn.XMATCH($G299, Factor!$X$4:$X$13, 1),6)*IF(MOD(G299, 10) = 0, 10, MOD(G299, 10)))+INDEX(Factor!$AE$4:$AJ$13, _xlfn.XMATCH(MonsterData!$G299, Factor!$AE$4:$AE$13, 1),6))</f>
        <v>207.36</v>
      </c>
      <c r="Z299" s="21">
        <f>$Q299*VLOOKUP($J299, Factor!$B$12:$H$13, 7, 0)</f>
        <v>4</v>
      </c>
      <c r="AA299" s="13">
        <v>1</v>
      </c>
      <c r="AB299" s="21">
        <f t="shared" si="15"/>
        <v>4</v>
      </c>
      <c r="AC299" s="13" t="s">
        <v>141</v>
      </c>
      <c r="AD299" s="15" t="s">
        <v>144</v>
      </c>
    </row>
    <row r="300" spans="1:30" ht="15.75" customHeight="1">
      <c r="A300" s="16" t="str">
        <f>T300&amp;"_"&amp;F300&amp;VLOOKUP($C300, Factor!$AM$4:$AY$30, 7, 0)&amp;IF(COUNTIFS($C$4:C299, C300, $F$4:F299, F300)+1&gt;=100, COUNTIFS($C$4:C299, C300, $F$4:F299, F300)+1,IF(COUNTIFS($C$4:C299, C300, $F$4:F299, F300)+1&gt;=10, "0"&amp;COUNTIFS($C$4:C299, C300, $F$4:F299, F300)+1, "00"&amp;COUNTIFS($C$4:C299, C300, $F$4:F299, F300)+1))</f>
        <v>enpc_F05_A_Scarab_002</v>
      </c>
      <c r="B300" s="16"/>
      <c r="C300" s="16" t="s">
        <v>353</v>
      </c>
      <c r="D300" s="17" t="str">
        <f t="shared" si="14"/>
        <v>스캐럽</v>
      </c>
      <c r="E300" s="17" t="str">
        <f>VLOOKUP($C300, Factor!$AM$4:$AY$30, 8, 0)</f>
        <v>S</v>
      </c>
      <c r="F300" s="17" t="s">
        <v>113</v>
      </c>
      <c r="G300" s="20">
        <v>45</v>
      </c>
      <c r="H300" s="16" t="s">
        <v>55</v>
      </c>
      <c r="I300" s="17" t="str">
        <f>VLOOKUP($C300, Factor!$AM$4:$AY$30, 11, 0)</f>
        <v>A</v>
      </c>
      <c r="J300" s="17" t="str">
        <f>VLOOKUP($C300, Factor!$AM$4:$AY$30, 12, 0)</f>
        <v>ml</v>
      </c>
      <c r="K300" s="17" t="str">
        <f>VLOOKUP($C300, Factor!$AM$4:$AY$30, 13, 0)</f>
        <v>L</v>
      </c>
      <c r="L300" s="17">
        <v>1</v>
      </c>
      <c r="M300" s="17">
        <v>1</v>
      </c>
      <c r="N300" s="17">
        <v>1</v>
      </c>
      <c r="O300" s="17">
        <v>1</v>
      </c>
      <c r="P300" s="17">
        <v>1</v>
      </c>
      <c r="Q300" s="17">
        <v>1</v>
      </c>
      <c r="R300" s="17" t="str">
        <f>VLOOKUP($C300, Factor!$AM$4:$AY$30, 9, 0)</f>
        <v>Midium</v>
      </c>
      <c r="S300" s="17" t="s">
        <v>399</v>
      </c>
      <c r="T300" s="17" t="str">
        <f>VLOOKUP($C300, Factor!$AM$4:$AY$30, 10, 0)</f>
        <v>enpc</v>
      </c>
      <c r="U300" s="17" cm="1">
        <f t="array" ref="U300">L300*VLOOKUP($I300, Factor!$B$4:$G$8, 2, 0)*VLOOKUP($J300, Factor!$B$12:$G$13, 2, 0)*VLOOKUP($K300, Factor!$B$17:$G$18, 2, 0)*VLOOKUP($H300, Factor!$J$4:$O$7, 2, 0)*VLOOKUP($F300, Factor!$Q$4:$V$15, 2, 0)*IF(MOD($G300,10)=0, 10, MOD($G300, 10))*((INDEX(Factor!$X$4:$AC$13, _xlfn.XMATCH($G300, Factor!$X$4:$X$13, 1),2)*IF(MOD(G300, 10) = 0, 10, MOD(G300, 10)))+INDEX(Factor!$AE$4:$AJ$13, _xlfn.XMATCH(MonsterData!$G300, Factor!$AE$4:$AE$13, 1),2))</f>
        <v>16875</v>
      </c>
      <c r="V300" s="17" cm="1">
        <f t="array" ref="V300">M300*VLOOKUP($I300, Factor!$B$4:$G$8, 3, 0)*VLOOKUP($J300, Factor!$B$12:$G$13, 3, 0)*VLOOKUP($K300, Factor!$B$17:$G$18, 3, 0)*VLOOKUP($H300, Factor!$J$4:$O$7, 3, 0)*VLOOKUP($F300, Factor!$Q$4:$V$15, 3, 0)*IF(MOD($G300,10)=0, 10, MOD($G300, 10))*((INDEX(Factor!$X$4:$AC$13, _xlfn.XMATCH($G300, Factor!$X$4:$X$13, 1),3)*IF(MOD(G300, 10) = 0, 10, MOD(G300, 10)))+INDEX(Factor!$AE$4:$AJ$13, _xlfn.XMATCH(MonsterData!$G300, Factor!$AE$4:$AE$13, 1),3))</f>
        <v>843.75</v>
      </c>
      <c r="W300" s="17" cm="1">
        <f t="array" ref="W300">N300*VLOOKUP($I300, Factor!$B$4:$G$8, 4, 0)*VLOOKUP($J300, Factor!$B$12:$G$13, 4, 0)*VLOOKUP($K300, Factor!$B$17:$G$18, 4, 0)*VLOOKUP($H300, Factor!$J$4:$O$7, 4, 0)*VLOOKUP($F300, Factor!$Q$4:$V$15, 4, 0)*IF(MOD($G300,10)=0, 10, MOD($G300, 10))*((INDEX(Factor!$X$4:$AC$13, _xlfn.XMATCH($G300, Factor!$X$4:$X$13, 1),4)*IF(MOD(G300, 10) = 0, 10, MOD(G300, 10)))+INDEX(Factor!$AE$4:$AJ$13, _xlfn.XMATCH(MonsterData!$G300, Factor!$AE$4:$AE$13, 1),4))</f>
        <v>506.25</v>
      </c>
      <c r="X300" s="17" cm="1">
        <f t="array" ref="X300">O300*VLOOKUP($I300, Factor!$B$4:$G$8, 5, 0)*VLOOKUP($J300, Factor!$B$12:$G$13, 5, 0)*VLOOKUP($K300, Factor!$B$17:$G$18, 5, 0)*VLOOKUP($H300, Factor!$J$4:$O$7, 5, 0)*VLOOKUP($F300, Factor!$Q$4:$V$15, 5, 0)*IF(MOD($G300,10)=0, 10, MOD($G300, 10))*((INDEX(Factor!$X$4:$AC$13, _xlfn.XMATCH($G300, Factor!$X$4:$X$13, 1),5)*IF(MOD(G300, 10) = 0, 10, MOD(G300, 10)))+INDEX(Factor!$AE$4:$AJ$13, _xlfn.XMATCH(MonsterData!$G300, Factor!$AE$4:$AE$13, 1),5))</f>
        <v>112.5</v>
      </c>
      <c r="Y300" s="17" cm="1">
        <f t="array" ref="Y300">P300*VLOOKUP($I300, Factor!$B$4:$G$8, 6, 0)*VLOOKUP($J300, Factor!$B$12:$G$13, 6, 0)*VLOOKUP($K300, Factor!$B$17:$G$18, 6, 0)*VLOOKUP($H300, Factor!$J$4:$O$7, 2, 0)*VLOOKUP($F300, Factor!$Q$4:$V$15, 6, 0)*IF(MOD($G300,10)=0, 10, MOD($G300, 10))*((INDEX(Factor!$X$4:$AC$13, _xlfn.XMATCH($G300, Factor!$X$4:$X$13, 1),6)*IF(MOD(G300, 10) = 0, 10, MOD(G300, 10)))+INDEX(Factor!$AE$4:$AJ$13, _xlfn.XMATCH(MonsterData!$G300, Factor!$AE$4:$AE$13, 1),6))</f>
        <v>562.5</v>
      </c>
      <c r="Z300" s="17">
        <f>$Q300*VLOOKUP($J300, Factor!$B$12:$H$13, 7, 0)</f>
        <v>1</v>
      </c>
      <c r="AA300" s="17">
        <v>1</v>
      </c>
      <c r="AB300" s="17">
        <f t="shared" si="15"/>
        <v>0</v>
      </c>
      <c r="AC300" s="17" t="s">
        <v>139</v>
      </c>
      <c r="AD300" s="19" t="s">
        <v>387</v>
      </c>
    </row>
    <row r="301" spans="1:30" ht="15.75" customHeight="1">
      <c r="A301" s="13" t="str">
        <f>T301&amp;"_"&amp;F301&amp;VLOOKUP($C301, Factor!$AM$4:$AY$30, 7, 0)&amp;IF(COUNTIFS($C$4:C300, C301, $F$4:F300, F301)+1&gt;=100, COUNTIFS($C$4:C300, C301, $F$4:F300, F301)+1,IF(COUNTIFS($C$4:C300, C301, $F$4:F300, F301)+1&gt;=10, "0"&amp;COUNTIFS($C$4:C300, C301, $F$4:F300, F301)+1, "00"&amp;COUNTIFS($C$4:C300, C301, $F$4:F300, F301)+1))</f>
        <v>enpc_F05_A_Swarmlet_002</v>
      </c>
      <c r="B301" s="13"/>
      <c r="C301" s="13" t="s">
        <v>355</v>
      </c>
      <c r="D301" s="21" t="str">
        <f t="shared" si="14"/>
        <v>스웜렛</v>
      </c>
      <c r="E301" s="21" t="str">
        <f>VLOOKUP($C301, Factor!$AM$4:$AY$30, 8, 0)</f>
        <v>B</v>
      </c>
      <c r="F301" s="21" t="s">
        <v>113</v>
      </c>
      <c r="G301" s="22">
        <v>45</v>
      </c>
      <c r="H301" s="13" t="s">
        <v>56</v>
      </c>
      <c r="I301" s="21" t="str">
        <f>VLOOKUP($C301, Factor!$AM$4:$AY$30, 11, 0)</f>
        <v>A</v>
      </c>
      <c r="J301" s="21" t="str">
        <f>VLOOKUP($C301, Factor!$AM$4:$AY$30, 12, 0)</f>
        <v>ml</v>
      </c>
      <c r="K301" s="21" t="str">
        <f>VLOOKUP($C301, Factor!$AM$4:$AY$30, 13, 0)</f>
        <v>L</v>
      </c>
      <c r="L301" s="13">
        <v>1</v>
      </c>
      <c r="M301" s="13">
        <v>1</v>
      </c>
      <c r="N301" s="13">
        <v>1</v>
      </c>
      <c r="O301" s="13">
        <v>1</v>
      </c>
      <c r="P301" s="13">
        <v>1</v>
      </c>
      <c r="Q301" s="13">
        <v>1</v>
      </c>
      <c r="R301" s="21" t="str">
        <f>VLOOKUP($C301, Factor!$AM$4:$AY$30, 9, 0)</f>
        <v>Small</v>
      </c>
      <c r="S301" s="13" t="s">
        <v>405</v>
      </c>
      <c r="T301" s="21" t="str">
        <f>VLOOKUP($C301, Factor!$AM$4:$AY$30, 10, 0)</f>
        <v>enpc</v>
      </c>
      <c r="U301" s="21" cm="1">
        <f t="array" ref="U301">L301*VLOOKUP($I301, Factor!$B$4:$G$8, 2, 0)*VLOOKUP($J301, Factor!$B$12:$G$13, 2, 0)*VLOOKUP($K301, Factor!$B$17:$G$18, 2, 0)*VLOOKUP($H301, Factor!$J$4:$O$7, 2, 0)*VLOOKUP($F301, Factor!$Q$4:$V$15, 2, 0)*IF(MOD($G301,10)=0, 10, MOD($G301, 10))*((INDEX(Factor!$X$4:$AC$13, _xlfn.XMATCH($G301, Factor!$X$4:$X$13, 1),2)*IF(MOD(G301, 10) = 0, 10, MOD(G301, 10)))+INDEX(Factor!$AE$4:$AJ$13, _xlfn.XMATCH(MonsterData!$G301, Factor!$AE$4:$AE$13, 1),2))</f>
        <v>16875</v>
      </c>
      <c r="V301" s="21" cm="1">
        <f t="array" ref="V301">M301*VLOOKUP($I301, Factor!$B$4:$G$8, 3, 0)*VLOOKUP($J301, Factor!$B$12:$G$13, 3, 0)*VLOOKUP($K301, Factor!$B$17:$G$18, 3, 0)*VLOOKUP($H301, Factor!$J$4:$O$7, 3, 0)*VLOOKUP($F301, Factor!$Q$4:$V$15, 3, 0)*IF(MOD($G301,10)=0, 10, MOD($G301, 10))*((INDEX(Factor!$X$4:$AC$13, _xlfn.XMATCH($G301, Factor!$X$4:$X$13, 1),3)*IF(MOD(G301, 10) = 0, 10, MOD(G301, 10)))+INDEX(Factor!$AE$4:$AJ$13, _xlfn.XMATCH(MonsterData!$G301, Factor!$AE$4:$AE$13, 1),3))</f>
        <v>843.75</v>
      </c>
      <c r="W301" s="21" cm="1">
        <f t="array" ref="W301">N301*VLOOKUP($I301, Factor!$B$4:$G$8, 4, 0)*VLOOKUP($J301, Factor!$B$12:$G$13, 4, 0)*VLOOKUP($K301, Factor!$B$17:$G$18, 4, 0)*VLOOKUP($H301, Factor!$J$4:$O$7, 4, 0)*VLOOKUP($F301, Factor!$Q$4:$V$15, 4, 0)*IF(MOD($G301,10)=0, 10, MOD($G301, 10))*((INDEX(Factor!$X$4:$AC$13, _xlfn.XMATCH($G301, Factor!$X$4:$X$13, 1),4)*IF(MOD(G301, 10) = 0, 10, MOD(G301, 10)))+INDEX(Factor!$AE$4:$AJ$13, _xlfn.XMATCH(MonsterData!$G301, Factor!$AE$4:$AE$13, 1),4))</f>
        <v>1012.5</v>
      </c>
      <c r="X301" s="21" cm="1">
        <f t="array" ref="X301">O301*VLOOKUP($I301, Factor!$B$4:$G$8, 5, 0)*VLOOKUP($J301, Factor!$B$12:$G$13, 5, 0)*VLOOKUP($K301, Factor!$B$17:$G$18, 5, 0)*VLOOKUP($H301, Factor!$J$4:$O$7, 5, 0)*VLOOKUP($F301, Factor!$Q$4:$V$15, 5, 0)*IF(MOD($G301,10)=0, 10, MOD($G301, 10))*((INDEX(Factor!$X$4:$AC$13, _xlfn.XMATCH($G301, Factor!$X$4:$X$13, 1),5)*IF(MOD(G301, 10) = 0, 10, MOD(G301, 10)))+INDEX(Factor!$AE$4:$AJ$13, _xlfn.XMATCH(MonsterData!$G301, Factor!$AE$4:$AE$13, 1),5))</f>
        <v>101.25000000000001</v>
      </c>
      <c r="Y301" s="21" cm="1">
        <f t="array" ref="Y301">P301*VLOOKUP($I301, Factor!$B$4:$G$8, 6, 0)*VLOOKUP($J301, Factor!$B$12:$G$13, 6, 0)*VLOOKUP($K301, Factor!$B$17:$G$18, 6, 0)*VLOOKUP($H301, Factor!$J$4:$O$7, 2, 0)*VLOOKUP($F301, Factor!$Q$4:$V$15, 6, 0)*IF(MOD($G301,10)=0, 10, MOD($G301, 10))*((INDEX(Factor!$X$4:$AC$13, _xlfn.XMATCH($G301, Factor!$X$4:$X$13, 1),6)*IF(MOD(G301, 10) = 0, 10, MOD(G301, 10)))+INDEX(Factor!$AE$4:$AJ$13, _xlfn.XMATCH(MonsterData!$G301, Factor!$AE$4:$AE$13, 1),6))</f>
        <v>562.5</v>
      </c>
      <c r="Z301" s="21">
        <f>$Q301*VLOOKUP($J301, Factor!$B$12:$H$13, 7, 0)</f>
        <v>1</v>
      </c>
      <c r="AA301" s="13">
        <v>1</v>
      </c>
      <c r="AB301" s="21">
        <f t="shared" si="15"/>
        <v>0</v>
      </c>
      <c r="AC301" s="13" t="s">
        <v>139</v>
      </c>
      <c r="AD301" s="15" t="s">
        <v>387</v>
      </c>
    </row>
    <row r="302" spans="1:30" ht="15.75" customHeight="1">
      <c r="A302" s="16" t="str">
        <f>T302&amp;"_"&amp;F302&amp;VLOOKUP($C302, Factor!$AM$4:$AY$30, 7, 0)&amp;IF(COUNTIFS($C$4:C301, C302, $F$4:F301, F302)+1&gt;=100, COUNTIFS($C$4:C301, C302, $F$4:F301, F302)+1,IF(COUNTIFS($C$4:C301, C302, $F$4:F301, F302)+1&gt;=10, "0"&amp;COUNTIFS($C$4:C301, C302, $F$4:F301, F302)+1, "00"&amp;COUNTIFS($C$4:C301, C302, $F$4:F301, F302)+1))</f>
        <v>enpc_F05_A_Mantis_002</v>
      </c>
      <c r="B302" s="16"/>
      <c r="C302" s="16" t="s">
        <v>357</v>
      </c>
      <c r="D302" s="17" t="str">
        <f t="shared" si="14"/>
        <v>맨티스</v>
      </c>
      <c r="E302" s="17" t="str">
        <f>VLOOKUP($C302, Factor!$AM$4:$AY$30, 8, 0)</f>
        <v>S</v>
      </c>
      <c r="F302" s="17" t="s">
        <v>113</v>
      </c>
      <c r="G302" s="20">
        <v>45</v>
      </c>
      <c r="H302" s="16" t="s">
        <v>55</v>
      </c>
      <c r="I302" s="17" t="str">
        <f>VLOOKUP($C302, Factor!$AM$4:$AY$30, 11, 0)</f>
        <v>A</v>
      </c>
      <c r="J302" s="17" t="str">
        <f>VLOOKUP($C302, Factor!$AM$4:$AY$30, 12, 0)</f>
        <v>ml</v>
      </c>
      <c r="K302" s="17" t="str">
        <f>VLOOKUP($C302, Factor!$AM$4:$AY$30, 13, 0)</f>
        <v>L</v>
      </c>
      <c r="L302" s="17">
        <v>1</v>
      </c>
      <c r="M302" s="17">
        <v>1</v>
      </c>
      <c r="N302" s="17">
        <v>1</v>
      </c>
      <c r="O302" s="17">
        <v>1</v>
      </c>
      <c r="P302" s="17">
        <v>1</v>
      </c>
      <c r="Q302" s="17">
        <v>1</v>
      </c>
      <c r="R302" s="17" t="str">
        <f>VLOOKUP($C302, Factor!$AM$4:$AY$30, 9, 0)</f>
        <v>Small</v>
      </c>
      <c r="S302" s="17" t="s">
        <v>400</v>
      </c>
      <c r="T302" s="17" t="str">
        <f>VLOOKUP($C302, Factor!$AM$4:$AY$30, 10, 0)</f>
        <v>enpc</v>
      </c>
      <c r="U302" s="17" cm="1">
        <f t="array" ref="U302">L302*VLOOKUP($I302, Factor!$B$4:$G$8, 2, 0)*VLOOKUP($J302, Factor!$B$12:$G$13, 2, 0)*VLOOKUP($K302, Factor!$B$17:$G$18, 2, 0)*VLOOKUP($H302, Factor!$J$4:$O$7, 2, 0)*VLOOKUP($F302, Factor!$Q$4:$V$15, 2, 0)*IF(MOD($G302,10)=0, 10, MOD($G302, 10))*((INDEX(Factor!$X$4:$AC$13, _xlfn.XMATCH($G302, Factor!$X$4:$X$13, 1),2)*IF(MOD(G302, 10) = 0, 10, MOD(G302, 10)))+INDEX(Factor!$AE$4:$AJ$13, _xlfn.XMATCH(MonsterData!$G302, Factor!$AE$4:$AE$13, 1),2))</f>
        <v>16875</v>
      </c>
      <c r="V302" s="17" cm="1">
        <f t="array" ref="V302">M302*VLOOKUP($I302, Factor!$B$4:$G$8, 3, 0)*VLOOKUP($J302, Factor!$B$12:$G$13, 3, 0)*VLOOKUP($K302, Factor!$B$17:$G$18, 3, 0)*VLOOKUP($H302, Factor!$J$4:$O$7, 3, 0)*VLOOKUP($F302, Factor!$Q$4:$V$15, 3, 0)*IF(MOD($G302,10)=0, 10, MOD($G302, 10))*((INDEX(Factor!$X$4:$AC$13, _xlfn.XMATCH($G302, Factor!$X$4:$X$13, 1),3)*IF(MOD(G302, 10) = 0, 10, MOD(G302, 10)))+INDEX(Factor!$AE$4:$AJ$13, _xlfn.XMATCH(MonsterData!$G302, Factor!$AE$4:$AE$13, 1),3))</f>
        <v>843.75</v>
      </c>
      <c r="W302" s="17" cm="1">
        <f t="array" ref="W302">N302*VLOOKUP($I302, Factor!$B$4:$G$8, 4, 0)*VLOOKUP($J302, Factor!$B$12:$G$13, 4, 0)*VLOOKUP($K302, Factor!$B$17:$G$18, 4, 0)*VLOOKUP($H302, Factor!$J$4:$O$7, 4, 0)*VLOOKUP($F302, Factor!$Q$4:$V$15, 4, 0)*IF(MOD($G302,10)=0, 10, MOD($G302, 10))*((INDEX(Factor!$X$4:$AC$13, _xlfn.XMATCH($G302, Factor!$X$4:$X$13, 1),4)*IF(MOD(G302, 10) = 0, 10, MOD(G302, 10)))+INDEX(Factor!$AE$4:$AJ$13, _xlfn.XMATCH(MonsterData!$G302, Factor!$AE$4:$AE$13, 1),4))</f>
        <v>506.25</v>
      </c>
      <c r="X302" s="17" cm="1">
        <f t="array" ref="X302">O302*VLOOKUP($I302, Factor!$B$4:$G$8, 5, 0)*VLOOKUP($J302, Factor!$B$12:$G$13, 5, 0)*VLOOKUP($K302, Factor!$B$17:$G$18, 5, 0)*VLOOKUP($H302, Factor!$J$4:$O$7, 5, 0)*VLOOKUP($F302, Factor!$Q$4:$V$15, 5, 0)*IF(MOD($G302,10)=0, 10, MOD($G302, 10))*((INDEX(Factor!$X$4:$AC$13, _xlfn.XMATCH($G302, Factor!$X$4:$X$13, 1),5)*IF(MOD(G302, 10) = 0, 10, MOD(G302, 10)))+INDEX(Factor!$AE$4:$AJ$13, _xlfn.XMATCH(MonsterData!$G302, Factor!$AE$4:$AE$13, 1),5))</f>
        <v>112.5</v>
      </c>
      <c r="Y302" s="17" cm="1">
        <f t="array" ref="Y302">P302*VLOOKUP($I302, Factor!$B$4:$G$8, 6, 0)*VLOOKUP($J302, Factor!$B$12:$G$13, 6, 0)*VLOOKUP($K302, Factor!$B$17:$G$18, 6, 0)*VLOOKUP($H302, Factor!$J$4:$O$7, 2, 0)*VLOOKUP($F302, Factor!$Q$4:$V$15, 6, 0)*IF(MOD($G302,10)=0, 10, MOD($G302, 10))*((INDEX(Factor!$X$4:$AC$13, _xlfn.XMATCH($G302, Factor!$X$4:$X$13, 1),6)*IF(MOD(G302, 10) = 0, 10, MOD(G302, 10)))+INDEX(Factor!$AE$4:$AJ$13, _xlfn.XMATCH(MonsterData!$G302, Factor!$AE$4:$AE$13, 1),6))</f>
        <v>562.5</v>
      </c>
      <c r="Z302" s="17">
        <f>$Q302*VLOOKUP($J302, Factor!$B$12:$H$13, 7, 0)</f>
        <v>1</v>
      </c>
      <c r="AA302" s="17">
        <v>1</v>
      </c>
      <c r="AB302" s="17">
        <f t="shared" si="15"/>
        <v>0</v>
      </c>
      <c r="AC302" s="17" t="s">
        <v>139</v>
      </c>
      <c r="AD302" s="19" t="s">
        <v>387</v>
      </c>
    </row>
    <row r="303" spans="1:30" ht="15.75" customHeight="1">
      <c r="A303" s="13" t="str">
        <f>T303&amp;"_"&amp;F303&amp;VLOOKUP($C303, Factor!$AM$4:$AY$30, 7, 0)&amp;IF(COUNTIFS($C$4:C302, C303, $F$4:F302, F303)+1&gt;=100, COUNTIFS($C$4:C302, C303, $F$4:F302, F303)+1,IF(COUNTIFS($C$4:C302, C303, $F$4:F302, F303)+1&gt;=10, "0"&amp;COUNTIFS($C$4:C302, C303, $F$4:F302, F303)+1, "00"&amp;COUNTIFS($C$4:C302, C303, $F$4:F302, F303)+1))</f>
        <v>enpc_F05_B_Kobold_002</v>
      </c>
      <c r="B303" s="13"/>
      <c r="C303" s="13" t="s">
        <v>359</v>
      </c>
      <c r="D303" s="21" t="str">
        <f t="shared" si="14"/>
        <v>코볼트</v>
      </c>
      <c r="E303" s="21" t="str">
        <f>VLOOKUP($C303, Factor!$AM$4:$AY$30, 8, 0)</f>
        <v>M</v>
      </c>
      <c r="F303" s="21" t="s">
        <v>113</v>
      </c>
      <c r="G303" s="22">
        <v>71</v>
      </c>
      <c r="H303" s="13" t="s">
        <v>56</v>
      </c>
      <c r="I303" s="21" t="str">
        <f>VLOOKUP($C303, Factor!$AM$4:$AY$30, 11, 0)</f>
        <v>B</v>
      </c>
      <c r="J303" s="21" t="str">
        <f>VLOOKUP($C303, Factor!$AM$4:$AY$30, 12, 0)</f>
        <v>ml</v>
      </c>
      <c r="K303" s="21" t="str">
        <f>VLOOKUP($C303, Factor!$AM$4:$AY$30, 13, 0)</f>
        <v>L</v>
      </c>
      <c r="L303" s="13">
        <v>1</v>
      </c>
      <c r="M303" s="13">
        <v>1</v>
      </c>
      <c r="N303" s="13">
        <v>1</v>
      </c>
      <c r="O303" s="13">
        <v>1</v>
      </c>
      <c r="P303" s="13">
        <v>1</v>
      </c>
      <c r="Q303" s="13">
        <v>1</v>
      </c>
      <c r="R303" s="21" t="str">
        <f>VLOOKUP($C303, Factor!$AM$4:$AY$30, 9, 0)</f>
        <v>Small</v>
      </c>
      <c r="S303" s="13" t="s">
        <v>406</v>
      </c>
      <c r="T303" s="21" t="str">
        <f>VLOOKUP($C303, Factor!$AM$4:$AY$30, 10, 0)</f>
        <v>enpc</v>
      </c>
      <c r="U303" s="21" cm="1">
        <f t="array" ref="U303">L303*VLOOKUP($I303, Factor!$B$4:$G$8, 2, 0)*VLOOKUP($J303, Factor!$B$12:$G$13, 2, 0)*VLOOKUP($K303, Factor!$B$17:$G$18, 2, 0)*VLOOKUP($H303, Factor!$J$4:$O$7, 2, 0)*VLOOKUP($F303, Factor!$Q$4:$V$15, 2, 0)*IF(MOD($G303,10)=0, 10, MOD($G303, 10))*((INDEX(Factor!$X$4:$AC$13, _xlfn.XMATCH($G303, Factor!$X$4:$X$13, 1),2)*IF(MOD(G303, 10) = 0, 10, MOD(G303, 10)))+INDEX(Factor!$AE$4:$AJ$13, _xlfn.XMATCH(MonsterData!$G303, Factor!$AE$4:$AE$13, 1),2))</f>
        <v>38880</v>
      </c>
      <c r="V303" s="21" cm="1">
        <f t="array" ref="V303">M303*VLOOKUP($I303, Factor!$B$4:$G$8, 3, 0)*VLOOKUP($J303, Factor!$B$12:$G$13, 3, 0)*VLOOKUP($K303, Factor!$B$17:$G$18, 3, 0)*VLOOKUP($H303, Factor!$J$4:$O$7, 3, 0)*VLOOKUP($F303, Factor!$Q$4:$V$15, 3, 0)*IF(MOD($G303,10)=0, 10, MOD($G303, 10))*((INDEX(Factor!$X$4:$AC$13, _xlfn.XMATCH($G303, Factor!$X$4:$X$13, 1),3)*IF(MOD(G303, 10) = 0, 10, MOD(G303, 10)))+INDEX(Factor!$AE$4:$AJ$13, _xlfn.XMATCH(MonsterData!$G303, Factor!$AE$4:$AE$13, 1),3))</f>
        <v>1944</v>
      </c>
      <c r="W303" s="21" cm="1">
        <f t="array" ref="W303">N303*VLOOKUP($I303, Factor!$B$4:$G$8, 4, 0)*VLOOKUP($J303, Factor!$B$12:$G$13, 4, 0)*VLOOKUP($K303, Factor!$B$17:$G$18, 4, 0)*VLOOKUP($H303, Factor!$J$4:$O$7, 4, 0)*VLOOKUP($F303, Factor!$Q$4:$V$15, 4, 0)*IF(MOD($G303,10)=0, 10, MOD($G303, 10))*((INDEX(Factor!$X$4:$AC$13, _xlfn.XMATCH($G303, Factor!$X$4:$X$13, 1),4)*IF(MOD(G303, 10) = 0, 10, MOD(G303, 10)))+INDEX(Factor!$AE$4:$AJ$13, _xlfn.XMATCH(MonsterData!$G303, Factor!$AE$4:$AE$13, 1),4))</f>
        <v>3888</v>
      </c>
      <c r="X303" s="21" cm="1">
        <f t="array" ref="X303">O303*VLOOKUP($I303, Factor!$B$4:$G$8, 5, 0)*VLOOKUP($J303, Factor!$B$12:$G$13, 5, 0)*VLOOKUP($K303, Factor!$B$17:$G$18, 5, 0)*VLOOKUP($H303, Factor!$J$4:$O$7, 5, 0)*VLOOKUP($F303, Factor!$Q$4:$V$15, 5, 0)*IF(MOD($G303,10)=0, 10, MOD($G303, 10))*((INDEX(Factor!$X$4:$AC$13, _xlfn.XMATCH($G303, Factor!$X$4:$X$13, 1),5)*IF(MOD(G303, 10) = 0, 10, MOD(G303, 10)))+INDEX(Factor!$AE$4:$AJ$13, _xlfn.XMATCH(MonsterData!$G303, Factor!$AE$4:$AE$13, 1),5))</f>
        <v>93.312000000000012</v>
      </c>
      <c r="Y303" s="21" cm="1">
        <f t="array" ref="Y303">P303*VLOOKUP($I303, Factor!$B$4:$G$8, 6, 0)*VLOOKUP($J303, Factor!$B$12:$G$13, 6, 0)*VLOOKUP($K303, Factor!$B$17:$G$18, 6, 0)*VLOOKUP($H303, Factor!$J$4:$O$7, 2, 0)*VLOOKUP($F303, Factor!$Q$4:$V$15, 6, 0)*IF(MOD($G303,10)=0, 10, MOD($G303, 10))*((INDEX(Factor!$X$4:$AC$13, _xlfn.XMATCH($G303, Factor!$X$4:$X$13, 1),6)*IF(MOD(G303, 10) = 0, 10, MOD(G303, 10)))+INDEX(Factor!$AE$4:$AJ$13, _xlfn.XMATCH(MonsterData!$G303, Factor!$AE$4:$AE$13, 1),6))</f>
        <v>207.36</v>
      </c>
      <c r="Z303" s="21">
        <f>$Q303*VLOOKUP($J303, Factor!$B$12:$H$13, 7, 0)</f>
        <v>1</v>
      </c>
      <c r="AA303" s="13">
        <v>1</v>
      </c>
      <c r="AB303" s="21">
        <f t="shared" si="15"/>
        <v>0</v>
      </c>
      <c r="AC303" s="13" t="s">
        <v>393</v>
      </c>
      <c r="AD303" s="15" t="s">
        <v>388</v>
      </c>
    </row>
    <row r="304" spans="1:30" ht="15.75" customHeight="1">
      <c r="A304" s="16" t="str">
        <f>T304&amp;"_"&amp;F304&amp;VLOOKUP($C304, Factor!$AM$4:$AY$30, 7, 0)&amp;IF(COUNTIFS($C$4:C303, C304, $F$4:F303, F304)+1&gt;=100, COUNTIFS($C$4:C303, C304, $F$4:F303, F304)+1,IF(COUNTIFS($C$4:C303, C304, $F$4:F303, F304)+1&gt;=10, "0"&amp;COUNTIFS($C$4:C303, C304, $F$4:F303, F304)+1, "00"&amp;COUNTIFS($C$4:C303, C304, $F$4:F303, F304)+1))</f>
        <v>enpc_F05_B_Ghoul_002</v>
      </c>
      <c r="B304" s="16"/>
      <c r="C304" s="16" t="s">
        <v>361</v>
      </c>
      <c r="D304" s="17" t="str">
        <f t="shared" si="14"/>
        <v>구울</v>
      </c>
      <c r="E304" s="17" t="str">
        <f>VLOOKUP($C304, Factor!$AM$4:$AY$30, 8, 0)</f>
        <v>M</v>
      </c>
      <c r="F304" s="17" t="s">
        <v>113</v>
      </c>
      <c r="G304" s="20">
        <v>71</v>
      </c>
      <c r="H304" s="16" t="s">
        <v>55</v>
      </c>
      <c r="I304" s="17" t="str">
        <f>VLOOKUP($C304, Factor!$AM$4:$AY$30, 11, 0)</f>
        <v>B</v>
      </c>
      <c r="J304" s="17" t="str">
        <f>VLOOKUP($C304, Factor!$AM$4:$AY$30, 12, 0)</f>
        <v>ml</v>
      </c>
      <c r="K304" s="17" t="str">
        <f>VLOOKUP($C304, Factor!$AM$4:$AY$30, 13, 0)</f>
        <v>L</v>
      </c>
      <c r="L304" s="17">
        <v>1</v>
      </c>
      <c r="M304" s="17">
        <v>1</v>
      </c>
      <c r="N304" s="17">
        <v>1</v>
      </c>
      <c r="O304" s="17">
        <v>1</v>
      </c>
      <c r="P304" s="17">
        <v>1</v>
      </c>
      <c r="Q304" s="17">
        <v>1</v>
      </c>
      <c r="R304" s="17" t="str">
        <f>VLOOKUP($C304, Factor!$AM$4:$AY$30, 9, 0)</f>
        <v>Midium</v>
      </c>
      <c r="S304" s="17" t="s">
        <v>401</v>
      </c>
      <c r="T304" s="17" t="str">
        <f>VLOOKUP($C304, Factor!$AM$4:$AY$30, 10, 0)</f>
        <v>enpc</v>
      </c>
      <c r="U304" s="17" cm="1">
        <f t="array" ref="U304">L304*VLOOKUP($I304, Factor!$B$4:$G$8, 2, 0)*VLOOKUP($J304, Factor!$B$12:$G$13, 2, 0)*VLOOKUP($K304, Factor!$B$17:$G$18, 2, 0)*VLOOKUP($H304, Factor!$J$4:$O$7, 2, 0)*VLOOKUP($F304, Factor!$Q$4:$V$15, 2, 0)*IF(MOD($G304,10)=0, 10, MOD($G304, 10))*((INDEX(Factor!$X$4:$AC$13, _xlfn.XMATCH($G304, Factor!$X$4:$X$13, 1),2)*IF(MOD(G304, 10) = 0, 10, MOD(G304, 10)))+INDEX(Factor!$AE$4:$AJ$13, _xlfn.XMATCH(MonsterData!$G304, Factor!$AE$4:$AE$13, 1),2))</f>
        <v>38880</v>
      </c>
      <c r="V304" s="17" cm="1">
        <f t="array" ref="V304">M304*VLOOKUP($I304, Factor!$B$4:$G$8, 3, 0)*VLOOKUP($J304, Factor!$B$12:$G$13, 3, 0)*VLOOKUP($K304, Factor!$B$17:$G$18, 3, 0)*VLOOKUP($H304, Factor!$J$4:$O$7, 3, 0)*VLOOKUP($F304, Factor!$Q$4:$V$15, 3, 0)*IF(MOD($G304,10)=0, 10, MOD($G304, 10))*((INDEX(Factor!$X$4:$AC$13, _xlfn.XMATCH($G304, Factor!$X$4:$X$13, 1),3)*IF(MOD(G304, 10) = 0, 10, MOD(G304, 10)))+INDEX(Factor!$AE$4:$AJ$13, _xlfn.XMATCH(MonsterData!$G304, Factor!$AE$4:$AE$13, 1),3))</f>
        <v>1944</v>
      </c>
      <c r="W304" s="17" cm="1">
        <f t="array" ref="W304">N304*VLOOKUP($I304, Factor!$B$4:$G$8, 4, 0)*VLOOKUP($J304, Factor!$B$12:$G$13, 4, 0)*VLOOKUP($K304, Factor!$B$17:$G$18, 4, 0)*VLOOKUP($H304, Factor!$J$4:$O$7, 4, 0)*VLOOKUP($F304, Factor!$Q$4:$V$15, 4, 0)*IF(MOD($G304,10)=0, 10, MOD($G304, 10))*((INDEX(Factor!$X$4:$AC$13, _xlfn.XMATCH($G304, Factor!$X$4:$X$13, 1),4)*IF(MOD(G304, 10) = 0, 10, MOD(G304, 10)))+INDEX(Factor!$AE$4:$AJ$13, _xlfn.XMATCH(MonsterData!$G304, Factor!$AE$4:$AE$13, 1),4))</f>
        <v>1944</v>
      </c>
      <c r="X304" s="17" cm="1">
        <f t="array" ref="X304">O304*VLOOKUP($I304, Factor!$B$4:$G$8, 5, 0)*VLOOKUP($J304, Factor!$B$12:$G$13, 5, 0)*VLOOKUP($K304, Factor!$B$17:$G$18, 5, 0)*VLOOKUP($H304, Factor!$J$4:$O$7, 5, 0)*VLOOKUP($F304, Factor!$Q$4:$V$15, 5, 0)*IF(MOD($G304,10)=0, 10, MOD($G304, 10))*((INDEX(Factor!$X$4:$AC$13, _xlfn.XMATCH($G304, Factor!$X$4:$X$13, 1),5)*IF(MOD(G304, 10) = 0, 10, MOD(G304, 10)))+INDEX(Factor!$AE$4:$AJ$13, _xlfn.XMATCH(MonsterData!$G304, Factor!$AE$4:$AE$13, 1),5))</f>
        <v>103.68</v>
      </c>
      <c r="Y304" s="17" cm="1">
        <f t="array" ref="Y304">P304*VLOOKUP($I304, Factor!$B$4:$G$8, 6, 0)*VLOOKUP($J304, Factor!$B$12:$G$13, 6, 0)*VLOOKUP($K304, Factor!$B$17:$G$18, 6, 0)*VLOOKUP($H304, Factor!$J$4:$O$7, 2, 0)*VLOOKUP($F304, Factor!$Q$4:$V$15, 6, 0)*IF(MOD($G304,10)=0, 10, MOD($G304, 10))*((INDEX(Factor!$X$4:$AC$13, _xlfn.XMATCH($G304, Factor!$X$4:$X$13, 1),6)*IF(MOD(G304, 10) = 0, 10, MOD(G304, 10)))+INDEX(Factor!$AE$4:$AJ$13, _xlfn.XMATCH(MonsterData!$G304, Factor!$AE$4:$AE$13, 1),6))</f>
        <v>207.36</v>
      </c>
      <c r="Z304" s="17">
        <f>$Q304*VLOOKUP($J304, Factor!$B$12:$H$13, 7, 0)</f>
        <v>1</v>
      </c>
      <c r="AA304" s="17">
        <v>1</v>
      </c>
      <c r="AB304" s="17">
        <f t="shared" si="15"/>
        <v>0</v>
      </c>
      <c r="AC304" s="17" t="s">
        <v>394</v>
      </c>
      <c r="AD304" s="19" t="s">
        <v>389</v>
      </c>
    </row>
    <row r="305" spans="1:30" ht="15.75" customHeight="1">
      <c r="A305" s="13" t="str">
        <f>T305&amp;"_"&amp;F305&amp;VLOOKUP($C305, Factor!$AM$4:$AY$30, 7, 0)&amp;IF(COUNTIFS($C$4:C304, C305, $F$4:F304, F305)+1&gt;=100, COUNTIFS($C$4:C304, C305, $F$4:F304, F305)+1,IF(COUNTIFS($C$4:C304, C305, $F$4:F304, F305)+1&gt;=10, "0"&amp;COUNTIFS($C$4:C304, C305, $F$4:F304, F305)+1, "00"&amp;COUNTIFS($C$4:C304, C305, $F$4:F304, F305)+1))</f>
        <v>enpc_F05_B_Gorgon_002</v>
      </c>
      <c r="B305" s="13"/>
      <c r="C305" s="13" t="s">
        <v>363</v>
      </c>
      <c r="D305" s="21" t="str">
        <f t="shared" si="14"/>
        <v>고르곤</v>
      </c>
      <c r="E305" s="21" t="str">
        <f>VLOOKUP($C305, Factor!$AM$4:$AY$30, 8, 0)</f>
        <v>B</v>
      </c>
      <c r="F305" s="21" t="s">
        <v>113</v>
      </c>
      <c r="G305" s="22">
        <v>71</v>
      </c>
      <c r="H305" s="13" t="s">
        <v>56</v>
      </c>
      <c r="I305" s="21" t="str">
        <f>VLOOKUP($C305, Factor!$AM$4:$AY$30, 11, 0)</f>
        <v>B</v>
      </c>
      <c r="J305" s="21" t="str">
        <f>VLOOKUP($C305, Factor!$AM$4:$AY$30, 12, 0)</f>
        <v>ml</v>
      </c>
      <c r="K305" s="21" t="str">
        <f>VLOOKUP($C305, Factor!$AM$4:$AY$30, 13, 0)</f>
        <v>L</v>
      </c>
      <c r="L305" s="13">
        <v>1</v>
      </c>
      <c r="M305" s="13">
        <v>1</v>
      </c>
      <c r="N305" s="13">
        <v>1</v>
      </c>
      <c r="O305" s="13">
        <v>1</v>
      </c>
      <c r="P305" s="13">
        <v>1</v>
      </c>
      <c r="Q305" s="13">
        <v>1</v>
      </c>
      <c r="R305" s="21" t="str">
        <f>VLOOKUP($C305, Factor!$AM$4:$AY$30, 9, 0)</f>
        <v>Midium</v>
      </c>
      <c r="S305" s="13" t="s">
        <v>407</v>
      </c>
      <c r="T305" s="21" t="str">
        <f>VLOOKUP($C305, Factor!$AM$4:$AY$30, 10, 0)</f>
        <v>enpc</v>
      </c>
      <c r="U305" s="21" cm="1">
        <f t="array" ref="U305">L305*VLOOKUP($I305, Factor!$B$4:$G$8, 2, 0)*VLOOKUP($J305, Factor!$B$12:$G$13, 2, 0)*VLOOKUP($K305, Factor!$B$17:$G$18, 2, 0)*VLOOKUP($H305, Factor!$J$4:$O$7, 2, 0)*VLOOKUP($F305, Factor!$Q$4:$V$15, 2, 0)*IF(MOD($G305,10)=0, 10, MOD($G305, 10))*((INDEX(Factor!$X$4:$AC$13, _xlfn.XMATCH($G305, Factor!$X$4:$X$13, 1),2)*IF(MOD(G305, 10) = 0, 10, MOD(G305, 10)))+INDEX(Factor!$AE$4:$AJ$13, _xlfn.XMATCH(MonsterData!$G305, Factor!$AE$4:$AE$13, 1),2))</f>
        <v>38880</v>
      </c>
      <c r="V305" s="21" cm="1">
        <f t="array" ref="V305">M305*VLOOKUP($I305, Factor!$B$4:$G$8, 3, 0)*VLOOKUP($J305, Factor!$B$12:$G$13, 3, 0)*VLOOKUP($K305, Factor!$B$17:$G$18, 3, 0)*VLOOKUP($H305, Factor!$J$4:$O$7, 3, 0)*VLOOKUP($F305, Factor!$Q$4:$V$15, 3, 0)*IF(MOD($G305,10)=0, 10, MOD($G305, 10))*((INDEX(Factor!$X$4:$AC$13, _xlfn.XMATCH($G305, Factor!$X$4:$X$13, 1),3)*IF(MOD(G305, 10) = 0, 10, MOD(G305, 10)))+INDEX(Factor!$AE$4:$AJ$13, _xlfn.XMATCH(MonsterData!$G305, Factor!$AE$4:$AE$13, 1),3))</f>
        <v>1944</v>
      </c>
      <c r="W305" s="21" cm="1">
        <f t="array" ref="W305">N305*VLOOKUP($I305, Factor!$B$4:$G$8, 4, 0)*VLOOKUP($J305, Factor!$B$12:$G$13, 4, 0)*VLOOKUP($K305, Factor!$B$17:$G$18, 4, 0)*VLOOKUP($H305, Factor!$J$4:$O$7, 4, 0)*VLOOKUP($F305, Factor!$Q$4:$V$15, 4, 0)*IF(MOD($G305,10)=0, 10, MOD($G305, 10))*((INDEX(Factor!$X$4:$AC$13, _xlfn.XMATCH($G305, Factor!$X$4:$X$13, 1),4)*IF(MOD(G305, 10) = 0, 10, MOD(G305, 10)))+INDEX(Factor!$AE$4:$AJ$13, _xlfn.XMATCH(MonsterData!$G305, Factor!$AE$4:$AE$13, 1),4))</f>
        <v>3888</v>
      </c>
      <c r="X305" s="21" cm="1">
        <f t="array" ref="X305">O305*VLOOKUP($I305, Factor!$B$4:$G$8, 5, 0)*VLOOKUP($J305, Factor!$B$12:$G$13, 5, 0)*VLOOKUP($K305, Factor!$B$17:$G$18, 5, 0)*VLOOKUP($H305, Factor!$J$4:$O$7, 5, 0)*VLOOKUP($F305, Factor!$Q$4:$V$15, 5, 0)*IF(MOD($G305,10)=0, 10, MOD($G305, 10))*((INDEX(Factor!$X$4:$AC$13, _xlfn.XMATCH($G305, Factor!$X$4:$X$13, 1),5)*IF(MOD(G305, 10) = 0, 10, MOD(G305, 10)))+INDEX(Factor!$AE$4:$AJ$13, _xlfn.XMATCH(MonsterData!$G305, Factor!$AE$4:$AE$13, 1),5))</f>
        <v>93.312000000000012</v>
      </c>
      <c r="Y305" s="21" cm="1">
        <f t="array" ref="Y305">P305*VLOOKUP($I305, Factor!$B$4:$G$8, 6, 0)*VLOOKUP($J305, Factor!$B$12:$G$13, 6, 0)*VLOOKUP($K305, Factor!$B$17:$G$18, 6, 0)*VLOOKUP($H305, Factor!$J$4:$O$7, 2, 0)*VLOOKUP($F305, Factor!$Q$4:$V$15, 6, 0)*IF(MOD($G305,10)=0, 10, MOD($G305, 10))*((INDEX(Factor!$X$4:$AC$13, _xlfn.XMATCH($G305, Factor!$X$4:$X$13, 1),6)*IF(MOD(G305, 10) = 0, 10, MOD(G305, 10)))+INDEX(Factor!$AE$4:$AJ$13, _xlfn.XMATCH(MonsterData!$G305, Factor!$AE$4:$AE$13, 1),6))</f>
        <v>207.36</v>
      </c>
      <c r="Z305" s="21">
        <f>$Q305*VLOOKUP($J305, Factor!$B$12:$H$13, 7, 0)</f>
        <v>1</v>
      </c>
      <c r="AA305" s="13">
        <v>1</v>
      </c>
      <c r="AB305" s="21">
        <f t="shared" si="15"/>
        <v>0</v>
      </c>
      <c r="AC305" s="13" t="s">
        <v>395</v>
      </c>
      <c r="AD305" s="15" t="s">
        <v>390</v>
      </c>
    </row>
    <row r="306" spans="1:30" ht="15.75" customHeight="1">
      <c r="A306" s="16" t="str">
        <f>T306&amp;"_"&amp;F306&amp;VLOOKUP($C306, Factor!$AM$4:$AY$30, 7, 0)&amp;IF(COUNTIFS($C$4:C305, C306, $F$4:F305, F306)+1&gt;=100, COUNTIFS($C$4:C305, C306, $F$4:F305, F306)+1,IF(COUNTIFS($C$4:C305, C306, $F$4:F305, F306)+1&gt;=10, "0"&amp;COUNTIFS($C$4:C305, C306, $F$4:F305, F306)+1, "00"&amp;COUNTIFS($C$4:C305, C306, $F$4:F305, F306)+1))</f>
        <v>enpc_F05_B_Gargoyle_002</v>
      </c>
      <c r="B306" s="16"/>
      <c r="C306" s="16" t="s">
        <v>365</v>
      </c>
      <c r="D306" s="17" t="str">
        <f t="shared" si="14"/>
        <v>가고일</v>
      </c>
      <c r="E306" s="17" t="str">
        <f>VLOOKUP($C306, Factor!$AM$4:$AY$30, 8, 0)</f>
        <v>B</v>
      </c>
      <c r="F306" s="17" t="s">
        <v>113</v>
      </c>
      <c r="G306" s="20">
        <v>71</v>
      </c>
      <c r="H306" s="16" t="s">
        <v>55</v>
      </c>
      <c r="I306" s="17" t="str">
        <f>VLOOKUP($C306, Factor!$AM$4:$AY$30, 11, 0)</f>
        <v>B</v>
      </c>
      <c r="J306" s="17" t="str">
        <f>VLOOKUP($C306, Factor!$AM$4:$AY$30, 12, 0)</f>
        <v>ml</v>
      </c>
      <c r="K306" s="17" t="str">
        <f>VLOOKUP($C306, Factor!$AM$4:$AY$30, 13, 0)</f>
        <v>F</v>
      </c>
      <c r="L306" s="17">
        <v>1</v>
      </c>
      <c r="M306" s="17">
        <v>1</v>
      </c>
      <c r="N306" s="17">
        <v>1</v>
      </c>
      <c r="O306" s="17">
        <v>1</v>
      </c>
      <c r="P306" s="17">
        <v>1</v>
      </c>
      <c r="Q306" s="17">
        <v>1</v>
      </c>
      <c r="R306" s="17" t="str">
        <f>VLOOKUP($C306, Factor!$AM$4:$AY$30, 9, 0)</f>
        <v>Big</v>
      </c>
      <c r="S306" s="17" t="s">
        <v>402</v>
      </c>
      <c r="T306" s="17" t="str">
        <f>VLOOKUP($C306, Factor!$AM$4:$AY$30, 10, 0)</f>
        <v>enpc</v>
      </c>
      <c r="U306" s="17" cm="1">
        <f t="array" ref="U306">L306*VLOOKUP($I306, Factor!$B$4:$G$8, 2, 0)*VLOOKUP($J306, Factor!$B$12:$G$13, 2, 0)*VLOOKUP($K306, Factor!$B$17:$G$18, 2, 0)*VLOOKUP($H306, Factor!$J$4:$O$7, 2, 0)*VLOOKUP($F306, Factor!$Q$4:$V$15, 2, 0)*IF(MOD($G306,10)=0, 10, MOD($G306, 10))*((INDEX(Factor!$X$4:$AC$13, _xlfn.XMATCH($G306, Factor!$X$4:$X$13, 1),2)*IF(MOD(G306, 10) = 0, 10, MOD(G306, 10)))+INDEX(Factor!$AE$4:$AJ$13, _xlfn.XMATCH(MonsterData!$G306, Factor!$AE$4:$AE$13, 1),2))</f>
        <v>25920</v>
      </c>
      <c r="V306" s="17" cm="1">
        <f t="array" ref="V306">M306*VLOOKUP($I306, Factor!$B$4:$G$8, 3, 0)*VLOOKUP($J306, Factor!$B$12:$G$13, 3, 0)*VLOOKUP($K306, Factor!$B$17:$G$18, 3, 0)*VLOOKUP($H306, Factor!$J$4:$O$7, 3, 0)*VLOOKUP($F306, Factor!$Q$4:$V$15, 3, 0)*IF(MOD($G306,10)=0, 10, MOD($G306, 10))*((INDEX(Factor!$X$4:$AC$13, _xlfn.XMATCH($G306, Factor!$X$4:$X$13, 1),3)*IF(MOD(G306, 10) = 0, 10, MOD(G306, 10)))+INDEX(Factor!$AE$4:$AJ$13, _xlfn.XMATCH(MonsterData!$G306, Factor!$AE$4:$AE$13, 1),3))</f>
        <v>1296</v>
      </c>
      <c r="W306" s="17" cm="1">
        <f t="array" ref="W306">N306*VLOOKUP($I306, Factor!$B$4:$G$8, 4, 0)*VLOOKUP($J306, Factor!$B$12:$G$13, 4, 0)*VLOOKUP($K306, Factor!$B$17:$G$18, 4, 0)*VLOOKUP($H306, Factor!$J$4:$O$7, 4, 0)*VLOOKUP($F306, Factor!$Q$4:$V$15, 4, 0)*IF(MOD($G306,10)=0, 10, MOD($G306, 10))*((INDEX(Factor!$X$4:$AC$13, _xlfn.XMATCH($G306, Factor!$X$4:$X$13, 1),4)*IF(MOD(G306, 10) = 0, 10, MOD(G306, 10)))+INDEX(Factor!$AE$4:$AJ$13, _xlfn.XMATCH(MonsterData!$G306, Factor!$AE$4:$AE$13, 1),4))</f>
        <v>1296</v>
      </c>
      <c r="X306" s="17" cm="1">
        <f t="array" ref="X306">O306*VLOOKUP($I306, Factor!$B$4:$G$8, 5, 0)*VLOOKUP($J306, Factor!$B$12:$G$13, 5, 0)*VLOOKUP($K306, Factor!$B$17:$G$18, 5, 0)*VLOOKUP($H306, Factor!$J$4:$O$7, 5, 0)*VLOOKUP($F306, Factor!$Q$4:$V$15, 5, 0)*IF(MOD($G306,10)=0, 10, MOD($G306, 10))*((INDEX(Factor!$X$4:$AC$13, _xlfn.XMATCH($G306, Factor!$X$4:$X$13, 1),5)*IF(MOD(G306, 10) = 0, 10, MOD(G306, 10)))+INDEX(Factor!$AE$4:$AJ$13, _xlfn.XMATCH(MonsterData!$G306, Factor!$AE$4:$AE$13, 1),5))</f>
        <v>103.68</v>
      </c>
      <c r="Y306" s="17" cm="1">
        <f t="array" ref="Y306">P306*VLOOKUP($I306, Factor!$B$4:$G$8, 6, 0)*VLOOKUP($J306, Factor!$B$12:$G$13, 6, 0)*VLOOKUP($K306, Factor!$B$17:$G$18, 6, 0)*VLOOKUP($H306, Factor!$J$4:$O$7, 2, 0)*VLOOKUP($F306, Factor!$Q$4:$V$15, 6, 0)*IF(MOD($G306,10)=0, 10, MOD($G306, 10))*((INDEX(Factor!$X$4:$AC$13, _xlfn.XMATCH($G306, Factor!$X$4:$X$13, 1),6)*IF(MOD(G306, 10) = 0, 10, MOD(G306, 10)))+INDEX(Factor!$AE$4:$AJ$13, _xlfn.XMATCH(MonsterData!$G306, Factor!$AE$4:$AE$13, 1),6))</f>
        <v>622.08000000000004</v>
      </c>
      <c r="Z306" s="17">
        <f>$Q306*VLOOKUP($J306, Factor!$B$12:$H$13, 7, 0)</f>
        <v>1</v>
      </c>
      <c r="AA306" s="17">
        <v>1</v>
      </c>
      <c r="AB306" s="17">
        <f t="shared" si="15"/>
        <v>0</v>
      </c>
      <c r="AC306" s="17" t="s">
        <v>396</v>
      </c>
      <c r="AD306" s="19" t="s">
        <v>391</v>
      </c>
    </row>
    <row r="307" spans="1:30" ht="15.75" customHeight="1">
      <c r="A307" s="13" t="str">
        <f>T307&amp;"_"&amp;F307&amp;VLOOKUP($C307, Factor!$AM$4:$AY$30, 7, 0)&amp;IF(COUNTIFS($C$4:C306, C307, $F$4:F306, F307)+1&gt;=100, COUNTIFS($C$4:C306, C307, $F$4:F306, F307)+1,IF(COUNTIFS($C$4:C306, C307, $F$4:F306, F307)+1&gt;=10, "0"&amp;COUNTIFS($C$4:C306, C307, $F$4:F306, F307)+1, "00"&amp;COUNTIFS($C$4:C306, C307, $F$4:F306, F307)+1))</f>
        <v>enpc_F05_A_Lava_003</v>
      </c>
      <c r="B307" s="13"/>
      <c r="C307" s="13" t="s">
        <v>35</v>
      </c>
      <c r="D307" s="21" t="str">
        <f t="shared" si="14"/>
        <v>라바</v>
      </c>
      <c r="E307" s="21" t="str">
        <f>VLOOKUP($C307, Factor!$AM$4:$AY$30, 8, 0)</f>
        <v>S</v>
      </c>
      <c r="F307" s="21" t="s">
        <v>113</v>
      </c>
      <c r="G307" s="22">
        <v>47</v>
      </c>
      <c r="H307" s="13" t="s">
        <v>54</v>
      </c>
      <c r="I307" s="21" t="str">
        <f>VLOOKUP($C307, Factor!$AM$4:$AY$30, 11, 0)</f>
        <v>A</v>
      </c>
      <c r="J307" s="21" t="str">
        <f>VLOOKUP($C307, Factor!$AM$4:$AY$30, 12, 0)</f>
        <v>ml</v>
      </c>
      <c r="K307" s="21" t="str">
        <f>VLOOKUP($C307, Factor!$AM$4:$AY$30, 13, 0)</f>
        <v>L</v>
      </c>
      <c r="L307" s="13">
        <v>1</v>
      </c>
      <c r="M307" s="13">
        <v>1</v>
      </c>
      <c r="N307" s="13">
        <v>1</v>
      </c>
      <c r="O307" s="13">
        <v>1</v>
      </c>
      <c r="P307" s="13">
        <v>1</v>
      </c>
      <c r="Q307" s="13">
        <v>1</v>
      </c>
      <c r="R307" s="21" t="str">
        <f>VLOOKUP($C307, Factor!$AM$4:$AY$30, 9, 0)</f>
        <v>Small</v>
      </c>
      <c r="S307" s="13" t="s">
        <v>88</v>
      </c>
      <c r="T307" s="21" t="str">
        <f>VLOOKUP($C307, Factor!$AM$4:$AY$30, 10, 0)</f>
        <v>enpc</v>
      </c>
      <c r="U307" s="21" cm="1">
        <f t="array" ref="U307">L307*VLOOKUP($I307, Factor!$B$4:$G$8, 2, 0)*VLOOKUP($J307, Factor!$B$12:$G$13, 2, 0)*VLOOKUP($K307, Factor!$B$17:$G$18, 2, 0)*VLOOKUP($H307, Factor!$J$4:$O$7, 2, 0)*VLOOKUP($F307, Factor!$Q$4:$V$15, 2, 0)*IF(MOD($G307,10)=0, 10, MOD($G307, 10))*((INDEX(Factor!$X$4:$AC$13, _xlfn.XMATCH($G307, Factor!$X$4:$X$13, 1),2)*IF(MOD(G307, 10) = 0, 10, MOD(G307, 10)))+INDEX(Factor!$AE$4:$AJ$13, _xlfn.XMATCH(MonsterData!$G307, Factor!$AE$4:$AE$13, 1),2))</f>
        <v>20412</v>
      </c>
      <c r="V307" s="21" cm="1">
        <f t="array" ref="V307">M307*VLOOKUP($I307, Factor!$B$4:$G$8, 3, 0)*VLOOKUP($J307, Factor!$B$12:$G$13, 3, 0)*VLOOKUP($K307, Factor!$B$17:$G$18, 3, 0)*VLOOKUP($H307, Factor!$J$4:$O$7, 3, 0)*VLOOKUP($F307, Factor!$Q$4:$V$15, 3, 0)*IF(MOD($G307,10)=0, 10, MOD($G307, 10))*((INDEX(Factor!$X$4:$AC$13, _xlfn.XMATCH($G307, Factor!$X$4:$X$13, 1),3)*IF(MOD(G307, 10) = 0, 10, MOD(G307, 10)))+INDEX(Factor!$AE$4:$AJ$13, _xlfn.XMATCH(MonsterData!$G307, Factor!$AE$4:$AE$13, 1),3))</f>
        <v>1020.6000000000001</v>
      </c>
      <c r="W307" s="21" cm="1">
        <f t="array" ref="W307">N307*VLOOKUP($I307, Factor!$B$4:$G$8, 4, 0)*VLOOKUP($J307, Factor!$B$12:$G$13, 4, 0)*VLOOKUP($K307, Factor!$B$17:$G$18, 4, 0)*VLOOKUP($H307, Factor!$J$4:$O$7, 4, 0)*VLOOKUP($F307, Factor!$Q$4:$V$15, 4, 0)*IF(MOD($G307,10)=0, 10, MOD($G307, 10))*((INDEX(Factor!$X$4:$AC$13, _xlfn.XMATCH($G307, Factor!$X$4:$X$13, 1),4)*IF(MOD(G307, 10) = 0, 10, MOD(G307, 10)))+INDEX(Factor!$AE$4:$AJ$13, _xlfn.XMATCH(MonsterData!$G307, Factor!$AE$4:$AE$13, 1),4))</f>
        <v>612.36</v>
      </c>
      <c r="X307" s="21" cm="1">
        <f t="array" ref="X307">O307*VLOOKUP($I307, Factor!$B$4:$G$8, 5, 0)*VLOOKUP($J307, Factor!$B$12:$G$13, 5, 0)*VLOOKUP($K307, Factor!$B$17:$G$18, 5, 0)*VLOOKUP($H307, Factor!$J$4:$O$7, 5, 0)*VLOOKUP($F307, Factor!$Q$4:$V$15, 5, 0)*IF(MOD($G307,10)=0, 10, MOD($G307, 10))*((INDEX(Factor!$X$4:$AC$13, _xlfn.XMATCH($G307, Factor!$X$4:$X$13, 1),5)*IF(MOD(G307, 10) = 0, 10, MOD(G307, 10)))+INDEX(Factor!$AE$4:$AJ$13, _xlfn.XMATCH(MonsterData!$G307, Factor!$AE$4:$AE$13, 1),5))</f>
        <v>170.1</v>
      </c>
      <c r="Y307" s="21" cm="1">
        <f t="array" ref="Y307">P307*VLOOKUP($I307, Factor!$B$4:$G$8, 6, 0)*VLOOKUP($J307, Factor!$B$12:$G$13, 6, 0)*VLOOKUP($K307, Factor!$B$17:$G$18, 6, 0)*VLOOKUP($H307, Factor!$J$4:$O$7, 2, 0)*VLOOKUP($F307, Factor!$Q$4:$V$15, 6, 0)*IF(MOD($G307,10)=0, 10, MOD($G307, 10))*((INDEX(Factor!$X$4:$AC$13, _xlfn.XMATCH($G307, Factor!$X$4:$X$13, 1),6)*IF(MOD(G307, 10) = 0, 10, MOD(G307, 10)))+INDEX(Factor!$AE$4:$AJ$13, _xlfn.XMATCH(MonsterData!$G307, Factor!$AE$4:$AE$13, 1),6))</f>
        <v>680.4</v>
      </c>
      <c r="Z307" s="21">
        <f>$Q307*VLOOKUP($J307, Factor!$B$12:$H$13, 7, 0)</f>
        <v>1</v>
      </c>
      <c r="AA307" s="13">
        <v>1</v>
      </c>
      <c r="AB307" s="21">
        <f t="shared" si="15"/>
        <v>0</v>
      </c>
      <c r="AC307" s="13" t="s">
        <v>139</v>
      </c>
      <c r="AD307" s="15" t="s">
        <v>142</v>
      </c>
    </row>
    <row r="308" spans="1:30" ht="15.75" customHeight="1">
      <c r="A308" s="16" t="str">
        <f>T308&amp;"_"&amp;F308&amp;VLOOKUP($C308, Factor!$AM$4:$AY$30, 7, 0)&amp;IF(COUNTIFS($C$4:C307, C308, $F$4:F307, F308)+1&gt;=100, COUNTIFS($C$4:C307, C308, $F$4:F307, F308)+1,IF(COUNTIFS($C$4:C307, C308, $F$4:F307, F308)+1&gt;=10, "0"&amp;COUNTIFS($C$4:C307, C308, $F$4:F307, F308)+1, "00"&amp;COUNTIFS($C$4:C307, C308, $F$4:F307, F308)+1))</f>
        <v>enpc_F05_A_Cocoon_003</v>
      </c>
      <c r="B308" s="16"/>
      <c r="C308" s="16" t="s">
        <v>270</v>
      </c>
      <c r="D308" s="17" t="str">
        <f t="shared" si="14"/>
        <v>코쿤</v>
      </c>
      <c r="E308" s="17" t="str">
        <f>VLOOKUP($C308, Factor!$AM$4:$AY$30, 8, 0)</f>
        <v>M</v>
      </c>
      <c r="F308" s="17" t="s">
        <v>113</v>
      </c>
      <c r="G308" s="20">
        <v>47</v>
      </c>
      <c r="H308" s="16" t="s">
        <v>55</v>
      </c>
      <c r="I308" s="17" t="str">
        <f>VLOOKUP($C308, Factor!$AM$4:$AY$30, 11, 0)</f>
        <v>A</v>
      </c>
      <c r="J308" s="17" t="str">
        <f>VLOOKUP($C308, Factor!$AM$4:$AY$30, 12, 0)</f>
        <v>ml</v>
      </c>
      <c r="K308" s="17" t="str">
        <f>VLOOKUP($C308, Factor!$AM$4:$AY$30, 13, 0)</f>
        <v>L</v>
      </c>
      <c r="L308" s="17">
        <v>1</v>
      </c>
      <c r="M308" s="17">
        <v>1</v>
      </c>
      <c r="N308" s="17">
        <v>1</v>
      </c>
      <c r="O308" s="17">
        <v>1</v>
      </c>
      <c r="P308" s="17">
        <v>1</v>
      </c>
      <c r="Q308" s="17">
        <v>1</v>
      </c>
      <c r="R308" s="17" t="str">
        <f>VLOOKUP($C308, Factor!$AM$4:$AY$30, 9, 0)</f>
        <v>Midium</v>
      </c>
      <c r="S308" s="17" t="s">
        <v>196</v>
      </c>
      <c r="T308" s="17" t="str">
        <f>VLOOKUP($C308, Factor!$AM$4:$AY$30, 10, 0)</f>
        <v>enpc</v>
      </c>
      <c r="U308" s="17" cm="1">
        <f t="array" ref="U308">L308*VLOOKUP($I308, Factor!$B$4:$G$8, 2, 0)*VLOOKUP($J308, Factor!$B$12:$G$13, 2, 0)*VLOOKUP($K308, Factor!$B$17:$G$18, 2, 0)*VLOOKUP($H308, Factor!$J$4:$O$7, 2, 0)*VLOOKUP($F308, Factor!$Q$4:$V$15, 2, 0)*IF(MOD($G308,10)=0, 10, MOD($G308, 10))*((INDEX(Factor!$X$4:$AC$13, _xlfn.XMATCH($G308, Factor!$X$4:$X$13, 1),2)*IF(MOD(G308, 10) = 0, 10, MOD(G308, 10)))+INDEX(Factor!$AE$4:$AJ$13, _xlfn.XMATCH(MonsterData!$G308, Factor!$AE$4:$AE$13, 1),2))</f>
        <v>25515</v>
      </c>
      <c r="V308" s="17" cm="1">
        <f t="array" ref="V308">M308*VLOOKUP($I308, Factor!$B$4:$G$8, 3, 0)*VLOOKUP($J308, Factor!$B$12:$G$13, 3, 0)*VLOOKUP($K308, Factor!$B$17:$G$18, 3, 0)*VLOOKUP($H308, Factor!$J$4:$O$7, 3, 0)*VLOOKUP($F308, Factor!$Q$4:$V$15, 3, 0)*IF(MOD($G308,10)=0, 10, MOD($G308, 10))*((INDEX(Factor!$X$4:$AC$13, _xlfn.XMATCH($G308, Factor!$X$4:$X$13, 1),3)*IF(MOD(G308, 10) = 0, 10, MOD(G308, 10)))+INDEX(Factor!$AE$4:$AJ$13, _xlfn.XMATCH(MonsterData!$G308, Factor!$AE$4:$AE$13, 1),3))</f>
        <v>1275.75</v>
      </c>
      <c r="W308" s="17" cm="1">
        <f t="array" ref="W308">N308*VLOOKUP($I308, Factor!$B$4:$G$8, 4, 0)*VLOOKUP($J308, Factor!$B$12:$G$13, 4, 0)*VLOOKUP($K308, Factor!$B$17:$G$18, 4, 0)*VLOOKUP($H308, Factor!$J$4:$O$7, 4, 0)*VLOOKUP($F308, Factor!$Q$4:$V$15, 4, 0)*IF(MOD($G308,10)=0, 10, MOD($G308, 10))*((INDEX(Factor!$X$4:$AC$13, _xlfn.XMATCH($G308, Factor!$X$4:$X$13, 1),4)*IF(MOD(G308, 10) = 0, 10, MOD(G308, 10)))+INDEX(Factor!$AE$4:$AJ$13, _xlfn.XMATCH(MonsterData!$G308, Factor!$AE$4:$AE$13, 1),4))</f>
        <v>765.44999999999993</v>
      </c>
      <c r="X308" s="17" cm="1">
        <f t="array" ref="X308">O308*VLOOKUP($I308, Factor!$B$4:$G$8, 5, 0)*VLOOKUP($J308, Factor!$B$12:$G$13, 5, 0)*VLOOKUP($K308, Factor!$B$17:$G$18, 5, 0)*VLOOKUP($H308, Factor!$J$4:$O$7, 5, 0)*VLOOKUP($F308, Factor!$Q$4:$V$15, 5, 0)*IF(MOD($G308,10)=0, 10, MOD($G308, 10))*((INDEX(Factor!$X$4:$AC$13, _xlfn.XMATCH($G308, Factor!$X$4:$X$13, 1),5)*IF(MOD(G308, 10) = 0, 10, MOD(G308, 10)))+INDEX(Factor!$AE$4:$AJ$13, _xlfn.XMATCH(MonsterData!$G308, Factor!$AE$4:$AE$13, 1),5))</f>
        <v>170.1</v>
      </c>
      <c r="Y308" s="17" cm="1">
        <f t="array" ref="Y308">P308*VLOOKUP($I308, Factor!$B$4:$G$8, 6, 0)*VLOOKUP($J308, Factor!$B$12:$G$13, 6, 0)*VLOOKUP($K308, Factor!$B$17:$G$18, 6, 0)*VLOOKUP($H308, Factor!$J$4:$O$7, 2, 0)*VLOOKUP($F308, Factor!$Q$4:$V$15, 6, 0)*IF(MOD($G308,10)=0, 10, MOD($G308, 10))*((INDEX(Factor!$X$4:$AC$13, _xlfn.XMATCH($G308, Factor!$X$4:$X$13, 1),6)*IF(MOD(G308, 10) = 0, 10, MOD(G308, 10)))+INDEX(Factor!$AE$4:$AJ$13, _xlfn.XMATCH(MonsterData!$G308, Factor!$AE$4:$AE$13, 1),6))</f>
        <v>850.5</v>
      </c>
      <c r="Z308" s="17">
        <f>$Q308*VLOOKUP($J308, Factor!$B$12:$H$13, 7, 0)</f>
        <v>1</v>
      </c>
      <c r="AA308" s="17">
        <v>1</v>
      </c>
      <c r="AB308" s="17">
        <f t="shared" si="15"/>
        <v>0</v>
      </c>
      <c r="AC308" s="17" t="s">
        <v>139</v>
      </c>
      <c r="AD308" s="19" t="s">
        <v>142</v>
      </c>
    </row>
    <row r="309" spans="1:30" ht="15.75" customHeight="1">
      <c r="A309" s="13" t="str">
        <f>T309&amp;"_"&amp;F309&amp;VLOOKUP($C309, Factor!$AM$4:$AY$30, 7, 0)&amp;IF(COUNTIFS($C$4:C308, C309, $F$4:F308, F309)+1&gt;=100, COUNTIFS($C$4:C308, C309, $F$4:F308, F309)+1,IF(COUNTIFS($C$4:C308, C309, $F$4:F308, F309)+1&gt;=10, "0"&amp;COUNTIFS($C$4:C308, C309, $F$4:F308, F309)+1, "00"&amp;COUNTIFS($C$4:C308, C309, $F$4:F308, F309)+1))</f>
        <v>enpc_F05_A_Antlion_003</v>
      </c>
      <c r="B309" s="13"/>
      <c r="C309" s="13" t="s">
        <v>38</v>
      </c>
      <c r="D309" s="21" t="str">
        <f t="shared" si="14"/>
        <v>앤틸리온</v>
      </c>
      <c r="E309" s="21" t="str">
        <f>VLOOKUP($C309, Factor!$AM$4:$AY$30, 8, 0)</f>
        <v>M</v>
      </c>
      <c r="F309" s="21" t="s">
        <v>113</v>
      </c>
      <c r="G309" s="22">
        <v>47</v>
      </c>
      <c r="H309" s="13" t="s">
        <v>55</v>
      </c>
      <c r="I309" s="21" t="str">
        <f>VLOOKUP($C309, Factor!$AM$4:$AY$30, 11, 0)</f>
        <v>A</v>
      </c>
      <c r="J309" s="21" t="str">
        <f>VLOOKUP($C309, Factor!$AM$4:$AY$30, 12, 0)</f>
        <v>ra</v>
      </c>
      <c r="K309" s="21" t="str">
        <f>VLOOKUP($C309, Factor!$AM$4:$AY$30, 13, 0)</f>
        <v>L</v>
      </c>
      <c r="L309" s="13">
        <v>1</v>
      </c>
      <c r="M309" s="13">
        <v>1</v>
      </c>
      <c r="N309" s="13">
        <v>1</v>
      </c>
      <c r="O309" s="13">
        <v>1</v>
      </c>
      <c r="P309" s="13">
        <v>1</v>
      </c>
      <c r="Q309" s="13">
        <v>1</v>
      </c>
      <c r="R309" s="21" t="str">
        <f>VLOOKUP($C309, Factor!$AM$4:$AY$30, 9, 0)</f>
        <v>Midium</v>
      </c>
      <c r="S309" s="13" t="s">
        <v>397</v>
      </c>
      <c r="T309" s="21" t="str">
        <f>VLOOKUP($C309, Factor!$AM$4:$AY$30, 10, 0)</f>
        <v>enpc</v>
      </c>
      <c r="U309" s="21" cm="1">
        <f t="array" ref="U309">L309*VLOOKUP($I309, Factor!$B$4:$G$8, 2, 0)*VLOOKUP($J309, Factor!$B$12:$G$13, 2, 0)*VLOOKUP($K309, Factor!$B$17:$G$18, 2, 0)*VLOOKUP($H309, Factor!$J$4:$O$7, 2, 0)*VLOOKUP($F309, Factor!$Q$4:$V$15, 2, 0)*IF(MOD($G309,10)=0, 10, MOD($G309, 10))*((INDEX(Factor!$X$4:$AC$13, _xlfn.XMATCH($G309, Factor!$X$4:$X$13, 1),2)*IF(MOD(G309, 10) = 0, 10, MOD(G309, 10)))+INDEX(Factor!$AE$4:$AJ$13, _xlfn.XMATCH(MonsterData!$G309, Factor!$AE$4:$AE$13, 1),2))</f>
        <v>20412</v>
      </c>
      <c r="V309" s="21" cm="1">
        <f t="array" ref="V309">M309*VLOOKUP($I309, Factor!$B$4:$G$8, 3, 0)*VLOOKUP($J309, Factor!$B$12:$G$13, 3, 0)*VLOOKUP($K309, Factor!$B$17:$G$18, 3, 0)*VLOOKUP($H309, Factor!$J$4:$O$7, 3, 0)*VLOOKUP($F309, Factor!$Q$4:$V$15, 3, 0)*IF(MOD($G309,10)=0, 10, MOD($G309, 10))*((INDEX(Factor!$X$4:$AC$13, _xlfn.XMATCH($G309, Factor!$X$4:$X$13, 1),3)*IF(MOD(G309, 10) = 0, 10, MOD(G309, 10)))+INDEX(Factor!$AE$4:$AJ$13, _xlfn.XMATCH(MonsterData!$G309, Factor!$AE$4:$AE$13, 1),3))</f>
        <v>1020.6000000000001</v>
      </c>
      <c r="W309" s="21" cm="1">
        <f t="array" ref="W309">N309*VLOOKUP($I309, Factor!$B$4:$G$8, 4, 0)*VLOOKUP($J309, Factor!$B$12:$G$13, 4, 0)*VLOOKUP($K309, Factor!$B$17:$G$18, 4, 0)*VLOOKUP($H309, Factor!$J$4:$O$7, 4, 0)*VLOOKUP($F309, Factor!$Q$4:$V$15, 4, 0)*IF(MOD($G309,10)=0, 10, MOD($G309, 10))*((INDEX(Factor!$X$4:$AC$13, _xlfn.XMATCH($G309, Factor!$X$4:$X$13, 1),4)*IF(MOD(G309, 10) = 0, 10, MOD(G309, 10)))+INDEX(Factor!$AE$4:$AJ$13, _xlfn.XMATCH(MonsterData!$G309, Factor!$AE$4:$AE$13, 1),4))</f>
        <v>918.53999999999985</v>
      </c>
      <c r="X309" s="21" cm="1">
        <f t="array" ref="X309">O309*VLOOKUP($I309, Factor!$B$4:$G$8, 5, 0)*VLOOKUP($J309, Factor!$B$12:$G$13, 5, 0)*VLOOKUP($K309, Factor!$B$17:$G$18, 5, 0)*VLOOKUP($H309, Factor!$J$4:$O$7, 5, 0)*VLOOKUP($F309, Factor!$Q$4:$V$15, 5, 0)*IF(MOD($G309,10)=0, 10, MOD($G309, 10))*((INDEX(Factor!$X$4:$AC$13, _xlfn.XMATCH($G309, Factor!$X$4:$X$13, 1),5)*IF(MOD(G309, 10) = 0, 10, MOD(G309, 10)))+INDEX(Factor!$AE$4:$AJ$13, _xlfn.XMATCH(MonsterData!$G309, Factor!$AE$4:$AE$13, 1),5))</f>
        <v>255.15000000000003</v>
      </c>
      <c r="Y309" s="21" cm="1">
        <f t="array" ref="Y309">P309*VLOOKUP($I309, Factor!$B$4:$G$8, 6, 0)*VLOOKUP($J309, Factor!$B$12:$G$13, 6, 0)*VLOOKUP($K309, Factor!$B$17:$G$18, 6, 0)*VLOOKUP($H309, Factor!$J$4:$O$7, 2, 0)*VLOOKUP($F309, Factor!$Q$4:$V$15, 6, 0)*IF(MOD($G309,10)=0, 10, MOD($G309, 10))*((INDEX(Factor!$X$4:$AC$13, _xlfn.XMATCH($G309, Factor!$X$4:$X$13, 1),6)*IF(MOD(G309, 10) = 0, 10, MOD(G309, 10)))+INDEX(Factor!$AE$4:$AJ$13, _xlfn.XMATCH(MonsterData!$G309, Factor!$AE$4:$AE$13, 1),6))</f>
        <v>850.5</v>
      </c>
      <c r="Z309" s="21">
        <f>$Q309*VLOOKUP($J309, Factor!$B$12:$H$13, 7, 0)</f>
        <v>4</v>
      </c>
      <c r="AA309" s="13">
        <v>1</v>
      </c>
      <c r="AB309" s="21">
        <f t="shared" si="15"/>
        <v>4</v>
      </c>
      <c r="AC309" s="13" t="s">
        <v>139</v>
      </c>
      <c r="AD309" s="15" t="s">
        <v>142</v>
      </c>
    </row>
    <row r="310" spans="1:30" ht="15.75" customHeight="1">
      <c r="A310" s="16" t="str">
        <f>T310&amp;"_"&amp;F310&amp;VLOOKUP($C310, Factor!$AM$4:$AY$30, 7, 0)&amp;IF(COUNTIFS($C$4:C309, C310, $F$4:F309, F310)+1&gt;=100, COUNTIFS($C$4:C309, C310, $F$4:F309, F310)+1,IF(COUNTIFS($C$4:C309, C310, $F$4:F309, F310)+1&gt;=10, "0"&amp;COUNTIFS($C$4:C309, C310, $F$4:F309, F310)+1, "00"&amp;COUNTIFS($C$4:C309, C310, $F$4:F309, F310)+1))</f>
        <v>enpc_F05_A_Nymphe_003</v>
      </c>
      <c r="B310" s="16"/>
      <c r="C310" s="16" t="s">
        <v>39</v>
      </c>
      <c r="D310" s="17" t="str">
        <f t="shared" si="14"/>
        <v>님프</v>
      </c>
      <c r="E310" s="17" t="str">
        <f>VLOOKUP($C310, Factor!$AM$4:$AY$30, 8, 0)</f>
        <v>S</v>
      </c>
      <c r="F310" s="17" t="s">
        <v>113</v>
      </c>
      <c r="G310" s="20">
        <v>47</v>
      </c>
      <c r="H310" s="16" t="s">
        <v>55</v>
      </c>
      <c r="I310" s="17" t="str">
        <f>VLOOKUP($C310, Factor!$AM$4:$AY$30, 11, 0)</f>
        <v>A</v>
      </c>
      <c r="J310" s="17" t="str">
        <f>VLOOKUP($C310, Factor!$AM$4:$AY$30, 12, 0)</f>
        <v>ml</v>
      </c>
      <c r="K310" s="17" t="str">
        <f>VLOOKUP($C310, Factor!$AM$4:$AY$30, 13, 0)</f>
        <v>F</v>
      </c>
      <c r="L310" s="17">
        <v>1</v>
      </c>
      <c r="M310" s="17">
        <v>1</v>
      </c>
      <c r="N310" s="17">
        <v>1</v>
      </c>
      <c r="O310" s="17">
        <v>1</v>
      </c>
      <c r="P310" s="17">
        <v>1</v>
      </c>
      <c r="Q310" s="17">
        <v>1</v>
      </c>
      <c r="R310" s="17" t="str">
        <f>VLOOKUP($C310, Factor!$AM$4:$AY$30, 9, 0)</f>
        <v>Small</v>
      </c>
      <c r="S310" s="17" t="s">
        <v>197</v>
      </c>
      <c r="T310" s="17" t="str">
        <f>VLOOKUP($C310, Factor!$AM$4:$AY$30, 10, 0)</f>
        <v>enpc</v>
      </c>
      <c r="U310" s="17" cm="1">
        <f t="array" ref="U310">L310*VLOOKUP($I310, Factor!$B$4:$G$8, 2, 0)*VLOOKUP($J310, Factor!$B$12:$G$13, 2, 0)*VLOOKUP($K310, Factor!$B$17:$G$18, 2, 0)*VLOOKUP($H310, Factor!$J$4:$O$7, 2, 0)*VLOOKUP($F310, Factor!$Q$4:$V$15, 2, 0)*IF(MOD($G310,10)=0, 10, MOD($G310, 10))*((INDEX(Factor!$X$4:$AC$13, _xlfn.XMATCH($G310, Factor!$X$4:$X$13, 1),2)*IF(MOD(G310, 10) = 0, 10, MOD(G310, 10)))+INDEX(Factor!$AE$4:$AJ$13, _xlfn.XMATCH(MonsterData!$G310, Factor!$AE$4:$AE$13, 1),2))</f>
        <v>17010</v>
      </c>
      <c r="V310" s="17" cm="1">
        <f t="array" ref="V310">M310*VLOOKUP($I310, Factor!$B$4:$G$8, 3, 0)*VLOOKUP($J310, Factor!$B$12:$G$13, 3, 0)*VLOOKUP($K310, Factor!$B$17:$G$18, 3, 0)*VLOOKUP($H310, Factor!$J$4:$O$7, 3, 0)*VLOOKUP($F310, Factor!$Q$4:$V$15, 3, 0)*IF(MOD($G310,10)=0, 10, MOD($G310, 10))*((INDEX(Factor!$X$4:$AC$13, _xlfn.XMATCH($G310, Factor!$X$4:$X$13, 1),3)*IF(MOD(G310, 10) = 0, 10, MOD(G310, 10)))+INDEX(Factor!$AE$4:$AJ$13, _xlfn.XMATCH(MonsterData!$G310, Factor!$AE$4:$AE$13, 1),3))</f>
        <v>850.5</v>
      </c>
      <c r="W310" s="17" cm="1">
        <f t="array" ref="W310">N310*VLOOKUP($I310, Factor!$B$4:$G$8, 4, 0)*VLOOKUP($J310, Factor!$B$12:$G$13, 4, 0)*VLOOKUP($K310, Factor!$B$17:$G$18, 4, 0)*VLOOKUP($H310, Factor!$J$4:$O$7, 4, 0)*VLOOKUP($F310, Factor!$Q$4:$V$15, 4, 0)*IF(MOD($G310,10)=0, 10, MOD($G310, 10))*((INDEX(Factor!$X$4:$AC$13, _xlfn.XMATCH($G310, Factor!$X$4:$X$13, 1),4)*IF(MOD(G310, 10) = 0, 10, MOD(G310, 10)))+INDEX(Factor!$AE$4:$AJ$13, _xlfn.XMATCH(MonsterData!$G310, Factor!$AE$4:$AE$13, 1),4))</f>
        <v>510.30000000000007</v>
      </c>
      <c r="X310" s="17" cm="1">
        <f t="array" ref="X310">O310*VLOOKUP($I310, Factor!$B$4:$G$8, 5, 0)*VLOOKUP($J310, Factor!$B$12:$G$13, 5, 0)*VLOOKUP($K310, Factor!$B$17:$G$18, 5, 0)*VLOOKUP($H310, Factor!$J$4:$O$7, 5, 0)*VLOOKUP($F310, Factor!$Q$4:$V$15, 5, 0)*IF(MOD($G310,10)=0, 10, MOD($G310, 10))*((INDEX(Factor!$X$4:$AC$13, _xlfn.XMATCH($G310, Factor!$X$4:$X$13, 1),5)*IF(MOD(G310, 10) = 0, 10, MOD(G310, 10)))+INDEX(Factor!$AE$4:$AJ$13, _xlfn.XMATCH(MonsterData!$G310, Factor!$AE$4:$AE$13, 1),5))</f>
        <v>170.1</v>
      </c>
      <c r="Y310" s="17" cm="1">
        <f t="array" ref="Y310">P310*VLOOKUP($I310, Factor!$B$4:$G$8, 6, 0)*VLOOKUP($J310, Factor!$B$12:$G$13, 6, 0)*VLOOKUP($K310, Factor!$B$17:$G$18, 6, 0)*VLOOKUP($H310, Factor!$J$4:$O$7, 2, 0)*VLOOKUP($F310, Factor!$Q$4:$V$15, 6, 0)*IF(MOD($G310,10)=0, 10, MOD($G310, 10))*((INDEX(Factor!$X$4:$AC$13, _xlfn.XMATCH($G310, Factor!$X$4:$X$13, 1),6)*IF(MOD(G310, 10) = 0, 10, MOD(G310, 10)))+INDEX(Factor!$AE$4:$AJ$13, _xlfn.XMATCH(MonsterData!$G310, Factor!$AE$4:$AE$13, 1),6))</f>
        <v>2551.5</v>
      </c>
      <c r="Z310" s="17">
        <f>$Q310*VLOOKUP($J310, Factor!$B$12:$H$13, 7, 0)</f>
        <v>1</v>
      </c>
      <c r="AA310" s="17">
        <v>1</v>
      </c>
      <c r="AB310" s="17">
        <f t="shared" si="15"/>
        <v>0</v>
      </c>
      <c r="AC310" s="17" t="s">
        <v>139</v>
      </c>
      <c r="AD310" s="19" t="s">
        <v>142</v>
      </c>
    </row>
    <row r="311" spans="1:30" ht="15.75" customHeight="1">
      <c r="A311" s="13" t="str">
        <f>T311&amp;"_"&amp;F311&amp;VLOOKUP($C311, Factor!$AM$4:$AY$30, 7, 0)&amp;IF(COUNTIFS($C$4:C310, C311, $F$4:F310, F311)+1&gt;=100, COUNTIFS($C$4:C310, C311, $F$4:F310, F311)+1,IF(COUNTIFS($C$4:C310, C311, $F$4:F310, F311)+1&gt;=10, "0"&amp;COUNTIFS($C$4:C310, C311, $F$4:F310, F311)+1, "00"&amp;COUNTIFS($C$4:C310, C311, $F$4:F310, F311)+1))</f>
        <v>enpc_F05_B_Golem_003</v>
      </c>
      <c r="B311" s="13"/>
      <c r="C311" s="13" t="s">
        <v>40</v>
      </c>
      <c r="D311" s="21" t="str">
        <f t="shared" si="14"/>
        <v>골렘</v>
      </c>
      <c r="E311" s="21" t="str">
        <f>VLOOKUP($C311, Factor!$AM$4:$AY$30, 8, 0)</f>
        <v>B</v>
      </c>
      <c r="F311" s="21" t="s">
        <v>113</v>
      </c>
      <c r="G311" s="22">
        <v>74</v>
      </c>
      <c r="H311" s="13" t="s">
        <v>57</v>
      </c>
      <c r="I311" s="21" t="str">
        <f>VLOOKUP($C311, Factor!$AM$4:$AY$30, 11, 0)</f>
        <v>B</v>
      </c>
      <c r="J311" s="21" t="str">
        <f>VLOOKUP($C311, Factor!$AM$4:$AY$30, 12, 0)</f>
        <v>ml</v>
      </c>
      <c r="K311" s="21" t="str">
        <f>VLOOKUP($C311, Factor!$AM$4:$AY$30, 13, 0)</f>
        <v>L</v>
      </c>
      <c r="L311" s="13">
        <v>1</v>
      </c>
      <c r="M311" s="13">
        <v>1</v>
      </c>
      <c r="N311" s="13">
        <v>1</v>
      </c>
      <c r="O311" s="13">
        <v>1</v>
      </c>
      <c r="P311" s="13">
        <v>1</v>
      </c>
      <c r="Q311" s="13">
        <v>1</v>
      </c>
      <c r="R311" s="21" t="str">
        <f>VLOOKUP($C311, Factor!$AM$4:$AY$30, 9, 0)</f>
        <v>Big</v>
      </c>
      <c r="S311" s="13" t="s">
        <v>398</v>
      </c>
      <c r="T311" s="21" t="str">
        <f>VLOOKUP($C311, Factor!$AM$4:$AY$30, 10, 0)</f>
        <v>enpc</v>
      </c>
      <c r="U311" s="21" cm="1">
        <f t="array" ref="U311">L311*VLOOKUP($I311, Factor!$B$4:$G$8, 2, 0)*VLOOKUP($J311, Factor!$B$12:$G$13, 2, 0)*VLOOKUP($K311, Factor!$B$17:$G$18, 2, 0)*VLOOKUP($H311, Factor!$J$4:$O$7, 2, 0)*VLOOKUP($F311, Factor!$Q$4:$V$15, 2, 0)*IF(MOD($G311,10)=0, 10, MOD($G311, 10))*((INDEX(Factor!$X$4:$AC$13, _xlfn.XMATCH($G311, Factor!$X$4:$X$13, 1),2)*IF(MOD(G311, 10) = 0, 10, MOD(G311, 10)))+INDEX(Factor!$AE$4:$AJ$13, _xlfn.XMATCH(MonsterData!$G311, Factor!$AE$4:$AE$13, 1),2))</f>
        <v>336960</v>
      </c>
      <c r="V311" s="21" cm="1">
        <f t="array" ref="V311">M311*VLOOKUP($I311, Factor!$B$4:$G$8, 3, 0)*VLOOKUP($J311, Factor!$B$12:$G$13, 3, 0)*VLOOKUP($K311, Factor!$B$17:$G$18, 3, 0)*VLOOKUP($H311, Factor!$J$4:$O$7, 3, 0)*VLOOKUP($F311, Factor!$Q$4:$V$15, 3, 0)*IF(MOD($G311,10)=0, 10, MOD($G311, 10))*((INDEX(Factor!$X$4:$AC$13, _xlfn.XMATCH($G311, Factor!$X$4:$X$13, 1),3)*IF(MOD(G311, 10) = 0, 10, MOD(G311, 10)))+INDEX(Factor!$AE$4:$AJ$13, _xlfn.XMATCH(MonsterData!$G311, Factor!$AE$4:$AE$13, 1),3))</f>
        <v>16848</v>
      </c>
      <c r="W311" s="21" cm="1">
        <f t="array" ref="W311">N311*VLOOKUP($I311, Factor!$B$4:$G$8, 4, 0)*VLOOKUP($J311, Factor!$B$12:$G$13, 4, 0)*VLOOKUP($K311, Factor!$B$17:$G$18, 4, 0)*VLOOKUP($H311, Factor!$J$4:$O$7, 4, 0)*VLOOKUP($F311, Factor!$Q$4:$V$15, 4, 0)*IF(MOD($G311,10)=0, 10, MOD($G311, 10))*((INDEX(Factor!$X$4:$AC$13, _xlfn.XMATCH($G311, Factor!$X$4:$X$13, 1),4)*IF(MOD(G311, 10) = 0, 10, MOD(G311, 10)))+INDEX(Factor!$AE$4:$AJ$13, _xlfn.XMATCH(MonsterData!$G311, Factor!$AE$4:$AE$13, 1),4))</f>
        <v>842.4</v>
      </c>
      <c r="X311" s="21" cm="1">
        <f t="array" ref="X311">O311*VLOOKUP($I311, Factor!$B$4:$G$8, 5, 0)*VLOOKUP($J311, Factor!$B$12:$G$13, 5, 0)*VLOOKUP($K311, Factor!$B$17:$G$18, 5, 0)*VLOOKUP($H311, Factor!$J$4:$O$7, 5, 0)*VLOOKUP($F311, Factor!$Q$4:$V$15, 5, 0)*IF(MOD($G311,10)=0, 10, MOD($G311, 10))*((INDEX(Factor!$X$4:$AC$13, _xlfn.XMATCH($G311, Factor!$X$4:$X$13, 1),5)*IF(MOD(G311, 10) = 0, 10, MOD(G311, 10)))+INDEX(Factor!$AE$4:$AJ$13, _xlfn.XMATCH(MonsterData!$G311, Factor!$AE$4:$AE$13, 1),5))</f>
        <v>898.56</v>
      </c>
      <c r="Y311" s="21" cm="1">
        <f t="array" ref="Y311">P311*VLOOKUP($I311, Factor!$B$4:$G$8, 6, 0)*VLOOKUP($J311, Factor!$B$12:$G$13, 6, 0)*VLOOKUP($K311, Factor!$B$17:$G$18, 6, 0)*VLOOKUP($H311, Factor!$J$4:$O$7, 2, 0)*VLOOKUP($F311, Factor!$Q$4:$V$15, 6, 0)*IF(MOD($G311,10)=0, 10, MOD($G311, 10))*((INDEX(Factor!$X$4:$AC$13, _xlfn.XMATCH($G311, Factor!$X$4:$X$13, 1),6)*IF(MOD(G311, 10) = 0, 10, MOD(G311, 10)))+INDEX(Factor!$AE$4:$AJ$13, _xlfn.XMATCH(MonsterData!$G311, Factor!$AE$4:$AE$13, 1),6))</f>
        <v>1797.12</v>
      </c>
      <c r="Z311" s="21">
        <f>$Q311*VLOOKUP($J311, Factor!$B$12:$H$13, 7, 0)</f>
        <v>1</v>
      </c>
      <c r="AA311" s="13">
        <v>1</v>
      </c>
      <c r="AB311" s="21">
        <f t="shared" si="15"/>
        <v>0</v>
      </c>
      <c r="AC311" s="13" t="s">
        <v>140</v>
      </c>
      <c r="AD311" s="15" t="s">
        <v>143</v>
      </c>
    </row>
    <row r="312" spans="1:30" ht="15.75" customHeight="1">
      <c r="A312" s="16" t="str">
        <f>T312&amp;"_"&amp;F312&amp;VLOOKUP($C312, Factor!$AM$4:$AY$30, 7, 0)&amp;IF(COUNTIFS($C$4:C311, C312, $F$4:F311, F312)+1&gt;=100, COUNTIFS($C$4:C311, C312, $F$4:F311, F312)+1,IF(COUNTIFS($C$4:C311, C312, $F$4:F311, F312)+1&gt;=10, "0"&amp;COUNTIFS($C$4:C311, C312, $F$4:F311, F312)+1, "00"&amp;COUNTIFS($C$4:C311, C312, $F$4:F311, F312)+1))</f>
        <v>enpc_F05_B_Banshee_003</v>
      </c>
      <c r="B312" s="16"/>
      <c r="C312" s="16" t="s">
        <v>42</v>
      </c>
      <c r="D312" s="17" t="str">
        <f t="shared" si="14"/>
        <v>밴시</v>
      </c>
      <c r="E312" s="17" t="str">
        <f>VLOOKUP($C312, Factor!$AM$4:$AY$30, 8, 0)</f>
        <v>S</v>
      </c>
      <c r="F312" s="17" t="s">
        <v>113</v>
      </c>
      <c r="G312" s="20">
        <v>74</v>
      </c>
      <c r="H312" s="16" t="s">
        <v>56</v>
      </c>
      <c r="I312" s="17" t="str">
        <f>VLOOKUP($C312, Factor!$AM$4:$AY$30, 11, 0)</f>
        <v>B</v>
      </c>
      <c r="J312" s="17" t="str">
        <f>VLOOKUP($C312, Factor!$AM$4:$AY$30, 12, 0)</f>
        <v>ra</v>
      </c>
      <c r="K312" s="17" t="str">
        <f>VLOOKUP($C312, Factor!$AM$4:$AY$30, 13, 0)</f>
        <v>L</v>
      </c>
      <c r="L312" s="17">
        <v>1</v>
      </c>
      <c r="M312" s="17">
        <v>1</v>
      </c>
      <c r="N312" s="17">
        <v>1</v>
      </c>
      <c r="O312" s="17">
        <v>1</v>
      </c>
      <c r="P312" s="17">
        <v>1</v>
      </c>
      <c r="Q312" s="17">
        <v>1</v>
      </c>
      <c r="R312" s="17" t="str">
        <f>VLOOKUP($C312, Factor!$AM$4:$AY$30, 9, 0)</f>
        <v>Midium</v>
      </c>
      <c r="S312" s="17" t="s">
        <v>198</v>
      </c>
      <c r="T312" s="17" t="str">
        <f>VLOOKUP($C312, Factor!$AM$4:$AY$30, 10, 0)</f>
        <v>enpc</v>
      </c>
      <c r="U312" s="17" cm="1">
        <f t="array" ref="U312">L312*VLOOKUP($I312, Factor!$B$4:$G$8, 2, 0)*VLOOKUP($J312, Factor!$B$12:$G$13, 2, 0)*VLOOKUP($K312, Factor!$B$17:$G$18, 2, 0)*VLOOKUP($H312, Factor!$J$4:$O$7, 2, 0)*VLOOKUP($F312, Factor!$Q$4:$V$15, 2, 0)*IF(MOD($G312,10)=0, 10, MOD($G312, 10))*((INDEX(Factor!$X$4:$AC$13, _xlfn.XMATCH($G312, Factor!$X$4:$X$13, 1),2)*IF(MOD(G312, 10) = 0, 10, MOD(G312, 10)))+INDEX(Factor!$AE$4:$AJ$13, _xlfn.XMATCH(MonsterData!$G312, Factor!$AE$4:$AE$13, 1),2))</f>
        <v>134784</v>
      </c>
      <c r="V312" s="17" cm="1">
        <f t="array" ref="V312">M312*VLOOKUP($I312, Factor!$B$4:$G$8, 3, 0)*VLOOKUP($J312, Factor!$B$12:$G$13, 3, 0)*VLOOKUP($K312, Factor!$B$17:$G$18, 3, 0)*VLOOKUP($H312, Factor!$J$4:$O$7, 3, 0)*VLOOKUP($F312, Factor!$Q$4:$V$15, 3, 0)*IF(MOD($G312,10)=0, 10, MOD($G312, 10))*((INDEX(Factor!$X$4:$AC$13, _xlfn.XMATCH($G312, Factor!$X$4:$X$13, 1),3)*IF(MOD(G312, 10) = 0, 10, MOD(G312, 10)))+INDEX(Factor!$AE$4:$AJ$13, _xlfn.XMATCH(MonsterData!$G312, Factor!$AE$4:$AE$13, 1),3))</f>
        <v>6739.2</v>
      </c>
      <c r="W312" s="17" cm="1">
        <f t="array" ref="W312">N312*VLOOKUP($I312, Factor!$B$4:$G$8, 4, 0)*VLOOKUP($J312, Factor!$B$12:$G$13, 4, 0)*VLOOKUP($K312, Factor!$B$17:$G$18, 4, 0)*VLOOKUP($H312, Factor!$J$4:$O$7, 4, 0)*VLOOKUP($F312, Factor!$Q$4:$V$15, 4, 0)*IF(MOD($G312,10)=0, 10, MOD($G312, 10))*((INDEX(Factor!$X$4:$AC$13, _xlfn.XMATCH($G312, Factor!$X$4:$X$13, 1),4)*IF(MOD(G312, 10) = 0, 10, MOD(G312, 10)))+INDEX(Factor!$AE$4:$AJ$13, _xlfn.XMATCH(MonsterData!$G312, Factor!$AE$4:$AE$13, 1),4))</f>
        <v>20217.599999999999</v>
      </c>
      <c r="X312" s="17" cm="1">
        <f t="array" ref="X312">O312*VLOOKUP($I312, Factor!$B$4:$G$8, 5, 0)*VLOOKUP($J312, Factor!$B$12:$G$13, 5, 0)*VLOOKUP($K312, Factor!$B$17:$G$18, 5, 0)*VLOOKUP($H312, Factor!$J$4:$O$7, 5, 0)*VLOOKUP($F312, Factor!$Q$4:$V$15, 5, 0)*IF(MOD($G312,10)=0, 10, MOD($G312, 10))*((INDEX(Factor!$X$4:$AC$13, _xlfn.XMATCH($G312, Factor!$X$4:$X$13, 1),5)*IF(MOD(G312, 10) = 0, 10, MOD(G312, 10)))+INDEX(Factor!$AE$4:$AJ$13, _xlfn.XMATCH(MonsterData!$G312, Factor!$AE$4:$AE$13, 1),5))</f>
        <v>606.52800000000002</v>
      </c>
      <c r="Y312" s="17" cm="1">
        <f t="array" ref="Y312">P312*VLOOKUP($I312, Factor!$B$4:$G$8, 6, 0)*VLOOKUP($J312, Factor!$B$12:$G$13, 6, 0)*VLOOKUP($K312, Factor!$B$17:$G$18, 6, 0)*VLOOKUP($H312, Factor!$J$4:$O$7, 2, 0)*VLOOKUP($F312, Factor!$Q$4:$V$15, 6, 0)*IF(MOD($G312,10)=0, 10, MOD($G312, 10))*((INDEX(Factor!$X$4:$AC$13, _xlfn.XMATCH($G312, Factor!$X$4:$X$13, 1),6)*IF(MOD(G312, 10) = 0, 10, MOD(G312, 10)))+INDEX(Factor!$AE$4:$AJ$13, _xlfn.XMATCH(MonsterData!$G312, Factor!$AE$4:$AE$13, 1),6))</f>
        <v>898.56</v>
      </c>
      <c r="Z312" s="17">
        <f>$Q312*VLOOKUP($J312, Factor!$B$12:$H$13, 7, 0)</f>
        <v>4</v>
      </c>
      <c r="AA312" s="17">
        <v>1</v>
      </c>
      <c r="AB312" s="17">
        <f t="shared" si="15"/>
        <v>4</v>
      </c>
      <c r="AC312" s="17" t="s">
        <v>141</v>
      </c>
      <c r="AD312" s="19" t="s">
        <v>144</v>
      </c>
    </row>
    <row r="313" spans="1:30" ht="15.75" customHeight="1">
      <c r="A313" s="13" t="str">
        <f>T313&amp;"_"&amp;F313&amp;VLOOKUP($C313, Factor!$AM$4:$AY$30, 7, 0)&amp;IF(COUNTIFS($C$4:C312, C313, $F$4:F312, F313)+1&gt;=100, COUNTIFS($C$4:C312, C313, $F$4:F312, F313)+1,IF(COUNTIFS($C$4:C312, C313, $F$4:F312, F313)+1&gt;=10, "0"&amp;COUNTIFS($C$4:C312, C313, $F$4:F312, F313)+1, "00"&amp;COUNTIFS($C$4:C312, C313, $F$4:F312, F313)+1))</f>
        <v>enpc_F05_A_Scarab_003</v>
      </c>
      <c r="B313" s="13"/>
      <c r="C313" s="13" t="s">
        <v>353</v>
      </c>
      <c r="D313" s="21" t="str">
        <f t="shared" si="14"/>
        <v>스캐럽</v>
      </c>
      <c r="E313" s="21" t="str">
        <f>VLOOKUP($C313, Factor!$AM$4:$AY$30, 8, 0)</f>
        <v>S</v>
      </c>
      <c r="F313" s="21" t="s">
        <v>113</v>
      </c>
      <c r="G313" s="22">
        <v>47</v>
      </c>
      <c r="H313" s="13" t="s">
        <v>55</v>
      </c>
      <c r="I313" s="21" t="str">
        <f>VLOOKUP($C313, Factor!$AM$4:$AY$30, 11, 0)</f>
        <v>A</v>
      </c>
      <c r="J313" s="21" t="str">
        <f>VLOOKUP($C313, Factor!$AM$4:$AY$30, 12, 0)</f>
        <v>ml</v>
      </c>
      <c r="K313" s="21" t="str">
        <f>VLOOKUP($C313, Factor!$AM$4:$AY$30, 13, 0)</f>
        <v>L</v>
      </c>
      <c r="L313" s="13">
        <v>1</v>
      </c>
      <c r="M313" s="13">
        <v>1</v>
      </c>
      <c r="N313" s="13">
        <v>1</v>
      </c>
      <c r="O313" s="13">
        <v>1</v>
      </c>
      <c r="P313" s="13">
        <v>1</v>
      </c>
      <c r="Q313" s="13">
        <v>1</v>
      </c>
      <c r="R313" s="21" t="str">
        <f>VLOOKUP($C313, Factor!$AM$4:$AY$30, 9, 0)</f>
        <v>Midium</v>
      </c>
      <c r="S313" s="13" t="s">
        <v>399</v>
      </c>
      <c r="T313" s="21" t="str">
        <f>VLOOKUP($C313, Factor!$AM$4:$AY$30, 10, 0)</f>
        <v>enpc</v>
      </c>
      <c r="U313" s="21" cm="1">
        <f t="array" ref="U313">L313*VLOOKUP($I313, Factor!$B$4:$G$8, 2, 0)*VLOOKUP($J313, Factor!$B$12:$G$13, 2, 0)*VLOOKUP($K313, Factor!$B$17:$G$18, 2, 0)*VLOOKUP($H313, Factor!$J$4:$O$7, 2, 0)*VLOOKUP($F313, Factor!$Q$4:$V$15, 2, 0)*IF(MOD($G313,10)=0, 10, MOD($G313, 10))*((INDEX(Factor!$X$4:$AC$13, _xlfn.XMATCH($G313, Factor!$X$4:$X$13, 1),2)*IF(MOD(G313, 10) = 0, 10, MOD(G313, 10)))+INDEX(Factor!$AE$4:$AJ$13, _xlfn.XMATCH(MonsterData!$G313, Factor!$AE$4:$AE$13, 1),2))</f>
        <v>25515</v>
      </c>
      <c r="V313" s="21" cm="1">
        <f t="array" ref="V313">M313*VLOOKUP($I313, Factor!$B$4:$G$8, 3, 0)*VLOOKUP($J313, Factor!$B$12:$G$13, 3, 0)*VLOOKUP($K313, Factor!$B$17:$G$18, 3, 0)*VLOOKUP($H313, Factor!$J$4:$O$7, 3, 0)*VLOOKUP($F313, Factor!$Q$4:$V$15, 3, 0)*IF(MOD($G313,10)=0, 10, MOD($G313, 10))*((INDEX(Factor!$X$4:$AC$13, _xlfn.XMATCH($G313, Factor!$X$4:$X$13, 1),3)*IF(MOD(G313, 10) = 0, 10, MOD(G313, 10)))+INDEX(Factor!$AE$4:$AJ$13, _xlfn.XMATCH(MonsterData!$G313, Factor!$AE$4:$AE$13, 1),3))</f>
        <v>1275.75</v>
      </c>
      <c r="W313" s="21" cm="1">
        <f t="array" ref="W313">N313*VLOOKUP($I313, Factor!$B$4:$G$8, 4, 0)*VLOOKUP($J313, Factor!$B$12:$G$13, 4, 0)*VLOOKUP($K313, Factor!$B$17:$G$18, 4, 0)*VLOOKUP($H313, Factor!$J$4:$O$7, 4, 0)*VLOOKUP($F313, Factor!$Q$4:$V$15, 4, 0)*IF(MOD($G313,10)=0, 10, MOD($G313, 10))*((INDEX(Factor!$X$4:$AC$13, _xlfn.XMATCH($G313, Factor!$X$4:$X$13, 1),4)*IF(MOD(G313, 10) = 0, 10, MOD(G313, 10)))+INDEX(Factor!$AE$4:$AJ$13, _xlfn.XMATCH(MonsterData!$G313, Factor!$AE$4:$AE$13, 1),4))</f>
        <v>765.44999999999993</v>
      </c>
      <c r="X313" s="21" cm="1">
        <f t="array" ref="X313">O313*VLOOKUP($I313, Factor!$B$4:$G$8, 5, 0)*VLOOKUP($J313, Factor!$B$12:$G$13, 5, 0)*VLOOKUP($K313, Factor!$B$17:$G$18, 5, 0)*VLOOKUP($H313, Factor!$J$4:$O$7, 5, 0)*VLOOKUP($F313, Factor!$Q$4:$V$15, 5, 0)*IF(MOD($G313,10)=0, 10, MOD($G313, 10))*((INDEX(Factor!$X$4:$AC$13, _xlfn.XMATCH($G313, Factor!$X$4:$X$13, 1),5)*IF(MOD(G313, 10) = 0, 10, MOD(G313, 10)))+INDEX(Factor!$AE$4:$AJ$13, _xlfn.XMATCH(MonsterData!$G313, Factor!$AE$4:$AE$13, 1),5))</f>
        <v>170.1</v>
      </c>
      <c r="Y313" s="21" cm="1">
        <f t="array" ref="Y313">P313*VLOOKUP($I313, Factor!$B$4:$G$8, 6, 0)*VLOOKUP($J313, Factor!$B$12:$G$13, 6, 0)*VLOOKUP($K313, Factor!$B$17:$G$18, 6, 0)*VLOOKUP($H313, Factor!$J$4:$O$7, 2, 0)*VLOOKUP($F313, Factor!$Q$4:$V$15, 6, 0)*IF(MOD($G313,10)=0, 10, MOD($G313, 10))*((INDEX(Factor!$X$4:$AC$13, _xlfn.XMATCH($G313, Factor!$X$4:$X$13, 1),6)*IF(MOD(G313, 10) = 0, 10, MOD(G313, 10)))+INDEX(Factor!$AE$4:$AJ$13, _xlfn.XMATCH(MonsterData!$G313, Factor!$AE$4:$AE$13, 1),6))</f>
        <v>850.5</v>
      </c>
      <c r="Z313" s="21">
        <f>$Q313*VLOOKUP($J313, Factor!$B$12:$H$13, 7, 0)</f>
        <v>1</v>
      </c>
      <c r="AA313" s="13">
        <v>1</v>
      </c>
      <c r="AB313" s="21">
        <f t="shared" si="15"/>
        <v>0</v>
      </c>
      <c r="AC313" s="13" t="s">
        <v>139</v>
      </c>
      <c r="AD313" s="15" t="s">
        <v>387</v>
      </c>
    </row>
    <row r="314" spans="1:30" ht="15.75" customHeight="1">
      <c r="A314" s="16" t="str">
        <f>T314&amp;"_"&amp;F314&amp;VLOOKUP($C314, Factor!$AM$4:$AY$30, 7, 0)&amp;IF(COUNTIFS($C$4:C313, C314, $F$4:F313, F314)+1&gt;=100, COUNTIFS($C$4:C313, C314, $F$4:F313, F314)+1,IF(COUNTIFS($C$4:C313, C314, $F$4:F313, F314)+1&gt;=10, "0"&amp;COUNTIFS($C$4:C313, C314, $F$4:F313, F314)+1, "00"&amp;COUNTIFS($C$4:C313, C314, $F$4:F313, F314)+1))</f>
        <v>enpc_F05_A_Swarmlet_003</v>
      </c>
      <c r="B314" s="16"/>
      <c r="C314" s="16" t="s">
        <v>355</v>
      </c>
      <c r="D314" s="17" t="str">
        <f t="shared" si="14"/>
        <v>스웜렛</v>
      </c>
      <c r="E314" s="17" t="str">
        <f>VLOOKUP($C314, Factor!$AM$4:$AY$30, 8, 0)</f>
        <v>B</v>
      </c>
      <c r="F314" s="17" t="s">
        <v>113</v>
      </c>
      <c r="G314" s="20">
        <v>47</v>
      </c>
      <c r="H314" s="16" t="s">
        <v>56</v>
      </c>
      <c r="I314" s="17" t="str">
        <f>VLOOKUP($C314, Factor!$AM$4:$AY$30, 11, 0)</f>
        <v>A</v>
      </c>
      <c r="J314" s="17" t="str">
        <f>VLOOKUP($C314, Factor!$AM$4:$AY$30, 12, 0)</f>
        <v>ml</v>
      </c>
      <c r="K314" s="17" t="str">
        <f>VLOOKUP($C314, Factor!$AM$4:$AY$30, 13, 0)</f>
        <v>L</v>
      </c>
      <c r="L314" s="17">
        <v>1</v>
      </c>
      <c r="M314" s="17">
        <v>1</v>
      </c>
      <c r="N314" s="17">
        <v>1</v>
      </c>
      <c r="O314" s="17">
        <v>1</v>
      </c>
      <c r="P314" s="17">
        <v>1</v>
      </c>
      <c r="Q314" s="17">
        <v>1</v>
      </c>
      <c r="R314" s="17" t="str">
        <f>VLOOKUP($C314, Factor!$AM$4:$AY$30, 9, 0)</f>
        <v>Small</v>
      </c>
      <c r="S314" s="17" t="s">
        <v>376</v>
      </c>
      <c r="T314" s="17" t="str">
        <f>VLOOKUP($C314, Factor!$AM$4:$AY$30, 10, 0)</f>
        <v>enpc</v>
      </c>
      <c r="U314" s="17" cm="1">
        <f t="array" ref="U314">L314*VLOOKUP($I314, Factor!$B$4:$G$8, 2, 0)*VLOOKUP($J314, Factor!$B$12:$G$13, 2, 0)*VLOOKUP($K314, Factor!$B$17:$G$18, 2, 0)*VLOOKUP($H314, Factor!$J$4:$O$7, 2, 0)*VLOOKUP($F314, Factor!$Q$4:$V$15, 2, 0)*IF(MOD($G314,10)=0, 10, MOD($G314, 10))*((INDEX(Factor!$X$4:$AC$13, _xlfn.XMATCH($G314, Factor!$X$4:$X$13, 1),2)*IF(MOD(G314, 10) = 0, 10, MOD(G314, 10)))+INDEX(Factor!$AE$4:$AJ$13, _xlfn.XMATCH(MonsterData!$G314, Factor!$AE$4:$AE$13, 1),2))</f>
        <v>25515</v>
      </c>
      <c r="V314" s="17" cm="1">
        <f t="array" ref="V314">M314*VLOOKUP($I314, Factor!$B$4:$G$8, 3, 0)*VLOOKUP($J314, Factor!$B$12:$G$13, 3, 0)*VLOOKUP($K314, Factor!$B$17:$G$18, 3, 0)*VLOOKUP($H314, Factor!$J$4:$O$7, 3, 0)*VLOOKUP($F314, Factor!$Q$4:$V$15, 3, 0)*IF(MOD($G314,10)=0, 10, MOD($G314, 10))*((INDEX(Factor!$X$4:$AC$13, _xlfn.XMATCH($G314, Factor!$X$4:$X$13, 1),3)*IF(MOD(G314, 10) = 0, 10, MOD(G314, 10)))+INDEX(Factor!$AE$4:$AJ$13, _xlfn.XMATCH(MonsterData!$G314, Factor!$AE$4:$AE$13, 1),3))</f>
        <v>1275.75</v>
      </c>
      <c r="W314" s="17" cm="1">
        <f t="array" ref="W314">N314*VLOOKUP($I314, Factor!$B$4:$G$8, 4, 0)*VLOOKUP($J314, Factor!$B$12:$G$13, 4, 0)*VLOOKUP($K314, Factor!$B$17:$G$18, 4, 0)*VLOOKUP($H314, Factor!$J$4:$O$7, 4, 0)*VLOOKUP($F314, Factor!$Q$4:$V$15, 4, 0)*IF(MOD($G314,10)=0, 10, MOD($G314, 10))*((INDEX(Factor!$X$4:$AC$13, _xlfn.XMATCH($G314, Factor!$X$4:$X$13, 1),4)*IF(MOD(G314, 10) = 0, 10, MOD(G314, 10)))+INDEX(Factor!$AE$4:$AJ$13, _xlfn.XMATCH(MonsterData!$G314, Factor!$AE$4:$AE$13, 1),4))</f>
        <v>1530.8999999999999</v>
      </c>
      <c r="X314" s="17" cm="1">
        <f t="array" ref="X314">O314*VLOOKUP($I314, Factor!$B$4:$G$8, 5, 0)*VLOOKUP($J314, Factor!$B$12:$G$13, 5, 0)*VLOOKUP($K314, Factor!$B$17:$G$18, 5, 0)*VLOOKUP($H314, Factor!$J$4:$O$7, 5, 0)*VLOOKUP($F314, Factor!$Q$4:$V$15, 5, 0)*IF(MOD($G314,10)=0, 10, MOD($G314, 10))*((INDEX(Factor!$X$4:$AC$13, _xlfn.XMATCH($G314, Factor!$X$4:$X$13, 1),5)*IF(MOD(G314, 10) = 0, 10, MOD(G314, 10)))+INDEX(Factor!$AE$4:$AJ$13, _xlfn.XMATCH(MonsterData!$G314, Factor!$AE$4:$AE$13, 1),5))</f>
        <v>153.09</v>
      </c>
      <c r="Y314" s="17" cm="1">
        <f t="array" ref="Y314">P314*VLOOKUP($I314, Factor!$B$4:$G$8, 6, 0)*VLOOKUP($J314, Factor!$B$12:$G$13, 6, 0)*VLOOKUP($K314, Factor!$B$17:$G$18, 6, 0)*VLOOKUP($H314, Factor!$J$4:$O$7, 2, 0)*VLOOKUP($F314, Factor!$Q$4:$V$15, 6, 0)*IF(MOD($G314,10)=0, 10, MOD($G314, 10))*((INDEX(Factor!$X$4:$AC$13, _xlfn.XMATCH($G314, Factor!$X$4:$X$13, 1),6)*IF(MOD(G314, 10) = 0, 10, MOD(G314, 10)))+INDEX(Factor!$AE$4:$AJ$13, _xlfn.XMATCH(MonsterData!$G314, Factor!$AE$4:$AE$13, 1),6))</f>
        <v>850.5</v>
      </c>
      <c r="Z314" s="17">
        <f>$Q314*VLOOKUP($J314, Factor!$B$12:$H$13, 7, 0)</f>
        <v>1</v>
      </c>
      <c r="AA314" s="17">
        <v>1</v>
      </c>
      <c r="AB314" s="17">
        <f t="shared" si="15"/>
        <v>0</v>
      </c>
      <c r="AC314" s="17" t="s">
        <v>139</v>
      </c>
      <c r="AD314" s="19" t="s">
        <v>387</v>
      </c>
    </row>
    <row r="315" spans="1:30" ht="15.75" customHeight="1">
      <c r="A315" s="13" t="str">
        <f>T315&amp;"_"&amp;F315&amp;VLOOKUP($C315, Factor!$AM$4:$AY$30, 7, 0)&amp;IF(COUNTIFS($C$4:C314, C315, $F$4:F314, F315)+1&gt;=100, COUNTIFS($C$4:C314, C315, $F$4:F314, F315)+1,IF(COUNTIFS($C$4:C314, C315, $F$4:F314, F315)+1&gt;=10, "0"&amp;COUNTIFS($C$4:C314, C315, $F$4:F314, F315)+1, "00"&amp;COUNTIFS($C$4:C314, C315, $F$4:F314, F315)+1))</f>
        <v>enpc_F05_A_Mantis_003</v>
      </c>
      <c r="B315" s="13"/>
      <c r="C315" s="13" t="s">
        <v>357</v>
      </c>
      <c r="D315" s="21" t="str">
        <f t="shared" si="14"/>
        <v>맨티스</v>
      </c>
      <c r="E315" s="21" t="str">
        <f>VLOOKUP($C315, Factor!$AM$4:$AY$30, 8, 0)</f>
        <v>S</v>
      </c>
      <c r="F315" s="21" t="s">
        <v>113</v>
      </c>
      <c r="G315" s="22">
        <v>47</v>
      </c>
      <c r="H315" s="13" t="s">
        <v>55</v>
      </c>
      <c r="I315" s="21" t="str">
        <f>VLOOKUP($C315, Factor!$AM$4:$AY$30, 11, 0)</f>
        <v>A</v>
      </c>
      <c r="J315" s="21" t="str">
        <f>VLOOKUP($C315, Factor!$AM$4:$AY$30, 12, 0)</f>
        <v>ml</v>
      </c>
      <c r="K315" s="21" t="str">
        <f>VLOOKUP($C315, Factor!$AM$4:$AY$30, 13, 0)</f>
        <v>L</v>
      </c>
      <c r="L315" s="13">
        <v>1</v>
      </c>
      <c r="M315" s="13">
        <v>1</v>
      </c>
      <c r="N315" s="13">
        <v>1</v>
      </c>
      <c r="O315" s="13">
        <v>1</v>
      </c>
      <c r="P315" s="13">
        <v>1</v>
      </c>
      <c r="Q315" s="13">
        <v>1</v>
      </c>
      <c r="R315" s="21" t="str">
        <f>VLOOKUP($C315, Factor!$AM$4:$AY$30, 9, 0)</f>
        <v>Small</v>
      </c>
      <c r="S315" s="13" t="s">
        <v>400</v>
      </c>
      <c r="T315" s="21" t="str">
        <f>VLOOKUP($C315, Factor!$AM$4:$AY$30, 10, 0)</f>
        <v>enpc</v>
      </c>
      <c r="U315" s="21" cm="1">
        <f t="array" ref="U315">L315*VLOOKUP($I315, Factor!$B$4:$G$8, 2, 0)*VLOOKUP($J315, Factor!$B$12:$G$13, 2, 0)*VLOOKUP($K315, Factor!$B$17:$G$18, 2, 0)*VLOOKUP($H315, Factor!$J$4:$O$7, 2, 0)*VLOOKUP($F315, Factor!$Q$4:$V$15, 2, 0)*IF(MOD($G315,10)=0, 10, MOD($G315, 10))*((INDEX(Factor!$X$4:$AC$13, _xlfn.XMATCH($G315, Factor!$X$4:$X$13, 1),2)*IF(MOD(G315, 10) = 0, 10, MOD(G315, 10)))+INDEX(Factor!$AE$4:$AJ$13, _xlfn.XMATCH(MonsterData!$G315, Factor!$AE$4:$AE$13, 1),2))</f>
        <v>25515</v>
      </c>
      <c r="V315" s="21" cm="1">
        <f t="array" ref="V315">M315*VLOOKUP($I315, Factor!$B$4:$G$8, 3, 0)*VLOOKUP($J315, Factor!$B$12:$G$13, 3, 0)*VLOOKUP($K315, Factor!$B$17:$G$18, 3, 0)*VLOOKUP($H315, Factor!$J$4:$O$7, 3, 0)*VLOOKUP($F315, Factor!$Q$4:$V$15, 3, 0)*IF(MOD($G315,10)=0, 10, MOD($G315, 10))*((INDEX(Factor!$X$4:$AC$13, _xlfn.XMATCH($G315, Factor!$X$4:$X$13, 1),3)*IF(MOD(G315, 10) = 0, 10, MOD(G315, 10)))+INDEX(Factor!$AE$4:$AJ$13, _xlfn.XMATCH(MonsterData!$G315, Factor!$AE$4:$AE$13, 1),3))</f>
        <v>1275.75</v>
      </c>
      <c r="W315" s="21" cm="1">
        <f t="array" ref="W315">N315*VLOOKUP($I315, Factor!$B$4:$G$8, 4, 0)*VLOOKUP($J315, Factor!$B$12:$G$13, 4, 0)*VLOOKUP($K315, Factor!$B$17:$G$18, 4, 0)*VLOOKUP($H315, Factor!$J$4:$O$7, 4, 0)*VLOOKUP($F315, Factor!$Q$4:$V$15, 4, 0)*IF(MOD($G315,10)=0, 10, MOD($G315, 10))*((INDEX(Factor!$X$4:$AC$13, _xlfn.XMATCH($G315, Factor!$X$4:$X$13, 1),4)*IF(MOD(G315, 10) = 0, 10, MOD(G315, 10)))+INDEX(Factor!$AE$4:$AJ$13, _xlfn.XMATCH(MonsterData!$G315, Factor!$AE$4:$AE$13, 1),4))</f>
        <v>765.44999999999993</v>
      </c>
      <c r="X315" s="21" cm="1">
        <f t="array" ref="X315">O315*VLOOKUP($I315, Factor!$B$4:$G$8, 5, 0)*VLOOKUP($J315, Factor!$B$12:$G$13, 5, 0)*VLOOKUP($K315, Factor!$B$17:$G$18, 5, 0)*VLOOKUP($H315, Factor!$J$4:$O$7, 5, 0)*VLOOKUP($F315, Factor!$Q$4:$V$15, 5, 0)*IF(MOD($G315,10)=0, 10, MOD($G315, 10))*((INDEX(Factor!$X$4:$AC$13, _xlfn.XMATCH($G315, Factor!$X$4:$X$13, 1),5)*IF(MOD(G315, 10) = 0, 10, MOD(G315, 10)))+INDEX(Factor!$AE$4:$AJ$13, _xlfn.XMATCH(MonsterData!$G315, Factor!$AE$4:$AE$13, 1),5))</f>
        <v>170.1</v>
      </c>
      <c r="Y315" s="21" cm="1">
        <f t="array" ref="Y315">P315*VLOOKUP($I315, Factor!$B$4:$G$8, 6, 0)*VLOOKUP($J315, Factor!$B$12:$G$13, 6, 0)*VLOOKUP($K315, Factor!$B$17:$G$18, 6, 0)*VLOOKUP($H315, Factor!$J$4:$O$7, 2, 0)*VLOOKUP($F315, Factor!$Q$4:$V$15, 6, 0)*IF(MOD($G315,10)=0, 10, MOD($G315, 10))*((INDEX(Factor!$X$4:$AC$13, _xlfn.XMATCH($G315, Factor!$X$4:$X$13, 1),6)*IF(MOD(G315, 10) = 0, 10, MOD(G315, 10)))+INDEX(Factor!$AE$4:$AJ$13, _xlfn.XMATCH(MonsterData!$G315, Factor!$AE$4:$AE$13, 1),6))</f>
        <v>850.5</v>
      </c>
      <c r="Z315" s="21">
        <f>$Q315*VLOOKUP($J315, Factor!$B$12:$H$13, 7, 0)</f>
        <v>1</v>
      </c>
      <c r="AA315" s="13">
        <v>1</v>
      </c>
      <c r="AB315" s="21">
        <f t="shared" si="15"/>
        <v>0</v>
      </c>
      <c r="AC315" s="13" t="s">
        <v>139</v>
      </c>
      <c r="AD315" s="15" t="s">
        <v>387</v>
      </c>
    </row>
    <row r="316" spans="1:30" ht="15.75" customHeight="1">
      <c r="A316" s="16" t="str">
        <f>T316&amp;"_"&amp;F316&amp;VLOOKUP($C316, Factor!$AM$4:$AY$30, 7, 0)&amp;IF(COUNTIFS($C$4:C315, C316, $F$4:F315, F316)+1&gt;=100, COUNTIFS($C$4:C315, C316, $F$4:F315, F316)+1,IF(COUNTIFS($C$4:C315, C316, $F$4:F315, F316)+1&gt;=10, "0"&amp;COUNTIFS($C$4:C315, C316, $F$4:F315, F316)+1, "00"&amp;COUNTIFS($C$4:C315, C316, $F$4:F315, F316)+1))</f>
        <v>enpc_F05_B_Kobold_003</v>
      </c>
      <c r="B316" s="16"/>
      <c r="C316" s="16" t="s">
        <v>359</v>
      </c>
      <c r="D316" s="17" t="str">
        <f t="shared" si="14"/>
        <v>코볼트</v>
      </c>
      <c r="E316" s="17" t="str">
        <f>VLOOKUP($C316, Factor!$AM$4:$AY$30, 8, 0)</f>
        <v>M</v>
      </c>
      <c r="F316" s="17" t="s">
        <v>113</v>
      </c>
      <c r="G316" s="20">
        <v>74</v>
      </c>
      <c r="H316" s="16" t="s">
        <v>56</v>
      </c>
      <c r="I316" s="17" t="str">
        <f>VLOOKUP($C316, Factor!$AM$4:$AY$30, 11, 0)</f>
        <v>B</v>
      </c>
      <c r="J316" s="17" t="str">
        <f>VLOOKUP($C316, Factor!$AM$4:$AY$30, 12, 0)</f>
        <v>ml</v>
      </c>
      <c r="K316" s="17" t="str">
        <f>VLOOKUP($C316, Factor!$AM$4:$AY$30, 13, 0)</f>
        <v>L</v>
      </c>
      <c r="L316" s="17">
        <v>1</v>
      </c>
      <c r="M316" s="17">
        <v>1</v>
      </c>
      <c r="N316" s="17">
        <v>1</v>
      </c>
      <c r="O316" s="17">
        <v>1</v>
      </c>
      <c r="P316" s="17">
        <v>1</v>
      </c>
      <c r="Q316" s="17">
        <v>1</v>
      </c>
      <c r="R316" s="17" t="str">
        <f>VLOOKUP($C316, Factor!$AM$4:$AY$30, 9, 0)</f>
        <v>Small</v>
      </c>
      <c r="S316" s="17" t="s">
        <v>378</v>
      </c>
      <c r="T316" s="17" t="str">
        <f>VLOOKUP($C316, Factor!$AM$4:$AY$30, 10, 0)</f>
        <v>enpc</v>
      </c>
      <c r="U316" s="17" cm="1">
        <f t="array" ref="U316">L316*VLOOKUP($I316, Factor!$B$4:$G$8, 2, 0)*VLOOKUP($J316, Factor!$B$12:$G$13, 2, 0)*VLOOKUP($K316, Factor!$B$17:$G$18, 2, 0)*VLOOKUP($H316, Factor!$J$4:$O$7, 2, 0)*VLOOKUP($F316, Factor!$Q$4:$V$15, 2, 0)*IF(MOD($G316,10)=0, 10, MOD($G316, 10))*((INDEX(Factor!$X$4:$AC$13, _xlfn.XMATCH($G316, Factor!$X$4:$X$13, 1),2)*IF(MOD(G316, 10) = 0, 10, MOD(G316, 10)))+INDEX(Factor!$AE$4:$AJ$13, _xlfn.XMATCH(MonsterData!$G316, Factor!$AE$4:$AE$13, 1),2))</f>
        <v>168480</v>
      </c>
      <c r="V316" s="17" cm="1">
        <f t="array" ref="V316">M316*VLOOKUP($I316, Factor!$B$4:$G$8, 3, 0)*VLOOKUP($J316, Factor!$B$12:$G$13, 3, 0)*VLOOKUP($K316, Factor!$B$17:$G$18, 3, 0)*VLOOKUP($H316, Factor!$J$4:$O$7, 3, 0)*VLOOKUP($F316, Factor!$Q$4:$V$15, 3, 0)*IF(MOD($G316,10)=0, 10, MOD($G316, 10))*((INDEX(Factor!$X$4:$AC$13, _xlfn.XMATCH($G316, Factor!$X$4:$X$13, 1),3)*IF(MOD(G316, 10) = 0, 10, MOD(G316, 10)))+INDEX(Factor!$AE$4:$AJ$13, _xlfn.XMATCH(MonsterData!$G316, Factor!$AE$4:$AE$13, 1),3))</f>
        <v>8424</v>
      </c>
      <c r="W316" s="17" cm="1">
        <f t="array" ref="W316">N316*VLOOKUP($I316, Factor!$B$4:$G$8, 4, 0)*VLOOKUP($J316, Factor!$B$12:$G$13, 4, 0)*VLOOKUP($K316, Factor!$B$17:$G$18, 4, 0)*VLOOKUP($H316, Factor!$J$4:$O$7, 4, 0)*VLOOKUP($F316, Factor!$Q$4:$V$15, 4, 0)*IF(MOD($G316,10)=0, 10, MOD($G316, 10))*((INDEX(Factor!$X$4:$AC$13, _xlfn.XMATCH($G316, Factor!$X$4:$X$13, 1),4)*IF(MOD(G316, 10) = 0, 10, MOD(G316, 10)))+INDEX(Factor!$AE$4:$AJ$13, _xlfn.XMATCH(MonsterData!$G316, Factor!$AE$4:$AE$13, 1),4))</f>
        <v>16848</v>
      </c>
      <c r="X316" s="17" cm="1">
        <f t="array" ref="X316">O316*VLOOKUP($I316, Factor!$B$4:$G$8, 5, 0)*VLOOKUP($J316, Factor!$B$12:$G$13, 5, 0)*VLOOKUP($K316, Factor!$B$17:$G$18, 5, 0)*VLOOKUP($H316, Factor!$J$4:$O$7, 5, 0)*VLOOKUP($F316, Factor!$Q$4:$V$15, 5, 0)*IF(MOD($G316,10)=0, 10, MOD($G316, 10))*((INDEX(Factor!$X$4:$AC$13, _xlfn.XMATCH($G316, Factor!$X$4:$X$13, 1),5)*IF(MOD(G316, 10) = 0, 10, MOD(G316, 10)))+INDEX(Factor!$AE$4:$AJ$13, _xlfn.XMATCH(MonsterData!$G316, Factor!$AE$4:$AE$13, 1),5))</f>
        <v>404.35200000000003</v>
      </c>
      <c r="Y316" s="17" cm="1">
        <f t="array" ref="Y316">P316*VLOOKUP($I316, Factor!$B$4:$G$8, 6, 0)*VLOOKUP($J316, Factor!$B$12:$G$13, 6, 0)*VLOOKUP($K316, Factor!$B$17:$G$18, 6, 0)*VLOOKUP($H316, Factor!$J$4:$O$7, 2, 0)*VLOOKUP($F316, Factor!$Q$4:$V$15, 6, 0)*IF(MOD($G316,10)=0, 10, MOD($G316, 10))*((INDEX(Factor!$X$4:$AC$13, _xlfn.XMATCH($G316, Factor!$X$4:$X$13, 1),6)*IF(MOD(G316, 10) = 0, 10, MOD(G316, 10)))+INDEX(Factor!$AE$4:$AJ$13, _xlfn.XMATCH(MonsterData!$G316, Factor!$AE$4:$AE$13, 1),6))</f>
        <v>898.56</v>
      </c>
      <c r="Z316" s="17">
        <f>$Q316*VLOOKUP($J316, Factor!$B$12:$H$13, 7, 0)</f>
        <v>1</v>
      </c>
      <c r="AA316" s="17">
        <v>1</v>
      </c>
      <c r="AB316" s="17">
        <f t="shared" si="15"/>
        <v>0</v>
      </c>
      <c r="AC316" s="17" t="s">
        <v>393</v>
      </c>
      <c r="AD316" s="19" t="s">
        <v>388</v>
      </c>
    </row>
    <row r="317" spans="1:30" ht="15.75" customHeight="1">
      <c r="A317" s="13" t="str">
        <f>T317&amp;"_"&amp;F317&amp;VLOOKUP($C317, Factor!$AM$4:$AY$30, 7, 0)&amp;IF(COUNTIFS($C$4:C316, C317, $F$4:F316, F317)+1&gt;=100, COUNTIFS($C$4:C316, C317, $F$4:F316, F317)+1,IF(COUNTIFS($C$4:C316, C317, $F$4:F316, F317)+1&gt;=10, "0"&amp;COUNTIFS($C$4:C316, C317, $F$4:F316, F317)+1, "00"&amp;COUNTIFS($C$4:C316, C317, $F$4:F316, F317)+1))</f>
        <v>enpc_F05_B_Ghoul_003</v>
      </c>
      <c r="B317" s="13"/>
      <c r="C317" s="13" t="s">
        <v>361</v>
      </c>
      <c r="D317" s="21" t="str">
        <f t="shared" si="14"/>
        <v>구울</v>
      </c>
      <c r="E317" s="21" t="str">
        <f>VLOOKUP($C317, Factor!$AM$4:$AY$30, 8, 0)</f>
        <v>M</v>
      </c>
      <c r="F317" s="21" t="s">
        <v>113</v>
      </c>
      <c r="G317" s="22">
        <v>74</v>
      </c>
      <c r="H317" s="13" t="s">
        <v>55</v>
      </c>
      <c r="I317" s="21" t="str">
        <f>VLOOKUP($C317, Factor!$AM$4:$AY$30, 11, 0)</f>
        <v>B</v>
      </c>
      <c r="J317" s="21" t="str">
        <f>VLOOKUP($C317, Factor!$AM$4:$AY$30, 12, 0)</f>
        <v>ml</v>
      </c>
      <c r="K317" s="21" t="str">
        <f>VLOOKUP($C317, Factor!$AM$4:$AY$30, 13, 0)</f>
        <v>L</v>
      </c>
      <c r="L317" s="13">
        <v>1</v>
      </c>
      <c r="M317" s="13">
        <v>1</v>
      </c>
      <c r="N317" s="13">
        <v>1</v>
      </c>
      <c r="O317" s="13">
        <v>1</v>
      </c>
      <c r="P317" s="13">
        <v>1</v>
      </c>
      <c r="Q317" s="13">
        <v>1</v>
      </c>
      <c r="R317" s="21" t="str">
        <f>VLOOKUP($C317, Factor!$AM$4:$AY$30, 9, 0)</f>
        <v>Midium</v>
      </c>
      <c r="S317" s="13" t="s">
        <v>401</v>
      </c>
      <c r="T317" s="21" t="str">
        <f>VLOOKUP($C317, Factor!$AM$4:$AY$30, 10, 0)</f>
        <v>enpc</v>
      </c>
      <c r="U317" s="21" cm="1">
        <f t="array" ref="U317">L317*VLOOKUP($I317, Factor!$B$4:$G$8, 2, 0)*VLOOKUP($J317, Factor!$B$12:$G$13, 2, 0)*VLOOKUP($K317, Factor!$B$17:$G$18, 2, 0)*VLOOKUP($H317, Factor!$J$4:$O$7, 2, 0)*VLOOKUP($F317, Factor!$Q$4:$V$15, 2, 0)*IF(MOD($G317,10)=0, 10, MOD($G317, 10))*((INDEX(Factor!$X$4:$AC$13, _xlfn.XMATCH($G317, Factor!$X$4:$X$13, 1),2)*IF(MOD(G317, 10) = 0, 10, MOD(G317, 10)))+INDEX(Factor!$AE$4:$AJ$13, _xlfn.XMATCH(MonsterData!$G317, Factor!$AE$4:$AE$13, 1),2))</f>
        <v>168480</v>
      </c>
      <c r="V317" s="21" cm="1">
        <f t="array" ref="V317">M317*VLOOKUP($I317, Factor!$B$4:$G$8, 3, 0)*VLOOKUP($J317, Factor!$B$12:$G$13, 3, 0)*VLOOKUP($K317, Factor!$B$17:$G$18, 3, 0)*VLOOKUP($H317, Factor!$J$4:$O$7, 3, 0)*VLOOKUP($F317, Factor!$Q$4:$V$15, 3, 0)*IF(MOD($G317,10)=0, 10, MOD($G317, 10))*((INDEX(Factor!$X$4:$AC$13, _xlfn.XMATCH($G317, Factor!$X$4:$X$13, 1),3)*IF(MOD(G317, 10) = 0, 10, MOD(G317, 10)))+INDEX(Factor!$AE$4:$AJ$13, _xlfn.XMATCH(MonsterData!$G317, Factor!$AE$4:$AE$13, 1),3))</f>
        <v>8424</v>
      </c>
      <c r="W317" s="21" cm="1">
        <f t="array" ref="W317">N317*VLOOKUP($I317, Factor!$B$4:$G$8, 4, 0)*VLOOKUP($J317, Factor!$B$12:$G$13, 4, 0)*VLOOKUP($K317, Factor!$B$17:$G$18, 4, 0)*VLOOKUP($H317, Factor!$J$4:$O$7, 4, 0)*VLOOKUP($F317, Factor!$Q$4:$V$15, 4, 0)*IF(MOD($G317,10)=0, 10, MOD($G317, 10))*((INDEX(Factor!$X$4:$AC$13, _xlfn.XMATCH($G317, Factor!$X$4:$X$13, 1),4)*IF(MOD(G317, 10) = 0, 10, MOD(G317, 10)))+INDEX(Factor!$AE$4:$AJ$13, _xlfn.XMATCH(MonsterData!$G317, Factor!$AE$4:$AE$13, 1),4))</f>
        <v>8424</v>
      </c>
      <c r="X317" s="21" cm="1">
        <f t="array" ref="X317">O317*VLOOKUP($I317, Factor!$B$4:$G$8, 5, 0)*VLOOKUP($J317, Factor!$B$12:$G$13, 5, 0)*VLOOKUP($K317, Factor!$B$17:$G$18, 5, 0)*VLOOKUP($H317, Factor!$J$4:$O$7, 5, 0)*VLOOKUP($F317, Factor!$Q$4:$V$15, 5, 0)*IF(MOD($G317,10)=0, 10, MOD($G317, 10))*((INDEX(Factor!$X$4:$AC$13, _xlfn.XMATCH($G317, Factor!$X$4:$X$13, 1),5)*IF(MOD(G317, 10) = 0, 10, MOD(G317, 10)))+INDEX(Factor!$AE$4:$AJ$13, _xlfn.XMATCH(MonsterData!$G317, Factor!$AE$4:$AE$13, 1),5))</f>
        <v>449.28</v>
      </c>
      <c r="Y317" s="21" cm="1">
        <f t="array" ref="Y317">P317*VLOOKUP($I317, Factor!$B$4:$G$8, 6, 0)*VLOOKUP($J317, Factor!$B$12:$G$13, 6, 0)*VLOOKUP($K317, Factor!$B$17:$G$18, 6, 0)*VLOOKUP($H317, Factor!$J$4:$O$7, 2, 0)*VLOOKUP($F317, Factor!$Q$4:$V$15, 6, 0)*IF(MOD($G317,10)=0, 10, MOD($G317, 10))*((INDEX(Factor!$X$4:$AC$13, _xlfn.XMATCH($G317, Factor!$X$4:$X$13, 1),6)*IF(MOD(G317, 10) = 0, 10, MOD(G317, 10)))+INDEX(Factor!$AE$4:$AJ$13, _xlfn.XMATCH(MonsterData!$G317, Factor!$AE$4:$AE$13, 1),6))</f>
        <v>898.56</v>
      </c>
      <c r="Z317" s="21">
        <f>$Q317*VLOOKUP($J317, Factor!$B$12:$H$13, 7, 0)</f>
        <v>1</v>
      </c>
      <c r="AA317" s="13">
        <v>1</v>
      </c>
      <c r="AB317" s="21">
        <f t="shared" si="15"/>
        <v>0</v>
      </c>
      <c r="AC317" s="13" t="s">
        <v>394</v>
      </c>
      <c r="AD317" s="15" t="s">
        <v>389</v>
      </c>
    </row>
    <row r="318" spans="1:30" ht="15.75" customHeight="1">
      <c r="A318" s="16" t="str">
        <f>T318&amp;"_"&amp;F318&amp;VLOOKUP($C318, Factor!$AM$4:$AY$30, 7, 0)&amp;IF(COUNTIFS($C$4:C317, C318, $F$4:F317, F318)+1&gt;=100, COUNTIFS($C$4:C317, C318, $F$4:F317, F318)+1,IF(COUNTIFS($C$4:C317, C318, $F$4:F317, F318)+1&gt;=10, "0"&amp;COUNTIFS($C$4:C317, C318, $F$4:F317, F318)+1, "00"&amp;COUNTIFS($C$4:C317, C318, $F$4:F317, F318)+1))</f>
        <v>enpc_F05_B_Gorgon_003</v>
      </c>
      <c r="B318" s="16"/>
      <c r="C318" s="16" t="s">
        <v>363</v>
      </c>
      <c r="D318" s="17" t="str">
        <f t="shared" si="14"/>
        <v>고르곤</v>
      </c>
      <c r="E318" s="17" t="str">
        <f>VLOOKUP($C318, Factor!$AM$4:$AY$30, 8, 0)</f>
        <v>B</v>
      </c>
      <c r="F318" s="17" t="s">
        <v>113</v>
      </c>
      <c r="G318" s="20">
        <v>74</v>
      </c>
      <c r="H318" s="16" t="s">
        <v>56</v>
      </c>
      <c r="I318" s="17" t="str">
        <f>VLOOKUP($C318, Factor!$AM$4:$AY$30, 11, 0)</f>
        <v>B</v>
      </c>
      <c r="J318" s="17" t="str">
        <f>VLOOKUP($C318, Factor!$AM$4:$AY$30, 12, 0)</f>
        <v>ml</v>
      </c>
      <c r="K318" s="17" t="str">
        <f>VLOOKUP($C318, Factor!$AM$4:$AY$30, 13, 0)</f>
        <v>L</v>
      </c>
      <c r="L318" s="17">
        <v>1</v>
      </c>
      <c r="M318" s="17">
        <v>1</v>
      </c>
      <c r="N318" s="17">
        <v>1</v>
      </c>
      <c r="O318" s="17">
        <v>1</v>
      </c>
      <c r="P318" s="17">
        <v>1</v>
      </c>
      <c r="Q318" s="17">
        <v>1</v>
      </c>
      <c r="R318" s="17" t="str">
        <f>VLOOKUP($C318, Factor!$AM$4:$AY$30, 9, 0)</f>
        <v>Midium</v>
      </c>
      <c r="S318" s="17" t="s">
        <v>380</v>
      </c>
      <c r="T318" s="17" t="str">
        <f>VLOOKUP($C318, Factor!$AM$4:$AY$30, 10, 0)</f>
        <v>enpc</v>
      </c>
      <c r="U318" s="17" cm="1">
        <f t="array" ref="U318">L318*VLOOKUP($I318, Factor!$B$4:$G$8, 2, 0)*VLOOKUP($J318, Factor!$B$12:$G$13, 2, 0)*VLOOKUP($K318, Factor!$B$17:$G$18, 2, 0)*VLOOKUP($H318, Factor!$J$4:$O$7, 2, 0)*VLOOKUP($F318, Factor!$Q$4:$V$15, 2, 0)*IF(MOD($G318,10)=0, 10, MOD($G318, 10))*((INDEX(Factor!$X$4:$AC$13, _xlfn.XMATCH($G318, Factor!$X$4:$X$13, 1),2)*IF(MOD(G318, 10) = 0, 10, MOD(G318, 10)))+INDEX(Factor!$AE$4:$AJ$13, _xlfn.XMATCH(MonsterData!$G318, Factor!$AE$4:$AE$13, 1),2))</f>
        <v>168480</v>
      </c>
      <c r="V318" s="17" cm="1">
        <f t="array" ref="V318">M318*VLOOKUP($I318, Factor!$B$4:$G$8, 3, 0)*VLOOKUP($J318, Factor!$B$12:$G$13, 3, 0)*VLOOKUP($K318, Factor!$B$17:$G$18, 3, 0)*VLOOKUP($H318, Factor!$J$4:$O$7, 3, 0)*VLOOKUP($F318, Factor!$Q$4:$V$15, 3, 0)*IF(MOD($G318,10)=0, 10, MOD($G318, 10))*((INDEX(Factor!$X$4:$AC$13, _xlfn.XMATCH($G318, Factor!$X$4:$X$13, 1),3)*IF(MOD(G318, 10) = 0, 10, MOD(G318, 10)))+INDEX(Factor!$AE$4:$AJ$13, _xlfn.XMATCH(MonsterData!$G318, Factor!$AE$4:$AE$13, 1),3))</f>
        <v>8424</v>
      </c>
      <c r="W318" s="17" cm="1">
        <f t="array" ref="W318">N318*VLOOKUP($I318, Factor!$B$4:$G$8, 4, 0)*VLOOKUP($J318, Factor!$B$12:$G$13, 4, 0)*VLOOKUP($K318, Factor!$B$17:$G$18, 4, 0)*VLOOKUP($H318, Factor!$J$4:$O$7, 4, 0)*VLOOKUP($F318, Factor!$Q$4:$V$15, 4, 0)*IF(MOD($G318,10)=0, 10, MOD($G318, 10))*((INDEX(Factor!$X$4:$AC$13, _xlfn.XMATCH($G318, Factor!$X$4:$X$13, 1),4)*IF(MOD(G318, 10) = 0, 10, MOD(G318, 10)))+INDEX(Factor!$AE$4:$AJ$13, _xlfn.XMATCH(MonsterData!$G318, Factor!$AE$4:$AE$13, 1),4))</f>
        <v>16848</v>
      </c>
      <c r="X318" s="17" cm="1">
        <f t="array" ref="X318">O318*VLOOKUP($I318, Factor!$B$4:$G$8, 5, 0)*VLOOKUP($J318, Factor!$B$12:$G$13, 5, 0)*VLOOKUP($K318, Factor!$B$17:$G$18, 5, 0)*VLOOKUP($H318, Factor!$J$4:$O$7, 5, 0)*VLOOKUP($F318, Factor!$Q$4:$V$15, 5, 0)*IF(MOD($G318,10)=0, 10, MOD($G318, 10))*((INDEX(Factor!$X$4:$AC$13, _xlfn.XMATCH($G318, Factor!$X$4:$X$13, 1),5)*IF(MOD(G318, 10) = 0, 10, MOD(G318, 10)))+INDEX(Factor!$AE$4:$AJ$13, _xlfn.XMATCH(MonsterData!$G318, Factor!$AE$4:$AE$13, 1),5))</f>
        <v>404.35200000000003</v>
      </c>
      <c r="Y318" s="17" cm="1">
        <f t="array" ref="Y318">P318*VLOOKUP($I318, Factor!$B$4:$G$8, 6, 0)*VLOOKUP($J318, Factor!$B$12:$G$13, 6, 0)*VLOOKUP($K318, Factor!$B$17:$G$18, 6, 0)*VLOOKUP($H318, Factor!$J$4:$O$7, 2, 0)*VLOOKUP($F318, Factor!$Q$4:$V$15, 6, 0)*IF(MOD($G318,10)=0, 10, MOD($G318, 10))*((INDEX(Factor!$X$4:$AC$13, _xlfn.XMATCH($G318, Factor!$X$4:$X$13, 1),6)*IF(MOD(G318, 10) = 0, 10, MOD(G318, 10)))+INDEX(Factor!$AE$4:$AJ$13, _xlfn.XMATCH(MonsterData!$G318, Factor!$AE$4:$AE$13, 1),6))</f>
        <v>898.56</v>
      </c>
      <c r="Z318" s="17">
        <f>$Q318*VLOOKUP($J318, Factor!$B$12:$H$13, 7, 0)</f>
        <v>1</v>
      </c>
      <c r="AA318" s="17">
        <v>1</v>
      </c>
      <c r="AB318" s="17">
        <f t="shared" si="15"/>
        <v>0</v>
      </c>
      <c r="AC318" s="17" t="s">
        <v>395</v>
      </c>
      <c r="AD318" s="19" t="s">
        <v>390</v>
      </c>
    </row>
    <row r="319" spans="1:30" ht="15.75" customHeight="1">
      <c r="A319" s="13" t="str">
        <f>T319&amp;"_"&amp;F319&amp;VLOOKUP($C319, Factor!$AM$4:$AY$30, 7, 0)&amp;IF(COUNTIFS($C$4:C318, C319, $F$4:F318, F319)+1&gt;=100, COUNTIFS($C$4:C318, C319, $F$4:F318, F319)+1,IF(COUNTIFS($C$4:C318, C319, $F$4:F318, F319)+1&gt;=10, "0"&amp;COUNTIFS($C$4:C318, C319, $F$4:F318, F319)+1, "00"&amp;COUNTIFS($C$4:C318, C319, $F$4:F318, F319)+1))</f>
        <v>enpc_F05_B_Gargoyle_003</v>
      </c>
      <c r="B319" s="13"/>
      <c r="C319" s="13" t="s">
        <v>365</v>
      </c>
      <c r="D319" s="21" t="str">
        <f t="shared" si="14"/>
        <v>가고일</v>
      </c>
      <c r="E319" s="21" t="str">
        <f>VLOOKUP($C319, Factor!$AM$4:$AY$30, 8, 0)</f>
        <v>B</v>
      </c>
      <c r="F319" s="21" t="s">
        <v>113</v>
      </c>
      <c r="G319" s="22">
        <v>74</v>
      </c>
      <c r="H319" s="13" t="s">
        <v>55</v>
      </c>
      <c r="I319" s="21" t="str">
        <f>VLOOKUP($C319, Factor!$AM$4:$AY$30, 11, 0)</f>
        <v>B</v>
      </c>
      <c r="J319" s="21" t="str">
        <f>VLOOKUP($C319, Factor!$AM$4:$AY$30, 12, 0)</f>
        <v>ml</v>
      </c>
      <c r="K319" s="21" t="str">
        <f>VLOOKUP($C319, Factor!$AM$4:$AY$30, 13, 0)</f>
        <v>F</v>
      </c>
      <c r="L319" s="13">
        <v>1</v>
      </c>
      <c r="M319" s="13">
        <v>1</v>
      </c>
      <c r="N319" s="13">
        <v>1</v>
      </c>
      <c r="O319" s="13">
        <v>1</v>
      </c>
      <c r="P319" s="13">
        <v>1</v>
      </c>
      <c r="Q319" s="13">
        <v>1</v>
      </c>
      <c r="R319" s="21" t="str">
        <f>VLOOKUP($C319, Factor!$AM$4:$AY$30, 9, 0)</f>
        <v>Big</v>
      </c>
      <c r="S319" s="13" t="s">
        <v>402</v>
      </c>
      <c r="T319" s="21" t="str">
        <f>VLOOKUP($C319, Factor!$AM$4:$AY$30, 10, 0)</f>
        <v>enpc</v>
      </c>
      <c r="U319" s="21" cm="1">
        <f t="array" ref="U319">L319*VLOOKUP($I319, Factor!$B$4:$G$8, 2, 0)*VLOOKUP($J319, Factor!$B$12:$G$13, 2, 0)*VLOOKUP($K319, Factor!$B$17:$G$18, 2, 0)*VLOOKUP($H319, Factor!$J$4:$O$7, 2, 0)*VLOOKUP($F319, Factor!$Q$4:$V$15, 2, 0)*IF(MOD($G319,10)=0, 10, MOD($G319, 10))*((INDEX(Factor!$X$4:$AC$13, _xlfn.XMATCH($G319, Factor!$X$4:$X$13, 1),2)*IF(MOD(G319, 10) = 0, 10, MOD(G319, 10)))+INDEX(Factor!$AE$4:$AJ$13, _xlfn.XMATCH(MonsterData!$G319, Factor!$AE$4:$AE$13, 1),2))</f>
        <v>112320</v>
      </c>
      <c r="V319" s="21" cm="1">
        <f t="array" ref="V319">M319*VLOOKUP($I319, Factor!$B$4:$G$8, 3, 0)*VLOOKUP($J319, Factor!$B$12:$G$13, 3, 0)*VLOOKUP($K319, Factor!$B$17:$G$18, 3, 0)*VLOOKUP($H319, Factor!$J$4:$O$7, 3, 0)*VLOOKUP($F319, Factor!$Q$4:$V$15, 3, 0)*IF(MOD($G319,10)=0, 10, MOD($G319, 10))*((INDEX(Factor!$X$4:$AC$13, _xlfn.XMATCH($G319, Factor!$X$4:$X$13, 1),3)*IF(MOD(G319, 10) = 0, 10, MOD(G319, 10)))+INDEX(Factor!$AE$4:$AJ$13, _xlfn.XMATCH(MonsterData!$G319, Factor!$AE$4:$AE$13, 1),3))</f>
        <v>5616</v>
      </c>
      <c r="W319" s="21" cm="1">
        <f t="array" ref="W319">N319*VLOOKUP($I319, Factor!$B$4:$G$8, 4, 0)*VLOOKUP($J319, Factor!$B$12:$G$13, 4, 0)*VLOOKUP($K319, Factor!$B$17:$G$18, 4, 0)*VLOOKUP($H319, Factor!$J$4:$O$7, 4, 0)*VLOOKUP($F319, Factor!$Q$4:$V$15, 4, 0)*IF(MOD($G319,10)=0, 10, MOD($G319, 10))*((INDEX(Factor!$X$4:$AC$13, _xlfn.XMATCH($G319, Factor!$X$4:$X$13, 1),4)*IF(MOD(G319, 10) = 0, 10, MOD(G319, 10)))+INDEX(Factor!$AE$4:$AJ$13, _xlfn.XMATCH(MonsterData!$G319, Factor!$AE$4:$AE$13, 1),4))</f>
        <v>5616</v>
      </c>
      <c r="X319" s="21" cm="1">
        <f t="array" ref="X319">O319*VLOOKUP($I319, Factor!$B$4:$G$8, 5, 0)*VLOOKUP($J319, Factor!$B$12:$G$13, 5, 0)*VLOOKUP($K319, Factor!$B$17:$G$18, 5, 0)*VLOOKUP($H319, Factor!$J$4:$O$7, 5, 0)*VLOOKUP($F319, Factor!$Q$4:$V$15, 5, 0)*IF(MOD($G319,10)=0, 10, MOD($G319, 10))*((INDEX(Factor!$X$4:$AC$13, _xlfn.XMATCH($G319, Factor!$X$4:$X$13, 1),5)*IF(MOD(G319, 10) = 0, 10, MOD(G319, 10)))+INDEX(Factor!$AE$4:$AJ$13, _xlfn.XMATCH(MonsterData!$G319, Factor!$AE$4:$AE$13, 1),5))</f>
        <v>449.28</v>
      </c>
      <c r="Y319" s="21" cm="1">
        <f t="array" ref="Y319">P319*VLOOKUP($I319, Factor!$B$4:$G$8, 6, 0)*VLOOKUP($J319, Factor!$B$12:$G$13, 6, 0)*VLOOKUP($K319, Factor!$B$17:$G$18, 6, 0)*VLOOKUP($H319, Factor!$J$4:$O$7, 2, 0)*VLOOKUP($F319, Factor!$Q$4:$V$15, 6, 0)*IF(MOD($G319,10)=0, 10, MOD($G319, 10))*((INDEX(Factor!$X$4:$AC$13, _xlfn.XMATCH($G319, Factor!$X$4:$X$13, 1),6)*IF(MOD(G319, 10) = 0, 10, MOD(G319, 10)))+INDEX(Factor!$AE$4:$AJ$13, _xlfn.XMATCH(MonsterData!$G319, Factor!$AE$4:$AE$13, 1),6))</f>
        <v>2695.6800000000003</v>
      </c>
      <c r="Z319" s="21">
        <f>$Q319*VLOOKUP($J319, Factor!$B$12:$H$13, 7, 0)</f>
        <v>1</v>
      </c>
      <c r="AA319" s="13">
        <v>1</v>
      </c>
      <c r="AB319" s="21">
        <f t="shared" si="15"/>
        <v>0</v>
      </c>
      <c r="AC319" s="13" t="s">
        <v>396</v>
      </c>
      <c r="AD319" s="15" t="s">
        <v>391</v>
      </c>
    </row>
    <row r="320" spans="1:30" ht="15.75" customHeight="1">
      <c r="A320" s="16" t="str">
        <f>T320&amp;"_"&amp;F320&amp;VLOOKUP($C320, Factor!$AM$4:$AY$30, 7, 0)&amp;IF(COUNTIFS($C$4:C319, C320, $F$4:F319, F320)+1&gt;=100, COUNTIFS($C$4:C319, C320, $F$4:F319, F320)+1,IF(COUNTIFS($C$4:C319, C320, $F$4:F319, F320)+1&gt;=10, "0"&amp;COUNTIFS($C$4:C319, C320, $F$4:F319, F320)+1, "00"&amp;COUNTIFS($C$4:C319, C320, $F$4:F319, F320)+1))</f>
        <v>enpc_F05_A_Lava_004</v>
      </c>
      <c r="B320" s="16"/>
      <c r="C320" s="16" t="s">
        <v>35</v>
      </c>
      <c r="D320" s="17" t="str">
        <f t="shared" si="14"/>
        <v>라바</v>
      </c>
      <c r="E320" s="17" t="str">
        <f>VLOOKUP($C320, Factor!$AM$4:$AY$30, 8, 0)</f>
        <v>S</v>
      </c>
      <c r="F320" s="17" t="s">
        <v>113</v>
      </c>
      <c r="G320" s="20">
        <v>49</v>
      </c>
      <c r="H320" s="16" t="s">
        <v>54</v>
      </c>
      <c r="I320" s="17" t="str">
        <f>VLOOKUP($C320, Factor!$AM$4:$AY$30, 11, 0)</f>
        <v>A</v>
      </c>
      <c r="J320" s="17" t="str">
        <f>VLOOKUP($C320, Factor!$AM$4:$AY$30, 12, 0)</f>
        <v>ml</v>
      </c>
      <c r="K320" s="17" t="str">
        <f>VLOOKUP($C320, Factor!$AM$4:$AY$30, 13, 0)</f>
        <v>L</v>
      </c>
      <c r="L320" s="17">
        <v>1</v>
      </c>
      <c r="M320" s="17">
        <v>1</v>
      </c>
      <c r="N320" s="17">
        <v>1</v>
      </c>
      <c r="O320" s="17">
        <v>1</v>
      </c>
      <c r="P320" s="17">
        <v>1</v>
      </c>
      <c r="Q320" s="17">
        <v>1</v>
      </c>
      <c r="R320" s="17" t="str">
        <f>VLOOKUP($C320, Factor!$AM$4:$AY$30, 9, 0)</f>
        <v>Small</v>
      </c>
      <c r="S320" s="17" t="s">
        <v>88</v>
      </c>
      <c r="T320" s="17" t="str">
        <f>VLOOKUP($C320, Factor!$AM$4:$AY$30, 10, 0)</f>
        <v>enpc</v>
      </c>
      <c r="U320" s="17" cm="1">
        <f t="array" ref="U320">L320*VLOOKUP($I320, Factor!$B$4:$G$8, 2, 0)*VLOOKUP($J320, Factor!$B$12:$G$13, 2, 0)*VLOOKUP($K320, Factor!$B$17:$G$18, 2, 0)*VLOOKUP($H320, Factor!$J$4:$O$7, 2, 0)*VLOOKUP($F320, Factor!$Q$4:$V$15, 2, 0)*IF(MOD($G320,10)=0, 10, MOD($G320, 10))*((INDEX(Factor!$X$4:$AC$13, _xlfn.XMATCH($G320, Factor!$X$4:$X$13, 1),2)*IF(MOD(G320, 10) = 0, 10, MOD(G320, 10)))+INDEX(Factor!$AE$4:$AJ$13, _xlfn.XMATCH(MonsterData!$G320, Factor!$AE$4:$AE$13, 1),2))</f>
        <v>28188</v>
      </c>
      <c r="V320" s="17" cm="1">
        <f t="array" ref="V320">M320*VLOOKUP($I320, Factor!$B$4:$G$8, 3, 0)*VLOOKUP($J320, Factor!$B$12:$G$13, 3, 0)*VLOOKUP($K320, Factor!$B$17:$G$18, 3, 0)*VLOOKUP($H320, Factor!$J$4:$O$7, 3, 0)*VLOOKUP($F320, Factor!$Q$4:$V$15, 3, 0)*IF(MOD($G320,10)=0, 10, MOD($G320, 10))*((INDEX(Factor!$X$4:$AC$13, _xlfn.XMATCH($G320, Factor!$X$4:$X$13, 1),3)*IF(MOD(G320, 10) = 0, 10, MOD(G320, 10)))+INDEX(Factor!$AE$4:$AJ$13, _xlfn.XMATCH(MonsterData!$G320, Factor!$AE$4:$AE$13, 1),3))</f>
        <v>1409.4</v>
      </c>
      <c r="W320" s="17" cm="1">
        <f t="array" ref="W320">N320*VLOOKUP($I320, Factor!$B$4:$G$8, 4, 0)*VLOOKUP($J320, Factor!$B$12:$G$13, 4, 0)*VLOOKUP($K320, Factor!$B$17:$G$18, 4, 0)*VLOOKUP($H320, Factor!$J$4:$O$7, 4, 0)*VLOOKUP($F320, Factor!$Q$4:$V$15, 4, 0)*IF(MOD($G320,10)=0, 10, MOD($G320, 10))*((INDEX(Factor!$X$4:$AC$13, _xlfn.XMATCH($G320, Factor!$X$4:$X$13, 1),4)*IF(MOD(G320, 10) = 0, 10, MOD(G320, 10)))+INDEX(Factor!$AE$4:$AJ$13, _xlfn.XMATCH(MonsterData!$G320, Factor!$AE$4:$AE$13, 1),4))</f>
        <v>845.6400000000001</v>
      </c>
      <c r="X320" s="17" cm="1">
        <f t="array" ref="X320">O320*VLOOKUP($I320, Factor!$B$4:$G$8, 5, 0)*VLOOKUP($J320, Factor!$B$12:$G$13, 5, 0)*VLOOKUP($K320, Factor!$B$17:$G$18, 5, 0)*VLOOKUP($H320, Factor!$J$4:$O$7, 5, 0)*VLOOKUP($F320, Factor!$Q$4:$V$15, 5, 0)*IF(MOD($G320,10)=0, 10, MOD($G320, 10))*((INDEX(Factor!$X$4:$AC$13, _xlfn.XMATCH($G320, Factor!$X$4:$X$13, 1),5)*IF(MOD(G320, 10) = 0, 10, MOD(G320, 10)))+INDEX(Factor!$AE$4:$AJ$13, _xlfn.XMATCH(MonsterData!$G320, Factor!$AE$4:$AE$13, 1),5))</f>
        <v>234.89999999999998</v>
      </c>
      <c r="Y320" s="17" cm="1">
        <f t="array" ref="Y320">P320*VLOOKUP($I320, Factor!$B$4:$G$8, 6, 0)*VLOOKUP($J320, Factor!$B$12:$G$13, 6, 0)*VLOOKUP($K320, Factor!$B$17:$G$18, 6, 0)*VLOOKUP($H320, Factor!$J$4:$O$7, 2, 0)*VLOOKUP($F320, Factor!$Q$4:$V$15, 6, 0)*IF(MOD($G320,10)=0, 10, MOD($G320, 10))*((INDEX(Factor!$X$4:$AC$13, _xlfn.XMATCH($G320, Factor!$X$4:$X$13, 1),6)*IF(MOD(G320, 10) = 0, 10, MOD(G320, 10)))+INDEX(Factor!$AE$4:$AJ$13, _xlfn.XMATCH(MonsterData!$G320, Factor!$AE$4:$AE$13, 1),6))</f>
        <v>939.59999999999991</v>
      </c>
      <c r="Z320" s="17">
        <f>$Q320*VLOOKUP($J320, Factor!$B$12:$H$13, 7, 0)</f>
        <v>1</v>
      </c>
      <c r="AA320" s="17">
        <v>1</v>
      </c>
      <c r="AB320" s="17">
        <f t="shared" si="15"/>
        <v>0</v>
      </c>
      <c r="AC320" s="17" t="s">
        <v>139</v>
      </c>
      <c r="AD320" s="19" t="s">
        <v>142</v>
      </c>
    </row>
    <row r="321" spans="1:30" ht="15.75" customHeight="1">
      <c r="A321" s="13" t="str">
        <f>T321&amp;"_"&amp;F321&amp;VLOOKUP($C321, Factor!$AM$4:$AY$30, 7, 0)&amp;IF(COUNTIFS($C$4:C320, C321, $F$4:F320, F321)+1&gt;=100, COUNTIFS($C$4:C320, C321, $F$4:F320, F321)+1,IF(COUNTIFS($C$4:C320, C321, $F$4:F320, F321)+1&gt;=10, "0"&amp;COUNTIFS($C$4:C320, C321, $F$4:F320, F321)+1, "00"&amp;COUNTIFS($C$4:C320, C321, $F$4:F320, F321)+1))</f>
        <v>enpc_F05_A_Cocoon_004</v>
      </c>
      <c r="B321" s="13"/>
      <c r="C321" s="13" t="s">
        <v>270</v>
      </c>
      <c r="D321" s="21" t="str">
        <f t="shared" si="14"/>
        <v>코쿤</v>
      </c>
      <c r="E321" s="21" t="str">
        <f>VLOOKUP($C321, Factor!$AM$4:$AY$30, 8, 0)</f>
        <v>M</v>
      </c>
      <c r="F321" s="21" t="s">
        <v>113</v>
      </c>
      <c r="G321" s="22">
        <v>49</v>
      </c>
      <c r="H321" s="13" t="s">
        <v>55</v>
      </c>
      <c r="I321" s="21" t="str">
        <f>VLOOKUP($C321, Factor!$AM$4:$AY$30, 11, 0)</f>
        <v>A</v>
      </c>
      <c r="J321" s="21" t="str">
        <f>VLOOKUP($C321, Factor!$AM$4:$AY$30, 12, 0)</f>
        <v>ml</v>
      </c>
      <c r="K321" s="21" t="str">
        <f>VLOOKUP($C321, Factor!$AM$4:$AY$30, 13, 0)</f>
        <v>L</v>
      </c>
      <c r="L321" s="13">
        <v>1</v>
      </c>
      <c r="M321" s="13">
        <v>1</v>
      </c>
      <c r="N321" s="13">
        <v>1</v>
      </c>
      <c r="O321" s="13">
        <v>1</v>
      </c>
      <c r="P321" s="13">
        <v>1</v>
      </c>
      <c r="Q321" s="13">
        <v>1</v>
      </c>
      <c r="R321" s="21" t="str">
        <f>VLOOKUP($C321, Factor!$AM$4:$AY$30, 9, 0)</f>
        <v>Midium</v>
      </c>
      <c r="S321" s="13" t="s">
        <v>408</v>
      </c>
      <c r="T321" s="21" t="str">
        <f>VLOOKUP($C321, Factor!$AM$4:$AY$30, 10, 0)</f>
        <v>enpc</v>
      </c>
      <c r="U321" s="21" cm="1">
        <f t="array" ref="U321">L321*VLOOKUP($I321, Factor!$B$4:$G$8, 2, 0)*VLOOKUP($J321, Factor!$B$12:$G$13, 2, 0)*VLOOKUP($K321, Factor!$B$17:$G$18, 2, 0)*VLOOKUP($H321, Factor!$J$4:$O$7, 2, 0)*VLOOKUP($F321, Factor!$Q$4:$V$15, 2, 0)*IF(MOD($G321,10)=0, 10, MOD($G321, 10))*((INDEX(Factor!$X$4:$AC$13, _xlfn.XMATCH($G321, Factor!$X$4:$X$13, 1),2)*IF(MOD(G321, 10) = 0, 10, MOD(G321, 10)))+INDEX(Factor!$AE$4:$AJ$13, _xlfn.XMATCH(MonsterData!$G321, Factor!$AE$4:$AE$13, 1),2))</f>
        <v>35235</v>
      </c>
      <c r="V321" s="21" cm="1">
        <f t="array" ref="V321">M321*VLOOKUP($I321, Factor!$B$4:$G$8, 3, 0)*VLOOKUP($J321, Factor!$B$12:$G$13, 3, 0)*VLOOKUP($K321, Factor!$B$17:$G$18, 3, 0)*VLOOKUP($H321, Factor!$J$4:$O$7, 3, 0)*VLOOKUP($F321, Factor!$Q$4:$V$15, 3, 0)*IF(MOD($G321,10)=0, 10, MOD($G321, 10))*((INDEX(Factor!$X$4:$AC$13, _xlfn.XMATCH($G321, Factor!$X$4:$X$13, 1),3)*IF(MOD(G321, 10) = 0, 10, MOD(G321, 10)))+INDEX(Factor!$AE$4:$AJ$13, _xlfn.XMATCH(MonsterData!$G321, Factor!$AE$4:$AE$13, 1),3))</f>
        <v>1761.75</v>
      </c>
      <c r="W321" s="21" cm="1">
        <f t="array" ref="W321">N321*VLOOKUP($I321, Factor!$B$4:$G$8, 4, 0)*VLOOKUP($J321, Factor!$B$12:$G$13, 4, 0)*VLOOKUP($K321, Factor!$B$17:$G$18, 4, 0)*VLOOKUP($H321, Factor!$J$4:$O$7, 4, 0)*VLOOKUP($F321, Factor!$Q$4:$V$15, 4, 0)*IF(MOD($G321,10)=0, 10, MOD($G321, 10))*((INDEX(Factor!$X$4:$AC$13, _xlfn.XMATCH($G321, Factor!$X$4:$X$13, 1),4)*IF(MOD(G321, 10) = 0, 10, MOD(G321, 10)))+INDEX(Factor!$AE$4:$AJ$13, _xlfn.XMATCH(MonsterData!$G321, Factor!$AE$4:$AE$13, 1),4))</f>
        <v>1057.05</v>
      </c>
      <c r="X321" s="21" cm="1">
        <f t="array" ref="X321">O321*VLOOKUP($I321, Factor!$B$4:$G$8, 5, 0)*VLOOKUP($J321, Factor!$B$12:$G$13, 5, 0)*VLOOKUP($K321, Factor!$B$17:$G$18, 5, 0)*VLOOKUP($H321, Factor!$J$4:$O$7, 5, 0)*VLOOKUP($F321, Factor!$Q$4:$V$15, 5, 0)*IF(MOD($G321,10)=0, 10, MOD($G321, 10))*((INDEX(Factor!$X$4:$AC$13, _xlfn.XMATCH($G321, Factor!$X$4:$X$13, 1),5)*IF(MOD(G321, 10) = 0, 10, MOD(G321, 10)))+INDEX(Factor!$AE$4:$AJ$13, _xlfn.XMATCH(MonsterData!$G321, Factor!$AE$4:$AE$13, 1),5))</f>
        <v>234.89999999999998</v>
      </c>
      <c r="Y321" s="21" cm="1">
        <f t="array" ref="Y321">P321*VLOOKUP($I321, Factor!$B$4:$G$8, 6, 0)*VLOOKUP($J321, Factor!$B$12:$G$13, 6, 0)*VLOOKUP($K321, Factor!$B$17:$G$18, 6, 0)*VLOOKUP($H321, Factor!$J$4:$O$7, 2, 0)*VLOOKUP($F321, Factor!$Q$4:$V$15, 6, 0)*IF(MOD($G321,10)=0, 10, MOD($G321, 10))*((INDEX(Factor!$X$4:$AC$13, _xlfn.XMATCH($G321, Factor!$X$4:$X$13, 1),6)*IF(MOD(G321, 10) = 0, 10, MOD(G321, 10)))+INDEX(Factor!$AE$4:$AJ$13, _xlfn.XMATCH(MonsterData!$G321, Factor!$AE$4:$AE$13, 1),6))</f>
        <v>1174.5</v>
      </c>
      <c r="Z321" s="21">
        <f>$Q321*VLOOKUP($J321, Factor!$B$12:$H$13, 7, 0)</f>
        <v>1</v>
      </c>
      <c r="AA321" s="13">
        <v>1</v>
      </c>
      <c r="AB321" s="21">
        <f t="shared" si="15"/>
        <v>0</v>
      </c>
      <c r="AC321" s="13" t="s">
        <v>139</v>
      </c>
      <c r="AD321" s="15" t="s">
        <v>142</v>
      </c>
    </row>
    <row r="322" spans="1:30" ht="15.75" customHeight="1">
      <c r="A322" s="16" t="str">
        <f>T322&amp;"_"&amp;F322&amp;VLOOKUP($C322, Factor!$AM$4:$AY$30, 7, 0)&amp;IF(COUNTIFS($C$4:C321, C322, $F$4:F321, F322)+1&gt;=100, COUNTIFS($C$4:C321, C322, $F$4:F321, F322)+1,IF(COUNTIFS($C$4:C321, C322, $F$4:F321, F322)+1&gt;=10, "0"&amp;COUNTIFS($C$4:C321, C322, $F$4:F321, F322)+1, "00"&amp;COUNTIFS($C$4:C321, C322, $F$4:F321, F322)+1))</f>
        <v>enpc_F05_A_Antlion_004</v>
      </c>
      <c r="B322" s="16"/>
      <c r="C322" s="16" t="s">
        <v>38</v>
      </c>
      <c r="D322" s="17" t="str">
        <f t="shared" si="14"/>
        <v>앤틸리온</v>
      </c>
      <c r="E322" s="17" t="str">
        <f>VLOOKUP($C322, Factor!$AM$4:$AY$30, 8, 0)</f>
        <v>M</v>
      </c>
      <c r="F322" s="17" t="s">
        <v>113</v>
      </c>
      <c r="G322" s="20">
        <v>49</v>
      </c>
      <c r="H322" s="16" t="s">
        <v>55</v>
      </c>
      <c r="I322" s="17" t="str">
        <f>VLOOKUP($C322, Factor!$AM$4:$AY$30, 11, 0)</f>
        <v>A</v>
      </c>
      <c r="J322" s="17" t="str">
        <f>VLOOKUP($C322, Factor!$AM$4:$AY$30, 12, 0)</f>
        <v>ra</v>
      </c>
      <c r="K322" s="17" t="str">
        <f>VLOOKUP($C322, Factor!$AM$4:$AY$30, 13, 0)</f>
        <v>L</v>
      </c>
      <c r="L322" s="17">
        <v>1</v>
      </c>
      <c r="M322" s="17">
        <v>1</v>
      </c>
      <c r="N322" s="17">
        <v>1</v>
      </c>
      <c r="O322" s="17">
        <v>1</v>
      </c>
      <c r="P322" s="17">
        <v>1</v>
      </c>
      <c r="Q322" s="17">
        <v>1</v>
      </c>
      <c r="R322" s="17" t="str">
        <f>VLOOKUP($C322, Factor!$AM$4:$AY$30, 9, 0)</f>
        <v>Midium</v>
      </c>
      <c r="S322" s="17" t="s">
        <v>397</v>
      </c>
      <c r="T322" s="17" t="str">
        <f>VLOOKUP($C322, Factor!$AM$4:$AY$30, 10, 0)</f>
        <v>enpc</v>
      </c>
      <c r="U322" s="17" cm="1">
        <f t="array" ref="U322">L322*VLOOKUP($I322, Factor!$B$4:$G$8, 2, 0)*VLOOKUP($J322, Factor!$B$12:$G$13, 2, 0)*VLOOKUP($K322, Factor!$B$17:$G$18, 2, 0)*VLOOKUP($H322, Factor!$J$4:$O$7, 2, 0)*VLOOKUP($F322, Factor!$Q$4:$V$15, 2, 0)*IF(MOD($G322,10)=0, 10, MOD($G322, 10))*((INDEX(Factor!$X$4:$AC$13, _xlfn.XMATCH($G322, Factor!$X$4:$X$13, 1),2)*IF(MOD(G322, 10) = 0, 10, MOD(G322, 10)))+INDEX(Factor!$AE$4:$AJ$13, _xlfn.XMATCH(MonsterData!$G322, Factor!$AE$4:$AE$13, 1),2))</f>
        <v>28188</v>
      </c>
      <c r="V322" s="17" cm="1">
        <f t="array" ref="V322">M322*VLOOKUP($I322, Factor!$B$4:$G$8, 3, 0)*VLOOKUP($J322, Factor!$B$12:$G$13, 3, 0)*VLOOKUP($K322, Factor!$B$17:$G$18, 3, 0)*VLOOKUP($H322, Factor!$J$4:$O$7, 3, 0)*VLOOKUP($F322, Factor!$Q$4:$V$15, 3, 0)*IF(MOD($G322,10)=0, 10, MOD($G322, 10))*((INDEX(Factor!$X$4:$AC$13, _xlfn.XMATCH($G322, Factor!$X$4:$X$13, 1),3)*IF(MOD(G322, 10) = 0, 10, MOD(G322, 10)))+INDEX(Factor!$AE$4:$AJ$13, _xlfn.XMATCH(MonsterData!$G322, Factor!$AE$4:$AE$13, 1),3))</f>
        <v>1409.4</v>
      </c>
      <c r="W322" s="17" cm="1">
        <f t="array" ref="W322">N322*VLOOKUP($I322, Factor!$B$4:$G$8, 4, 0)*VLOOKUP($J322, Factor!$B$12:$G$13, 4, 0)*VLOOKUP($K322, Factor!$B$17:$G$18, 4, 0)*VLOOKUP($H322, Factor!$J$4:$O$7, 4, 0)*VLOOKUP($F322, Factor!$Q$4:$V$15, 4, 0)*IF(MOD($G322,10)=0, 10, MOD($G322, 10))*((INDEX(Factor!$X$4:$AC$13, _xlfn.XMATCH($G322, Factor!$X$4:$X$13, 1),4)*IF(MOD(G322, 10) = 0, 10, MOD(G322, 10)))+INDEX(Factor!$AE$4:$AJ$13, _xlfn.XMATCH(MonsterData!$G322, Factor!$AE$4:$AE$13, 1),4))</f>
        <v>1268.4599999999998</v>
      </c>
      <c r="X322" s="17" cm="1">
        <f t="array" ref="X322">O322*VLOOKUP($I322, Factor!$B$4:$G$8, 5, 0)*VLOOKUP($J322, Factor!$B$12:$G$13, 5, 0)*VLOOKUP($K322, Factor!$B$17:$G$18, 5, 0)*VLOOKUP($H322, Factor!$J$4:$O$7, 5, 0)*VLOOKUP($F322, Factor!$Q$4:$V$15, 5, 0)*IF(MOD($G322,10)=0, 10, MOD($G322, 10))*((INDEX(Factor!$X$4:$AC$13, _xlfn.XMATCH($G322, Factor!$X$4:$X$13, 1),5)*IF(MOD(G322, 10) = 0, 10, MOD(G322, 10)))+INDEX(Factor!$AE$4:$AJ$13, _xlfn.XMATCH(MonsterData!$G322, Factor!$AE$4:$AE$13, 1),5))</f>
        <v>352.35</v>
      </c>
      <c r="Y322" s="17" cm="1">
        <f t="array" ref="Y322">P322*VLOOKUP($I322, Factor!$B$4:$G$8, 6, 0)*VLOOKUP($J322, Factor!$B$12:$G$13, 6, 0)*VLOOKUP($K322, Factor!$B$17:$G$18, 6, 0)*VLOOKUP($H322, Factor!$J$4:$O$7, 2, 0)*VLOOKUP($F322, Factor!$Q$4:$V$15, 6, 0)*IF(MOD($G322,10)=0, 10, MOD($G322, 10))*((INDEX(Factor!$X$4:$AC$13, _xlfn.XMATCH($G322, Factor!$X$4:$X$13, 1),6)*IF(MOD(G322, 10) = 0, 10, MOD(G322, 10)))+INDEX(Factor!$AE$4:$AJ$13, _xlfn.XMATCH(MonsterData!$G322, Factor!$AE$4:$AE$13, 1),6))</f>
        <v>1174.5</v>
      </c>
      <c r="Z322" s="17">
        <f>$Q322*VLOOKUP($J322, Factor!$B$12:$H$13, 7, 0)</f>
        <v>4</v>
      </c>
      <c r="AA322" s="17">
        <v>1</v>
      </c>
      <c r="AB322" s="17">
        <f t="shared" si="15"/>
        <v>4</v>
      </c>
      <c r="AC322" s="17" t="s">
        <v>139</v>
      </c>
      <c r="AD322" s="19" t="s">
        <v>142</v>
      </c>
    </row>
    <row r="323" spans="1:30" ht="15.75" customHeight="1">
      <c r="A323" s="13" t="str">
        <f>T323&amp;"_"&amp;F323&amp;VLOOKUP($C323, Factor!$AM$4:$AY$30, 7, 0)&amp;IF(COUNTIFS($C$4:C322, C323, $F$4:F322, F323)+1&gt;=100, COUNTIFS($C$4:C322, C323, $F$4:F322, F323)+1,IF(COUNTIFS($C$4:C322, C323, $F$4:F322, F323)+1&gt;=10, "0"&amp;COUNTIFS($C$4:C322, C323, $F$4:F322, F323)+1, "00"&amp;COUNTIFS($C$4:C322, C323, $F$4:F322, F323)+1))</f>
        <v>enpc_F05_A_Nymphe_004</v>
      </c>
      <c r="B323" s="13"/>
      <c r="C323" s="13" t="s">
        <v>39</v>
      </c>
      <c r="D323" s="21" t="str">
        <f t="shared" si="14"/>
        <v>님프</v>
      </c>
      <c r="E323" s="21" t="str">
        <f>VLOOKUP($C323, Factor!$AM$4:$AY$30, 8, 0)</f>
        <v>S</v>
      </c>
      <c r="F323" s="21" t="s">
        <v>113</v>
      </c>
      <c r="G323" s="22">
        <v>49</v>
      </c>
      <c r="H323" s="13" t="s">
        <v>55</v>
      </c>
      <c r="I323" s="21" t="str">
        <f>VLOOKUP($C323, Factor!$AM$4:$AY$30, 11, 0)</f>
        <v>A</v>
      </c>
      <c r="J323" s="21" t="str">
        <f>VLOOKUP($C323, Factor!$AM$4:$AY$30, 12, 0)</f>
        <v>ml</v>
      </c>
      <c r="K323" s="21" t="str">
        <f>VLOOKUP($C323, Factor!$AM$4:$AY$30, 13, 0)</f>
        <v>F</v>
      </c>
      <c r="L323" s="13">
        <v>1</v>
      </c>
      <c r="M323" s="13">
        <v>1</v>
      </c>
      <c r="N323" s="13">
        <v>1</v>
      </c>
      <c r="O323" s="13">
        <v>1</v>
      </c>
      <c r="P323" s="13">
        <v>1</v>
      </c>
      <c r="Q323" s="13">
        <v>1</v>
      </c>
      <c r="R323" s="21" t="str">
        <f>VLOOKUP($C323, Factor!$AM$4:$AY$30, 9, 0)</f>
        <v>Small</v>
      </c>
      <c r="S323" s="13" t="s">
        <v>409</v>
      </c>
      <c r="T323" s="21" t="str">
        <f>VLOOKUP($C323, Factor!$AM$4:$AY$30, 10, 0)</f>
        <v>enpc</v>
      </c>
      <c r="U323" s="21" cm="1">
        <f t="array" ref="U323">L323*VLOOKUP($I323, Factor!$B$4:$G$8, 2, 0)*VLOOKUP($J323, Factor!$B$12:$G$13, 2, 0)*VLOOKUP($K323, Factor!$B$17:$G$18, 2, 0)*VLOOKUP($H323, Factor!$J$4:$O$7, 2, 0)*VLOOKUP($F323, Factor!$Q$4:$V$15, 2, 0)*IF(MOD($G323,10)=0, 10, MOD($G323, 10))*((INDEX(Factor!$X$4:$AC$13, _xlfn.XMATCH($G323, Factor!$X$4:$X$13, 1),2)*IF(MOD(G323, 10) = 0, 10, MOD(G323, 10)))+INDEX(Factor!$AE$4:$AJ$13, _xlfn.XMATCH(MonsterData!$G323, Factor!$AE$4:$AE$13, 1),2))</f>
        <v>23490</v>
      </c>
      <c r="V323" s="21" cm="1">
        <f t="array" ref="V323">M323*VLOOKUP($I323, Factor!$B$4:$G$8, 3, 0)*VLOOKUP($J323, Factor!$B$12:$G$13, 3, 0)*VLOOKUP($K323, Factor!$B$17:$G$18, 3, 0)*VLOOKUP($H323, Factor!$J$4:$O$7, 3, 0)*VLOOKUP($F323, Factor!$Q$4:$V$15, 3, 0)*IF(MOD($G323,10)=0, 10, MOD($G323, 10))*((INDEX(Factor!$X$4:$AC$13, _xlfn.XMATCH($G323, Factor!$X$4:$X$13, 1),3)*IF(MOD(G323, 10) = 0, 10, MOD(G323, 10)))+INDEX(Factor!$AE$4:$AJ$13, _xlfn.XMATCH(MonsterData!$G323, Factor!$AE$4:$AE$13, 1),3))</f>
        <v>1174.5</v>
      </c>
      <c r="W323" s="21" cm="1">
        <f t="array" ref="W323">N323*VLOOKUP($I323, Factor!$B$4:$G$8, 4, 0)*VLOOKUP($J323, Factor!$B$12:$G$13, 4, 0)*VLOOKUP($K323, Factor!$B$17:$G$18, 4, 0)*VLOOKUP($H323, Factor!$J$4:$O$7, 4, 0)*VLOOKUP($F323, Factor!$Q$4:$V$15, 4, 0)*IF(MOD($G323,10)=0, 10, MOD($G323, 10))*((INDEX(Factor!$X$4:$AC$13, _xlfn.XMATCH($G323, Factor!$X$4:$X$13, 1),4)*IF(MOD(G323, 10) = 0, 10, MOD(G323, 10)))+INDEX(Factor!$AE$4:$AJ$13, _xlfn.XMATCH(MonsterData!$G323, Factor!$AE$4:$AE$13, 1),4))</f>
        <v>704.7</v>
      </c>
      <c r="X323" s="21" cm="1">
        <f t="array" ref="X323">O323*VLOOKUP($I323, Factor!$B$4:$G$8, 5, 0)*VLOOKUP($J323, Factor!$B$12:$G$13, 5, 0)*VLOOKUP($K323, Factor!$B$17:$G$18, 5, 0)*VLOOKUP($H323, Factor!$J$4:$O$7, 5, 0)*VLOOKUP($F323, Factor!$Q$4:$V$15, 5, 0)*IF(MOD($G323,10)=0, 10, MOD($G323, 10))*((INDEX(Factor!$X$4:$AC$13, _xlfn.XMATCH($G323, Factor!$X$4:$X$13, 1),5)*IF(MOD(G323, 10) = 0, 10, MOD(G323, 10)))+INDEX(Factor!$AE$4:$AJ$13, _xlfn.XMATCH(MonsterData!$G323, Factor!$AE$4:$AE$13, 1),5))</f>
        <v>234.89999999999998</v>
      </c>
      <c r="Y323" s="21" cm="1">
        <f t="array" ref="Y323">P323*VLOOKUP($I323, Factor!$B$4:$G$8, 6, 0)*VLOOKUP($J323, Factor!$B$12:$G$13, 6, 0)*VLOOKUP($K323, Factor!$B$17:$G$18, 6, 0)*VLOOKUP($H323, Factor!$J$4:$O$7, 2, 0)*VLOOKUP($F323, Factor!$Q$4:$V$15, 6, 0)*IF(MOD($G323,10)=0, 10, MOD($G323, 10))*((INDEX(Factor!$X$4:$AC$13, _xlfn.XMATCH($G323, Factor!$X$4:$X$13, 1),6)*IF(MOD(G323, 10) = 0, 10, MOD(G323, 10)))+INDEX(Factor!$AE$4:$AJ$13, _xlfn.XMATCH(MonsterData!$G323, Factor!$AE$4:$AE$13, 1),6))</f>
        <v>3523.5</v>
      </c>
      <c r="Z323" s="21">
        <f>$Q323*VLOOKUP($J323, Factor!$B$12:$H$13, 7, 0)</f>
        <v>1</v>
      </c>
      <c r="AA323" s="13">
        <v>1</v>
      </c>
      <c r="AB323" s="21">
        <f t="shared" si="15"/>
        <v>0</v>
      </c>
      <c r="AC323" s="13" t="s">
        <v>139</v>
      </c>
      <c r="AD323" s="15" t="s">
        <v>142</v>
      </c>
    </row>
    <row r="324" spans="1:30" ht="15.75" customHeight="1">
      <c r="A324" s="16" t="str">
        <f>T324&amp;"_"&amp;F324&amp;VLOOKUP($C324, Factor!$AM$4:$AY$30, 7, 0)&amp;IF(COUNTIFS($C$4:C323, C324, $F$4:F323, F324)+1&gt;=100, COUNTIFS($C$4:C323, C324, $F$4:F323, F324)+1,IF(COUNTIFS($C$4:C323, C324, $F$4:F323, F324)+1&gt;=10, "0"&amp;COUNTIFS($C$4:C323, C324, $F$4:F323, F324)+1, "00"&amp;COUNTIFS($C$4:C323, C324, $F$4:F323, F324)+1))</f>
        <v>enpc_F05_B_Golem_004</v>
      </c>
      <c r="B324" s="16"/>
      <c r="C324" s="16" t="s">
        <v>40</v>
      </c>
      <c r="D324" s="17" t="str">
        <f t="shared" si="14"/>
        <v>골렘</v>
      </c>
      <c r="E324" s="17" t="str">
        <f>VLOOKUP($C324, Factor!$AM$4:$AY$30, 8, 0)</f>
        <v>B</v>
      </c>
      <c r="F324" s="17" t="s">
        <v>113</v>
      </c>
      <c r="G324" s="20">
        <v>77</v>
      </c>
      <c r="H324" s="16" t="s">
        <v>57</v>
      </c>
      <c r="I324" s="17" t="str">
        <f>VLOOKUP($C324, Factor!$AM$4:$AY$30, 11, 0)</f>
        <v>B</v>
      </c>
      <c r="J324" s="17" t="str">
        <f>VLOOKUP($C324, Factor!$AM$4:$AY$30, 12, 0)</f>
        <v>ml</v>
      </c>
      <c r="K324" s="17" t="str">
        <f>VLOOKUP($C324, Factor!$AM$4:$AY$30, 13, 0)</f>
        <v>L</v>
      </c>
      <c r="L324" s="17">
        <v>1</v>
      </c>
      <c r="M324" s="17">
        <v>1</v>
      </c>
      <c r="N324" s="17">
        <v>1</v>
      </c>
      <c r="O324" s="17">
        <v>1</v>
      </c>
      <c r="P324" s="17">
        <v>1</v>
      </c>
      <c r="Q324" s="17">
        <v>1</v>
      </c>
      <c r="R324" s="17" t="str">
        <f>VLOOKUP($C324, Factor!$AM$4:$AY$30, 9, 0)</f>
        <v>Big</v>
      </c>
      <c r="S324" s="17" t="s">
        <v>398</v>
      </c>
      <c r="T324" s="17" t="str">
        <f>VLOOKUP($C324, Factor!$AM$4:$AY$30, 10, 0)</f>
        <v>enpc</v>
      </c>
      <c r="U324" s="17" cm="1">
        <f t="array" ref="U324">L324*VLOOKUP($I324, Factor!$B$4:$G$8, 2, 0)*VLOOKUP($J324, Factor!$B$12:$G$13, 2, 0)*VLOOKUP($K324, Factor!$B$17:$G$18, 2, 0)*VLOOKUP($H324, Factor!$J$4:$O$7, 2, 0)*VLOOKUP($F324, Factor!$Q$4:$V$15, 2, 0)*IF(MOD($G324,10)=0, 10, MOD($G324, 10))*((INDEX(Factor!$X$4:$AC$13, _xlfn.XMATCH($G324, Factor!$X$4:$X$13, 1),2)*IF(MOD(G324, 10) = 0, 10, MOD(G324, 10)))+INDEX(Factor!$AE$4:$AJ$13, _xlfn.XMATCH(MonsterData!$G324, Factor!$AE$4:$AE$13, 1),2))</f>
        <v>635040</v>
      </c>
      <c r="V324" s="17" cm="1">
        <f t="array" ref="V324">M324*VLOOKUP($I324, Factor!$B$4:$G$8, 3, 0)*VLOOKUP($J324, Factor!$B$12:$G$13, 3, 0)*VLOOKUP($K324, Factor!$B$17:$G$18, 3, 0)*VLOOKUP($H324, Factor!$J$4:$O$7, 3, 0)*VLOOKUP($F324, Factor!$Q$4:$V$15, 3, 0)*IF(MOD($G324,10)=0, 10, MOD($G324, 10))*((INDEX(Factor!$X$4:$AC$13, _xlfn.XMATCH($G324, Factor!$X$4:$X$13, 1),3)*IF(MOD(G324, 10) = 0, 10, MOD(G324, 10)))+INDEX(Factor!$AE$4:$AJ$13, _xlfn.XMATCH(MonsterData!$G324, Factor!$AE$4:$AE$13, 1),3))</f>
        <v>31752</v>
      </c>
      <c r="W324" s="17" cm="1">
        <f t="array" ref="W324">N324*VLOOKUP($I324, Factor!$B$4:$G$8, 4, 0)*VLOOKUP($J324, Factor!$B$12:$G$13, 4, 0)*VLOOKUP($K324, Factor!$B$17:$G$18, 4, 0)*VLOOKUP($H324, Factor!$J$4:$O$7, 4, 0)*VLOOKUP($F324, Factor!$Q$4:$V$15, 4, 0)*IF(MOD($G324,10)=0, 10, MOD($G324, 10))*((INDEX(Factor!$X$4:$AC$13, _xlfn.XMATCH($G324, Factor!$X$4:$X$13, 1),4)*IF(MOD(G324, 10) = 0, 10, MOD(G324, 10)))+INDEX(Factor!$AE$4:$AJ$13, _xlfn.XMATCH(MonsterData!$G324, Factor!$AE$4:$AE$13, 1),4))</f>
        <v>1587.6000000000001</v>
      </c>
      <c r="X324" s="17" cm="1">
        <f t="array" ref="X324">O324*VLOOKUP($I324, Factor!$B$4:$G$8, 5, 0)*VLOOKUP($J324, Factor!$B$12:$G$13, 5, 0)*VLOOKUP($K324, Factor!$B$17:$G$18, 5, 0)*VLOOKUP($H324, Factor!$J$4:$O$7, 5, 0)*VLOOKUP($F324, Factor!$Q$4:$V$15, 5, 0)*IF(MOD($G324,10)=0, 10, MOD($G324, 10))*((INDEX(Factor!$X$4:$AC$13, _xlfn.XMATCH($G324, Factor!$X$4:$X$13, 1),5)*IF(MOD(G324, 10) = 0, 10, MOD(G324, 10)))+INDEX(Factor!$AE$4:$AJ$13, _xlfn.XMATCH(MonsterData!$G324, Factor!$AE$4:$AE$13, 1),5))</f>
        <v>1693.44</v>
      </c>
      <c r="Y324" s="17" cm="1">
        <f t="array" ref="Y324">P324*VLOOKUP($I324, Factor!$B$4:$G$8, 6, 0)*VLOOKUP($J324, Factor!$B$12:$G$13, 6, 0)*VLOOKUP($K324, Factor!$B$17:$G$18, 6, 0)*VLOOKUP($H324, Factor!$J$4:$O$7, 2, 0)*VLOOKUP($F324, Factor!$Q$4:$V$15, 6, 0)*IF(MOD($G324,10)=0, 10, MOD($G324, 10))*((INDEX(Factor!$X$4:$AC$13, _xlfn.XMATCH($G324, Factor!$X$4:$X$13, 1),6)*IF(MOD(G324, 10) = 0, 10, MOD(G324, 10)))+INDEX(Factor!$AE$4:$AJ$13, _xlfn.XMATCH(MonsterData!$G324, Factor!$AE$4:$AE$13, 1),6))</f>
        <v>3386.88</v>
      </c>
      <c r="Z324" s="17">
        <f>$Q324*VLOOKUP($J324, Factor!$B$12:$H$13, 7, 0)</f>
        <v>1</v>
      </c>
      <c r="AA324" s="17">
        <v>1</v>
      </c>
      <c r="AB324" s="17">
        <f t="shared" si="15"/>
        <v>0</v>
      </c>
      <c r="AC324" s="17" t="s">
        <v>140</v>
      </c>
      <c r="AD324" s="19" t="s">
        <v>143</v>
      </c>
    </row>
    <row r="325" spans="1:30" ht="15.75" customHeight="1">
      <c r="A325" s="13" t="str">
        <f>T325&amp;"_"&amp;F325&amp;VLOOKUP($C325, Factor!$AM$4:$AY$30, 7, 0)&amp;IF(COUNTIFS($C$4:C324, C325, $F$4:F324, F325)+1&gt;=100, COUNTIFS($C$4:C324, C325, $F$4:F324, F325)+1,IF(COUNTIFS($C$4:C324, C325, $F$4:F324, F325)+1&gt;=10, "0"&amp;COUNTIFS($C$4:C324, C325, $F$4:F324, F325)+1, "00"&amp;COUNTIFS($C$4:C324, C325, $F$4:F324, F325)+1))</f>
        <v>enpc_F05_B_Banshee_004</v>
      </c>
      <c r="B325" s="13"/>
      <c r="C325" s="13" t="s">
        <v>42</v>
      </c>
      <c r="D325" s="21" t="str">
        <f t="shared" si="14"/>
        <v>밴시</v>
      </c>
      <c r="E325" s="21" t="str">
        <f>VLOOKUP($C325, Factor!$AM$4:$AY$30, 8, 0)</f>
        <v>S</v>
      </c>
      <c r="F325" s="21" t="s">
        <v>113</v>
      </c>
      <c r="G325" s="22">
        <v>77</v>
      </c>
      <c r="H325" s="13" t="s">
        <v>56</v>
      </c>
      <c r="I325" s="21" t="str">
        <f>VLOOKUP($C325, Factor!$AM$4:$AY$30, 11, 0)</f>
        <v>B</v>
      </c>
      <c r="J325" s="21" t="str">
        <f>VLOOKUP($C325, Factor!$AM$4:$AY$30, 12, 0)</f>
        <v>ra</v>
      </c>
      <c r="K325" s="21" t="str">
        <f>VLOOKUP($C325, Factor!$AM$4:$AY$30, 13, 0)</f>
        <v>L</v>
      </c>
      <c r="L325" s="13">
        <v>1</v>
      </c>
      <c r="M325" s="13">
        <v>1</v>
      </c>
      <c r="N325" s="13">
        <v>1</v>
      </c>
      <c r="O325" s="13">
        <v>1</v>
      </c>
      <c r="P325" s="13">
        <v>1</v>
      </c>
      <c r="Q325" s="13">
        <v>1</v>
      </c>
      <c r="R325" s="21" t="str">
        <f>VLOOKUP($C325, Factor!$AM$4:$AY$30, 9, 0)</f>
        <v>Midium</v>
      </c>
      <c r="S325" s="13" t="s">
        <v>410</v>
      </c>
      <c r="T325" s="21" t="str">
        <f>VLOOKUP($C325, Factor!$AM$4:$AY$30, 10, 0)</f>
        <v>enpc</v>
      </c>
      <c r="U325" s="21" cm="1">
        <f t="array" ref="U325">L325*VLOOKUP($I325, Factor!$B$4:$G$8, 2, 0)*VLOOKUP($J325, Factor!$B$12:$G$13, 2, 0)*VLOOKUP($K325, Factor!$B$17:$G$18, 2, 0)*VLOOKUP($H325, Factor!$J$4:$O$7, 2, 0)*VLOOKUP($F325, Factor!$Q$4:$V$15, 2, 0)*IF(MOD($G325,10)=0, 10, MOD($G325, 10))*((INDEX(Factor!$X$4:$AC$13, _xlfn.XMATCH($G325, Factor!$X$4:$X$13, 1),2)*IF(MOD(G325, 10) = 0, 10, MOD(G325, 10)))+INDEX(Factor!$AE$4:$AJ$13, _xlfn.XMATCH(MonsterData!$G325, Factor!$AE$4:$AE$13, 1),2))</f>
        <v>254016</v>
      </c>
      <c r="V325" s="21" cm="1">
        <f t="array" ref="V325">M325*VLOOKUP($I325, Factor!$B$4:$G$8, 3, 0)*VLOOKUP($J325, Factor!$B$12:$G$13, 3, 0)*VLOOKUP($K325, Factor!$B$17:$G$18, 3, 0)*VLOOKUP($H325, Factor!$J$4:$O$7, 3, 0)*VLOOKUP($F325, Factor!$Q$4:$V$15, 3, 0)*IF(MOD($G325,10)=0, 10, MOD($G325, 10))*((INDEX(Factor!$X$4:$AC$13, _xlfn.XMATCH($G325, Factor!$X$4:$X$13, 1),3)*IF(MOD(G325, 10) = 0, 10, MOD(G325, 10)))+INDEX(Factor!$AE$4:$AJ$13, _xlfn.XMATCH(MonsterData!$G325, Factor!$AE$4:$AE$13, 1),3))</f>
        <v>12700.800000000001</v>
      </c>
      <c r="W325" s="21" cm="1">
        <f t="array" ref="W325">N325*VLOOKUP($I325, Factor!$B$4:$G$8, 4, 0)*VLOOKUP($J325, Factor!$B$12:$G$13, 4, 0)*VLOOKUP($K325, Factor!$B$17:$G$18, 4, 0)*VLOOKUP($H325, Factor!$J$4:$O$7, 4, 0)*VLOOKUP($F325, Factor!$Q$4:$V$15, 4, 0)*IF(MOD($G325,10)=0, 10, MOD($G325, 10))*((INDEX(Factor!$X$4:$AC$13, _xlfn.XMATCH($G325, Factor!$X$4:$X$13, 1),4)*IF(MOD(G325, 10) = 0, 10, MOD(G325, 10)))+INDEX(Factor!$AE$4:$AJ$13, _xlfn.XMATCH(MonsterData!$G325, Factor!$AE$4:$AE$13, 1),4))</f>
        <v>38102.400000000001</v>
      </c>
      <c r="X325" s="21" cm="1">
        <f t="array" ref="X325">O325*VLOOKUP($I325, Factor!$B$4:$G$8, 5, 0)*VLOOKUP($J325, Factor!$B$12:$G$13, 5, 0)*VLOOKUP($K325, Factor!$B$17:$G$18, 5, 0)*VLOOKUP($H325, Factor!$J$4:$O$7, 5, 0)*VLOOKUP($F325, Factor!$Q$4:$V$15, 5, 0)*IF(MOD($G325,10)=0, 10, MOD($G325, 10))*((INDEX(Factor!$X$4:$AC$13, _xlfn.XMATCH($G325, Factor!$X$4:$X$13, 1),5)*IF(MOD(G325, 10) = 0, 10, MOD(G325, 10)))+INDEX(Factor!$AE$4:$AJ$13, _xlfn.XMATCH(MonsterData!$G325, Factor!$AE$4:$AE$13, 1),5))</f>
        <v>1143.0720000000001</v>
      </c>
      <c r="Y325" s="21" cm="1">
        <f t="array" ref="Y325">P325*VLOOKUP($I325, Factor!$B$4:$G$8, 6, 0)*VLOOKUP($J325, Factor!$B$12:$G$13, 6, 0)*VLOOKUP($K325, Factor!$B$17:$G$18, 6, 0)*VLOOKUP($H325, Factor!$J$4:$O$7, 2, 0)*VLOOKUP($F325, Factor!$Q$4:$V$15, 6, 0)*IF(MOD($G325,10)=0, 10, MOD($G325, 10))*((INDEX(Factor!$X$4:$AC$13, _xlfn.XMATCH($G325, Factor!$X$4:$X$13, 1),6)*IF(MOD(G325, 10) = 0, 10, MOD(G325, 10)))+INDEX(Factor!$AE$4:$AJ$13, _xlfn.XMATCH(MonsterData!$G325, Factor!$AE$4:$AE$13, 1),6))</f>
        <v>1693.44</v>
      </c>
      <c r="Z325" s="21">
        <f>$Q325*VLOOKUP($J325, Factor!$B$12:$H$13, 7, 0)</f>
        <v>4</v>
      </c>
      <c r="AA325" s="13">
        <v>1</v>
      </c>
      <c r="AB325" s="21">
        <f t="shared" si="15"/>
        <v>4</v>
      </c>
      <c r="AC325" s="13" t="s">
        <v>141</v>
      </c>
      <c r="AD325" s="15" t="s">
        <v>144</v>
      </c>
    </row>
    <row r="326" spans="1:30" ht="15.75" customHeight="1">
      <c r="A326" s="16" t="str">
        <f>T326&amp;"_"&amp;F326&amp;VLOOKUP($C326, Factor!$AM$4:$AY$30, 7, 0)&amp;IF(COUNTIFS($C$4:C325, C326, $F$4:F325, F326)+1&gt;=100, COUNTIFS($C$4:C325, C326, $F$4:F325, F326)+1,IF(COUNTIFS($C$4:C325, C326, $F$4:F325, F326)+1&gt;=10, "0"&amp;COUNTIFS($C$4:C325, C326, $F$4:F325, F326)+1, "00"&amp;COUNTIFS($C$4:C325, C326, $F$4:F325, F326)+1))</f>
        <v>enpc_F05_A_Scarab_004</v>
      </c>
      <c r="B326" s="16"/>
      <c r="C326" s="16" t="s">
        <v>353</v>
      </c>
      <c r="D326" s="17" t="str">
        <f t="shared" ref="D326:D371" si="16">B326&amp;C326</f>
        <v>스캐럽</v>
      </c>
      <c r="E326" s="17" t="str">
        <f>VLOOKUP($C326, Factor!$AM$4:$AY$30, 8, 0)</f>
        <v>S</v>
      </c>
      <c r="F326" s="17" t="s">
        <v>113</v>
      </c>
      <c r="G326" s="20">
        <v>49</v>
      </c>
      <c r="H326" s="16" t="s">
        <v>55</v>
      </c>
      <c r="I326" s="17" t="str">
        <f>VLOOKUP($C326, Factor!$AM$4:$AY$30, 11, 0)</f>
        <v>A</v>
      </c>
      <c r="J326" s="17" t="str">
        <f>VLOOKUP($C326, Factor!$AM$4:$AY$30, 12, 0)</f>
        <v>ml</v>
      </c>
      <c r="K326" s="17" t="str">
        <f>VLOOKUP($C326, Factor!$AM$4:$AY$30, 13, 0)</f>
        <v>L</v>
      </c>
      <c r="L326" s="17">
        <v>1</v>
      </c>
      <c r="M326" s="17">
        <v>1</v>
      </c>
      <c r="N326" s="17">
        <v>1</v>
      </c>
      <c r="O326" s="17">
        <v>1</v>
      </c>
      <c r="P326" s="17">
        <v>1</v>
      </c>
      <c r="Q326" s="17">
        <v>1</v>
      </c>
      <c r="R326" s="17" t="str">
        <f>VLOOKUP($C326, Factor!$AM$4:$AY$30, 9, 0)</f>
        <v>Midium</v>
      </c>
      <c r="S326" s="17" t="s">
        <v>399</v>
      </c>
      <c r="T326" s="17" t="str">
        <f>VLOOKUP($C326, Factor!$AM$4:$AY$30, 10, 0)</f>
        <v>enpc</v>
      </c>
      <c r="U326" s="17" cm="1">
        <f t="array" ref="U326">L326*VLOOKUP($I326, Factor!$B$4:$G$8, 2, 0)*VLOOKUP($J326, Factor!$B$12:$G$13, 2, 0)*VLOOKUP($K326, Factor!$B$17:$G$18, 2, 0)*VLOOKUP($H326, Factor!$J$4:$O$7, 2, 0)*VLOOKUP($F326, Factor!$Q$4:$V$15, 2, 0)*IF(MOD($G326,10)=0, 10, MOD($G326, 10))*((INDEX(Factor!$X$4:$AC$13, _xlfn.XMATCH($G326, Factor!$X$4:$X$13, 1),2)*IF(MOD(G326, 10) = 0, 10, MOD(G326, 10)))+INDEX(Factor!$AE$4:$AJ$13, _xlfn.XMATCH(MonsterData!$G326, Factor!$AE$4:$AE$13, 1),2))</f>
        <v>35235</v>
      </c>
      <c r="V326" s="17" cm="1">
        <f t="array" ref="V326">M326*VLOOKUP($I326, Factor!$B$4:$G$8, 3, 0)*VLOOKUP($J326, Factor!$B$12:$G$13, 3, 0)*VLOOKUP($K326, Factor!$B$17:$G$18, 3, 0)*VLOOKUP($H326, Factor!$J$4:$O$7, 3, 0)*VLOOKUP($F326, Factor!$Q$4:$V$15, 3, 0)*IF(MOD($G326,10)=0, 10, MOD($G326, 10))*((INDEX(Factor!$X$4:$AC$13, _xlfn.XMATCH($G326, Factor!$X$4:$X$13, 1),3)*IF(MOD(G326, 10) = 0, 10, MOD(G326, 10)))+INDEX(Factor!$AE$4:$AJ$13, _xlfn.XMATCH(MonsterData!$G326, Factor!$AE$4:$AE$13, 1),3))</f>
        <v>1761.75</v>
      </c>
      <c r="W326" s="17" cm="1">
        <f t="array" ref="W326">N326*VLOOKUP($I326, Factor!$B$4:$G$8, 4, 0)*VLOOKUP($J326, Factor!$B$12:$G$13, 4, 0)*VLOOKUP($K326, Factor!$B$17:$G$18, 4, 0)*VLOOKUP($H326, Factor!$J$4:$O$7, 4, 0)*VLOOKUP($F326, Factor!$Q$4:$V$15, 4, 0)*IF(MOD($G326,10)=0, 10, MOD($G326, 10))*((INDEX(Factor!$X$4:$AC$13, _xlfn.XMATCH($G326, Factor!$X$4:$X$13, 1),4)*IF(MOD(G326, 10) = 0, 10, MOD(G326, 10)))+INDEX(Factor!$AE$4:$AJ$13, _xlfn.XMATCH(MonsterData!$G326, Factor!$AE$4:$AE$13, 1),4))</f>
        <v>1057.05</v>
      </c>
      <c r="X326" s="17" cm="1">
        <f t="array" ref="X326">O326*VLOOKUP($I326, Factor!$B$4:$G$8, 5, 0)*VLOOKUP($J326, Factor!$B$12:$G$13, 5, 0)*VLOOKUP($K326, Factor!$B$17:$G$18, 5, 0)*VLOOKUP($H326, Factor!$J$4:$O$7, 5, 0)*VLOOKUP($F326, Factor!$Q$4:$V$15, 5, 0)*IF(MOD($G326,10)=0, 10, MOD($G326, 10))*((INDEX(Factor!$X$4:$AC$13, _xlfn.XMATCH($G326, Factor!$X$4:$X$13, 1),5)*IF(MOD(G326, 10) = 0, 10, MOD(G326, 10)))+INDEX(Factor!$AE$4:$AJ$13, _xlfn.XMATCH(MonsterData!$G326, Factor!$AE$4:$AE$13, 1),5))</f>
        <v>234.89999999999998</v>
      </c>
      <c r="Y326" s="17" cm="1">
        <f t="array" ref="Y326">P326*VLOOKUP($I326, Factor!$B$4:$G$8, 6, 0)*VLOOKUP($J326, Factor!$B$12:$G$13, 6, 0)*VLOOKUP($K326, Factor!$B$17:$G$18, 6, 0)*VLOOKUP($H326, Factor!$J$4:$O$7, 2, 0)*VLOOKUP($F326, Factor!$Q$4:$V$15, 6, 0)*IF(MOD($G326,10)=0, 10, MOD($G326, 10))*((INDEX(Factor!$X$4:$AC$13, _xlfn.XMATCH($G326, Factor!$X$4:$X$13, 1),6)*IF(MOD(G326, 10) = 0, 10, MOD(G326, 10)))+INDEX(Factor!$AE$4:$AJ$13, _xlfn.XMATCH(MonsterData!$G326, Factor!$AE$4:$AE$13, 1),6))</f>
        <v>1174.5</v>
      </c>
      <c r="Z326" s="17">
        <f>$Q326*VLOOKUP($J326, Factor!$B$12:$H$13, 7, 0)</f>
        <v>1</v>
      </c>
      <c r="AA326" s="17">
        <v>1</v>
      </c>
      <c r="AB326" s="17">
        <f t="shared" si="15"/>
        <v>0</v>
      </c>
      <c r="AC326" s="17" t="s">
        <v>139</v>
      </c>
      <c r="AD326" s="19" t="s">
        <v>387</v>
      </c>
    </row>
    <row r="327" spans="1:30" ht="15.75" customHeight="1">
      <c r="A327" s="13" t="str">
        <f>T327&amp;"_"&amp;F327&amp;VLOOKUP($C327, Factor!$AM$4:$AY$30, 7, 0)&amp;IF(COUNTIFS($C$4:C326, C327, $F$4:F326, F327)+1&gt;=100, COUNTIFS($C$4:C326, C327, $F$4:F326, F327)+1,IF(COUNTIFS($C$4:C326, C327, $F$4:F326, F327)+1&gt;=10, "0"&amp;COUNTIFS($C$4:C326, C327, $F$4:F326, F327)+1, "00"&amp;COUNTIFS($C$4:C326, C327, $F$4:F326, F327)+1))</f>
        <v>enpc_F05_A_Swarmlet_004</v>
      </c>
      <c r="B327" s="13"/>
      <c r="C327" s="13" t="s">
        <v>355</v>
      </c>
      <c r="D327" s="21" t="str">
        <f t="shared" si="16"/>
        <v>스웜렛</v>
      </c>
      <c r="E327" s="21" t="str">
        <f>VLOOKUP($C327, Factor!$AM$4:$AY$30, 8, 0)</f>
        <v>B</v>
      </c>
      <c r="F327" s="21" t="s">
        <v>113</v>
      </c>
      <c r="G327" s="22">
        <v>49</v>
      </c>
      <c r="H327" s="13" t="s">
        <v>56</v>
      </c>
      <c r="I327" s="21" t="str">
        <f>VLOOKUP($C327, Factor!$AM$4:$AY$30, 11, 0)</f>
        <v>A</v>
      </c>
      <c r="J327" s="21" t="str">
        <f>VLOOKUP($C327, Factor!$AM$4:$AY$30, 12, 0)</f>
        <v>ml</v>
      </c>
      <c r="K327" s="21" t="str">
        <f>VLOOKUP($C327, Factor!$AM$4:$AY$30, 13, 0)</f>
        <v>L</v>
      </c>
      <c r="L327" s="13">
        <v>1</v>
      </c>
      <c r="M327" s="13">
        <v>1</v>
      </c>
      <c r="N327" s="13">
        <v>1</v>
      </c>
      <c r="O327" s="13">
        <v>1</v>
      </c>
      <c r="P327" s="13">
        <v>1</v>
      </c>
      <c r="Q327" s="13">
        <v>1</v>
      </c>
      <c r="R327" s="21" t="str">
        <f>VLOOKUP($C327, Factor!$AM$4:$AY$30, 9, 0)</f>
        <v>Small</v>
      </c>
      <c r="S327" s="13" t="s">
        <v>405</v>
      </c>
      <c r="T327" s="21" t="str">
        <f>VLOOKUP($C327, Factor!$AM$4:$AY$30, 10, 0)</f>
        <v>enpc</v>
      </c>
      <c r="U327" s="21" cm="1">
        <f t="array" ref="U327">L327*VLOOKUP($I327, Factor!$B$4:$G$8, 2, 0)*VLOOKUP($J327, Factor!$B$12:$G$13, 2, 0)*VLOOKUP($K327, Factor!$B$17:$G$18, 2, 0)*VLOOKUP($H327, Factor!$J$4:$O$7, 2, 0)*VLOOKUP($F327, Factor!$Q$4:$V$15, 2, 0)*IF(MOD($G327,10)=0, 10, MOD($G327, 10))*((INDEX(Factor!$X$4:$AC$13, _xlfn.XMATCH($G327, Factor!$X$4:$X$13, 1),2)*IF(MOD(G327, 10) = 0, 10, MOD(G327, 10)))+INDEX(Factor!$AE$4:$AJ$13, _xlfn.XMATCH(MonsterData!$G327, Factor!$AE$4:$AE$13, 1),2))</f>
        <v>35235</v>
      </c>
      <c r="V327" s="21" cm="1">
        <f t="array" ref="V327">M327*VLOOKUP($I327, Factor!$B$4:$G$8, 3, 0)*VLOOKUP($J327, Factor!$B$12:$G$13, 3, 0)*VLOOKUP($K327, Factor!$B$17:$G$18, 3, 0)*VLOOKUP($H327, Factor!$J$4:$O$7, 3, 0)*VLOOKUP($F327, Factor!$Q$4:$V$15, 3, 0)*IF(MOD($G327,10)=0, 10, MOD($G327, 10))*((INDEX(Factor!$X$4:$AC$13, _xlfn.XMATCH($G327, Factor!$X$4:$X$13, 1),3)*IF(MOD(G327, 10) = 0, 10, MOD(G327, 10)))+INDEX(Factor!$AE$4:$AJ$13, _xlfn.XMATCH(MonsterData!$G327, Factor!$AE$4:$AE$13, 1),3))</f>
        <v>1761.75</v>
      </c>
      <c r="W327" s="21" cm="1">
        <f t="array" ref="W327">N327*VLOOKUP($I327, Factor!$B$4:$G$8, 4, 0)*VLOOKUP($J327, Factor!$B$12:$G$13, 4, 0)*VLOOKUP($K327, Factor!$B$17:$G$18, 4, 0)*VLOOKUP($H327, Factor!$J$4:$O$7, 4, 0)*VLOOKUP($F327, Factor!$Q$4:$V$15, 4, 0)*IF(MOD($G327,10)=0, 10, MOD($G327, 10))*((INDEX(Factor!$X$4:$AC$13, _xlfn.XMATCH($G327, Factor!$X$4:$X$13, 1),4)*IF(MOD(G327, 10) = 0, 10, MOD(G327, 10)))+INDEX(Factor!$AE$4:$AJ$13, _xlfn.XMATCH(MonsterData!$G327, Factor!$AE$4:$AE$13, 1),4))</f>
        <v>2114.1</v>
      </c>
      <c r="X327" s="21" cm="1">
        <f t="array" ref="X327">O327*VLOOKUP($I327, Factor!$B$4:$G$8, 5, 0)*VLOOKUP($J327, Factor!$B$12:$G$13, 5, 0)*VLOOKUP($K327, Factor!$B$17:$G$18, 5, 0)*VLOOKUP($H327, Factor!$J$4:$O$7, 5, 0)*VLOOKUP($F327, Factor!$Q$4:$V$15, 5, 0)*IF(MOD($G327,10)=0, 10, MOD($G327, 10))*((INDEX(Factor!$X$4:$AC$13, _xlfn.XMATCH($G327, Factor!$X$4:$X$13, 1),5)*IF(MOD(G327, 10) = 0, 10, MOD(G327, 10)))+INDEX(Factor!$AE$4:$AJ$13, _xlfn.XMATCH(MonsterData!$G327, Factor!$AE$4:$AE$13, 1),5))</f>
        <v>211.41000000000003</v>
      </c>
      <c r="Y327" s="21" cm="1">
        <f t="array" ref="Y327">P327*VLOOKUP($I327, Factor!$B$4:$G$8, 6, 0)*VLOOKUP($J327, Factor!$B$12:$G$13, 6, 0)*VLOOKUP($K327, Factor!$B$17:$G$18, 6, 0)*VLOOKUP($H327, Factor!$J$4:$O$7, 2, 0)*VLOOKUP($F327, Factor!$Q$4:$V$15, 6, 0)*IF(MOD($G327,10)=0, 10, MOD($G327, 10))*((INDEX(Factor!$X$4:$AC$13, _xlfn.XMATCH($G327, Factor!$X$4:$X$13, 1),6)*IF(MOD(G327, 10) = 0, 10, MOD(G327, 10)))+INDEX(Factor!$AE$4:$AJ$13, _xlfn.XMATCH(MonsterData!$G327, Factor!$AE$4:$AE$13, 1),6))</f>
        <v>1174.5</v>
      </c>
      <c r="Z327" s="21">
        <f>$Q327*VLOOKUP($J327, Factor!$B$12:$H$13, 7, 0)</f>
        <v>1</v>
      </c>
      <c r="AA327" s="13">
        <v>1</v>
      </c>
      <c r="AB327" s="21">
        <f t="shared" si="15"/>
        <v>0</v>
      </c>
      <c r="AC327" s="13" t="s">
        <v>139</v>
      </c>
      <c r="AD327" s="15" t="s">
        <v>387</v>
      </c>
    </row>
    <row r="328" spans="1:30" ht="15.75" customHeight="1">
      <c r="A328" s="16" t="str">
        <f>T328&amp;"_"&amp;F328&amp;VLOOKUP($C328, Factor!$AM$4:$AY$30, 7, 0)&amp;IF(COUNTIFS($C$4:C327, C328, $F$4:F327, F328)+1&gt;=100, COUNTIFS($C$4:C327, C328, $F$4:F327, F328)+1,IF(COUNTIFS($C$4:C327, C328, $F$4:F327, F328)+1&gt;=10, "0"&amp;COUNTIFS($C$4:C327, C328, $F$4:F327, F328)+1, "00"&amp;COUNTIFS($C$4:C327, C328, $F$4:F327, F328)+1))</f>
        <v>enpc_F05_A_Mantis_004</v>
      </c>
      <c r="B328" s="16"/>
      <c r="C328" s="16" t="s">
        <v>357</v>
      </c>
      <c r="D328" s="17" t="str">
        <f t="shared" si="16"/>
        <v>맨티스</v>
      </c>
      <c r="E328" s="17" t="str">
        <f>VLOOKUP($C328, Factor!$AM$4:$AY$30, 8, 0)</f>
        <v>S</v>
      </c>
      <c r="F328" s="17" t="s">
        <v>113</v>
      </c>
      <c r="G328" s="20">
        <v>49</v>
      </c>
      <c r="H328" s="16" t="s">
        <v>55</v>
      </c>
      <c r="I328" s="17" t="str">
        <f>VLOOKUP($C328, Factor!$AM$4:$AY$30, 11, 0)</f>
        <v>A</v>
      </c>
      <c r="J328" s="17" t="str">
        <f>VLOOKUP($C328, Factor!$AM$4:$AY$30, 12, 0)</f>
        <v>ml</v>
      </c>
      <c r="K328" s="17" t="str">
        <f>VLOOKUP($C328, Factor!$AM$4:$AY$30, 13, 0)</f>
        <v>L</v>
      </c>
      <c r="L328" s="17">
        <v>1</v>
      </c>
      <c r="M328" s="17">
        <v>1</v>
      </c>
      <c r="N328" s="17">
        <v>1</v>
      </c>
      <c r="O328" s="17">
        <v>1</v>
      </c>
      <c r="P328" s="17">
        <v>1</v>
      </c>
      <c r="Q328" s="17">
        <v>1</v>
      </c>
      <c r="R328" s="17" t="str">
        <f>VLOOKUP($C328, Factor!$AM$4:$AY$30, 9, 0)</f>
        <v>Small</v>
      </c>
      <c r="S328" s="17" t="s">
        <v>400</v>
      </c>
      <c r="T328" s="17" t="str">
        <f>VLOOKUP($C328, Factor!$AM$4:$AY$30, 10, 0)</f>
        <v>enpc</v>
      </c>
      <c r="U328" s="17" cm="1">
        <f t="array" ref="U328">L328*VLOOKUP($I328, Factor!$B$4:$G$8, 2, 0)*VLOOKUP($J328, Factor!$B$12:$G$13, 2, 0)*VLOOKUP($K328, Factor!$B$17:$G$18, 2, 0)*VLOOKUP($H328, Factor!$J$4:$O$7, 2, 0)*VLOOKUP($F328, Factor!$Q$4:$V$15, 2, 0)*IF(MOD($G328,10)=0, 10, MOD($G328, 10))*((INDEX(Factor!$X$4:$AC$13, _xlfn.XMATCH($G328, Factor!$X$4:$X$13, 1),2)*IF(MOD(G328, 10) = 0, 10, MOD(G328, 10)))+INDEX(Factor!$AE$4:$AJ$13, _xlfn.XMATCH(MonsterData!$G328, Factor!$AE$4:$AE$13, 1),2))</f>
        <v>35235</v>
      </c>
      <c r="V328" s="17" cm="1">
        <f t="array" ref="V328">M328*VLOOKUP($I328, Factor!$B$4:$G$8, 3, 0)*VLOOKUP($J328, Factor!$B$12:$G$13, 3, 0)*VLOOKUP($K328, Factor!$B$17:$G$18, 3, 0)*VLOOKUP($H328, Factor!$J$4:$O$7, 3, 0)*VLOOKUP($F328, Factor!$Q$4:$V$15, 3, 0)*IF(MOD($G328,10)=0, 10, MOD($G328, 10))*((INDEX(Factor!$X$4:$AC$13, _xlfn.XMATCH($G328, Factor!$X$4:$X$13, 1),3)*IF(MOD(G328, 10) = 0, 10, MOD(G328, 10)))+INDEX(Factor!$AE$4:$AJ$13, _xlfn.XMATCH(MonsterData!$G328, Factor!$AE$4:$AE$13, 1),3))</f>
        <v>1761.75</v>
      </c>
      <c r="W328" s="17" cm="1">
        <f t="array" ref="W328">N328*VLOOKUP($I328, Factor!$B$4:$G$8, 4, 0)*VLOOKUP($J328, Factor!$B$12:$G$13, 4, 0)*VLOOKUP($K328, Factor!$B$17:$G$18, 4, 0)*VLOOKUP($H328, Factor!$J$4:$O$7, 4, 0)*VLOOKUP($F328, Factor!$Q$4:$V$15, 4, 0)*IF(MOD($G328,10)=0, 10, MOD($G328, 10))*((INDEX(Factor!$X$4:$AC$13, _xlfn.XMATCH($G328, Factor!$X$4:$X$13, 1),4)*IF(MOD(G328, 10) = 0, 10, MOD(G328, 10)))+INDEX(Factor!$AE$4:$AJ$13, _xlfn.XMATCH(MonsterData!$G328, Factor!$AE$4:$AE$13, 1),4))</f>
        <v>1057.05</v>
      </c>
      <c r="X328" s="17" cm="1">
        <f t="array" ref="X328">O328*VLOOKUP($I328, Factor!$B$4:$G$8, 5, 0)*VLOOKUP($J328, Factor!$B$12:$G$13, 5, 0)*VLOOKUP($K328, Factor!$B$17:$G$18, 5, 0)*VLOOKUP($H328, Factor!$J$4:$O$7, 5, 0)*VLOOKUP($F328, Factor!$Q$4:$V$15, 5, 0)*IF(MOD($G328,10)=0, 10, MOD($G328, 10))*((INDEX(Factor!$X$4:$AC$13, _xlfn.XMATCH($G328, Factor!$X$4:$X$13, 1),5)*IF(MOD(G328, 10) = 0, 10, MOD(G328, 10)))+INDEX(Factor!$AE$4:$AJ$13, _xlfn.XMATCH(MonsterData!$G328, Factor!$AE$4:$AE$13, 1),5))</f>
        <v>234.89999999999998</v>
      </c>
      <c r="Y328" s="17" cm="1">
        <f t="array" ref="Y328">P328*VLOOKUP($I328, Factor!$B$4:$G$8, 6, 0)*VLOOKUP($J328, Factor!$B$12:$G$13, 6, 0)*VLOOKUP($K328, Factor!$B$17:$G$18, 6, 0)*VLOOKUP($H328, Factor!$J$4:$O$7, 2, 0)*VLOOKUP($F328, Factor!$Q$4:$V$15, 6, 0)*IF(MOD($G328,10)=0, 10, MOD($G328, 10))*((INDEX(Factor!$X$4:$AC$13, _xlfn.XMATCH($G328, Factor!$X$4:$X$13, 1),6)*IF(MOD(G328, 10) = 0, 10, MOD(G328, 10)))+INDEX(Factor!$AE$4:$AJ$13, _xlfn.XMATCH(MonsterData!$G328, Factor!$AE$4:$AE$13, 1),6))</f>
        <v>1174.5</v>
      </c>
      <c r="Z328" s="17">
        <f>$Q328*VLOOKUP($J328, Factor!$B$12:$H$13, 7, 0)</f>
        <v>1</v>
      </c>
      <c r="AA328" s="17">
        <v>1</v>
      </c>
      <c r="AB328" s="17">
        <f t="shared" si="15"/>
        <v>0</v>
      </c>
      <c r="AC328" s="17" t="s">
        <v>139</v>
      </c>
      <c r="AD328" s="19" t="s">
        <v>387</v>
      </c>
    </row>
    <row r="329" spans="1:30" ht="15.75" customHeight="1">
      <c r="A329" s="13" t="str">
        <f>T329&amp;"_"&amp;F329&amp;VLOOKUP($C329, Factor!$AM$4:$AY$30, 7, 0)&amp;IF(COUNTIFS($C$4:C328, C329, $F$4:F328, F329)+1&gt;=100, COUNTIFS($C$4:C328, C329, $F$4:F328, F329)+1,IF(COUNTIFS($C$4:C328, C329, $F$4:F328, F329)+1&gt;=10, "0"&amp;COUNTIFS($C$4:C328, C329, $F$4:F328, F329)+1, "00"&amp;COUNTIFS($C$4:C328, C329, $F$4:F328, F329)+1))</f>
        <v>enpc_F05_B_Kobold_004</v>
      </c>
      <c r="B329" s="13"/>
      <c r="C329" s="13" t="s">
        <v>359</v>
      </c>
      <c r="D329" s="21" t="str">
        <f t="shared" si="16"/>
        <v>코볼트</v>
      </c>
      <c r="E329" s="21" t="str">
        <f>VLOOKUP($C329, Factor!$AM$4:$AY$30, 8, 0)</f>
        <v>M</v>
      </c>
      <c r="F329" s="21" t="s">
        <v>113</v>
      </c>
      <c r="G329" s="22">
        <v>77</v>
      </c>
      <c r="H329" s="13" t="s">
        <v>56</v>
      </c>
      <c r="I329" s="21" t="str">
        <f>VLOOKUP($C329, Factor!$AM$4:$AY$30, 11, 0)</f>
        <v>B</v>
      </c>
      <c r="J329" s="21" t="str">
        <f>VLOOKUP($C329, Factor!$AM$4:$AY$30, 12, 0)</f>
        <v>ml</v>
      </c>
      <c r="K329" s="21" t="str">
        <f>VLOOKUP($C329, Factor!$AM$4:$AY$30, 13, 0)</f>
        <v>L</v>
      </c>
      <c r="L329" s="13">
        <v>1</v>
      </c>
      <c r="M329" s="13">
        <v>1</v>
      </c>
      <c r="N329" s="13">
        <v>1</v>
      </c>
      <c r="O329" s="13">
        <v>1</v>
      </c>
      <c r="P329" s="13">
        <v>1</v>
      </c>
      <c r="Q329" s="13">
        <v>1</v>
      </c>
      <c r="R329" s="21" t="str">
        <f>VLOOKUP($C329, Factor!$AM$4:$AY$30, 9, 0)</f>
        <v>Small</v>
      </c>
      <c r="S329" s="13" t="s">
        <v>406</v>
      </c>
      <c r="T329" s="21" t="str">
        <f>VLOOKUP($C329, Factor!$AM$4:$AY$30, 10, 0)</f>
        <v>enpc</v>
      </c>
      <c r="U329" s="21" cm="1">
        <f t="array" ref="U329">L329*VLOOKUP($I329, Factor!$B$4:$G$8, 2, 0)*VLOOKUP($J329, Factor!$B$12:$G$13, 2, 0)*VLOOKUP($K329, Factor!$B$17:$G$18, 2, 0)*VLOOKUP($H329, Factor!$J$4:$O$7, 2, 0)*VLOOKUP($F329, Factor!$Q$4:$V$15, 2, 0)*IF(MOD($G329,10)=0, 10, MOD($G329, 10))*((INDEX(Factor!$X$4:$AC$13, _xlfn.XMATCH($G329, Factor!$X$4:$X$13, 1),2)*IF(MOD(G329, 10) = 0, 10, MOD(G329, 10)))+INDEX(Factor!$AE$4:$AJ$13, _xlfn.XMATCH(MonsterData!$G329, Factor!$AE$4:$AE$13, 1),2))</f>
        <v>317520</v>
      </c>
      <c r="V329" s="21" cm="1">
        <f t="array" ref="V329">M329*VLOOKUP($I329, Factor!$B$4:$G$8, 3, 0)*VLOOKUP($J329, Factor!$B$12:$G$13, 3, 0)*VLOOKUP($K329, Factor!$B$17:$G$18, 3, 0)*VLOOKUP($H329, Factor!$J$4:$O$7, 3, 0)*VLOOKUP($F329, Factor!$Q$4:$V$15, 3, 0)*IF(MOD($G329,10)=0, 10, MOD($G329, 10))*((INDEX(Factor!$X$4:$AC$13, _xlfn.XMATCH($G329, Factor!$X$4:$X$13, 1),3)*IF(MOD(G329, 10) = 0, 10, MOD(G329, 10)))+INDEX(Factor!$AE$4:$AJ$13, _xlfn.XMATCH(MonsterData!$G329, Factor!$AE$4:$AE$13, 1),3))</f>
        <v>15876</v>
      </c>
      <c r="W329" s="21" cm="1">
        <f t="array" ref="W329">N329*VLOOKUP($I329, Factor!$B$4:$G$8, 4, 0)*VLOOKUP($J329, Factor!$B$12:$G$13, 4, 0)*VLOOKUP($K329, Factor!$B$17:$G$18, 4, 0)*VLOOKUP($H329, Factor!$J$4:$O$7, 4, 0)*VLOOKUP($F329, Factor!$Q$4:$V$15, 4, 0)*IF(MOD($G329,10)=0, 10, MOD($G329, 10))*((INDEX(Factor!$X$4:$AC$13, _xlfn.XMATCH($G329, Factor!$X$4:$X$13, 1),4)*IF(MOD(G329, 10) = 0, 10, MOD(G329, 10)))+INDEX(Factor!$AE$4:$AJ$13, _xlfn.XMATCH(MonsterData!$G329, Factor!$AE$4:$AE$13, 1),4))</f>
        <v>31752</v>
      </c>
      <c r="X329" s="21" cm="1">
        <f t="array" ref="X329">O329*VLOOKUP($I329, Factor!$B$4:$G$8, 5, 0)*VLOOKUP($J329, Factor!$B$12:$G$13, 5, 0)*VLOOKUP($K329, Factor!$B$17:$G$18, 5, 0)*VLOOKUP($H329, Factor!$J$4:$O$7, 5, 0)*VLOOKUP($F329, Factor!$Q$4:$V$15, 5, 0)*IF(MOD($G329,10)=0, 10, MOD($G329, 10))*((INDEX(Factor!$X$4:$AC$13, _xlfn.XMATCH($G329, Factor!$X$4:$X$13, 1),5)*IF(MOD(G329, 10) = 0, 10, MOD(G329, 10)))+INDEX(Factor!$AE$4:$AJ$13, _xlfn.XMATCH(MonsterData!$G329, Factor!$AE$4:$AE$13, 1),5))</f>
        <v>762.048</v>
      </c>
      <c r="Y329" s="21" cm="1">
        <f t="array" ref="Y329">P329*VLOOKUP($I329, Factor!$B$4:$G$8, 6, 0)*VLOOKUP($J329, Factor!$B$12:$G$13, 6, 0)*VLOOKUP($K329, Factor!$B$17:$G$18, 6, 0)*VLOOKUP($H329, Factor!$J$4:$O$7, 2, 0)*VLOOKUP($F329, Factor!$Q$4:$V$15, 6, 0)*IF(MOD($G329,10)=0, 10, MOD($G329, 10))*((INDEX(Factor!$X$4:$AC$13, _xlfn.XMATCH($G329, Factor!$X$4:$X$13, 1),6)*IF(MOD(G329, 10) = 0, 10, MOD(G329, 10)))+INDEX(Factor!$AE$4:$AJ$13, _xlfn.XMATCH(MonsterData!$G329, Factor!$AE$4:$AE$13, 1),6))</f>
        <v>1693.44</v>
      </c>
      <c r="Z329" s="21">
        <f>$Q329*VLOOKUP($J329, Factor!$B$12:$H$13, 7, 0)</f>
        <v>1</v>
      </c>
      <c r="AA329" s="13">
        <v>1</v>
      </c>
      <c r="AB329" s="21">
        <f t="shared" si="15"/>
        <v>0</v>
      </c>
      <c r="AC329" s="13" t="s">
        <v>393</v>
      </c>
      <c r="AD329" s="15" t="s">
        <v>388</v>
      </c>
    </row>
    <row r="330" spans="1:30" ht="15.75" customHeight="1">
      <c r="A330" s="16" t="str">
        <f>T330&amp;"_"&amp;F330&amp;VLOOKUP($C330, Factor!$AM$4:$AY$30, 7, 0)&amp;IF(COUNTIFS($C$4:C329, C330, $F$4:F329, F330)+1&gt;=100, COUNTIFS($C$4:C329, C330, $F$4:F329, F330)+1,IF(COUNTIFS($C$4:C329, C330, $F$4:F329, F330)+1&gt;=10, "0"&amp;COUNTIFS($C$4:C329, C330, $F$4:F329, F330)+1, "00"&amp;COUNTIFS($C$4:C329, C330, $F$4:F329, F330)+1))</f>
        <v>enpc_F05_B_Ghoul_004</v>
      </c>
      <c r="B330" s="16"/>
      <c r="C330" s="16" t="s">
        <v>361</v>
      </c>
      <c r="D330" s="17" t="str">
        <f t="shared" si="16"/>
        <v>구울</v>
      </c>
      <c r="E330" s="17" t="str">
        <f>VLOOKUP($C330, Factor!$AM$4:$AY$30, 8, 0)</f>
        <v>M</v>
      </c>
      <c r="F330" s="17" t="s">
        <v>113</v>
      </c>
      <c r="G330" s="20">
        <v>77</v>
      </c>
      <c r="H330" s="16" t="s">
        <v>55</v>
      </c>
      <c r="I330" s="17" t="str">
        <f>VLOOKUP($C330, Factor!$AM$4:$AY$30, 11, 0)</f>
        <v>B</v>
      </c>
      <c r="J330" s="17" t="str">
        <f>VLOOKUP($C330, Factor!$AM$4:$AY$30, 12, 0)</f>
        <v>ml</v>
      </c>
      <c r="K330" s="17" t="str">
        <f>VLOOKUP($C330, Factor!$AM$4:$AY$30, 13, 0)</f>
        <v>L</v>
      </c>
      <c r="L330" s="17">
        <v>1</v>
      </c>
      <c r="M330" s="17">
        <v>1</v>
      </c>
      <c r="N330" s="17">
        <v>1</v>
      </c>
      <c r="O330" s="17">
        <v>1</v>
      </c>
      <c r="P330" s="17">
        <v>1</v>
      </c>
      <c r="Q330" s="17">
        <v>1</v>
      </c>
      <c r="R330" s="17" t="str">
        <f>VLOOKUP($C330, Factor!$AM$4:$AY$30, 9, 0)</f>
        <v>Midium</v>
      </c>
      <c r="S330" s="17" t="s">
        <v>401</v>
      </c>
      <c r="T330" s="17" t="str">
        <f>VLOOKUP($C330, Factor!$AM$4:$AY$30, 10, 0)</f>
        <v>enpc</v>
      </c>
      <c r="U330" s="17" cm="1">
        <f t="array" ref="U330">L330*VLOOKUP($I330, Factor!$B$4:$G$8, 2, 0)*VLOOKUP($J330, Factor!$B$12:$G$13, 2, 0)*VLOOKUP($K330, Factor!$B$17:$G$18, 2, 0)*VLOOKUP($H330, Factor!$J$4:$O$7, 2, 0)*VLOOKUP($F330, Factor!$Q$4:$V$15, 2, 0)*IF(MOD($G330,10)=0, 10, MOD($G330, 10))*((INDEX(Factor!$X$4:$AC$13, _xlfn.XMATCH($G330, Factor!$X$4:$X$13, 1),2)*IF(MOD(G330, 10) = 0, 10, MOD(G330, 10)))+INDEX(Factor!$AE$4:$AJ$13, _xlfn.XMATCH(MonsterData!$G330, Factor!$AE$4:$AE$13, 1),2))</f>
        <v>317520</v>
      </c>
      <c r="V330" s="17" cm="1">
        <f t="array" ref="V330">M330*VLOOKUP($I330, Factor!$B$4:$G$8, 3, 0)*VLOOKUP($J330, Factor!$B$12:$G$13, 3, 0)*VLOOKUP($K330, Factor!$B$17:$G$18, 3, 0)*VLOOKUP($H330, Factor!$J$4:$O$7, 3, 0)*VLOOKUP($F330, Factor!$Q$4:$V$15, 3, 0)*IF(MOD($G330,10)=0, 10, MOD($G330, 10))*((INDEX(Factor!$X$4:$AC$13, _xlfn.XMATCH($G330, Factor!$X$4:$X$13, 1),3)*IF(MOD(G330, 10) = 0, 10, MOD(G330, 10)))+INDEX(Factor!$AE$4:$AJ$13, _xlfn.XMATCH(MonsterData!$G330, Factor!$AE$4:$AE$13, 1),3))</f>
        <v>15876</v>
      </c>
      <c r="W330" s="17" cm="1">
        <f t="array" ref="W330">N330*VLOOKUP($I330, Factor!$B$4:$G$8, 4, 0)*VLOOKUP($J330, Factor!$B$12:$G$13, 4, 0)*VLOOKUP($K330, Factor!$B$17:$G$18, 4, 0)*VLOOKUP($H330, Factor!$J$4:$O$7, 4, 0)*VLOOKUP($F330, Factor!$Q$4:$V$15, 4, 0)*IF(MOD($G330,10)=0, 10, MOD($G330, 10))*((INDEX(Factor!$X$4:$AC$13, _xlfn.XMATCH($G330, Factor!$X$4:$X$13, 1),4)*IF(MOD(G330, 10) = 0, 10, MOD(G330, 10)))+INDEX(Factor!$AE$4:$AJ$13, _xlfn.XMATCH(MonsterData!$G330, Factor!$AE$4:$AE$13, 1),4))</f>
        <v>15876</v>
      </c>
      <c r="X330" s="17" cm="1">
        <f t="array" ref="X330">O330*VLOOKUP($I330, Factor!$B$4:$G$8, 5, 0)*VLOOKUP($J330, Factor!$B$12:$G$13, 5, 0)*VLOOKUP($K330, Factor!$B$17:$G$18, 5, 0)*VLOOKUP($H330, Factor!$J$4:$O$7, 5, 0)*VLOOKUP($F330, Factor!$Q$4:$V$15, 5, 0)*IF(MOD($G330,10)=0, 10, MOD($G330, 10))*((INDEX(Factor!$X$4:$AC$13, _xlfn.XMATCH($G330, Factor!$X$4:$X$13, 1),5)*IF(MOD(G330, 10) = 0, 10, MOD(G330, 10)))+INDEX(Factor!$AE$4:$AJ$13, _xlfn.XMATCH(MonsterData!$G330, Factor!$AE$4:$AE$13, 1),5))</f>
        <v>846.72</v>
      </c>
      <c r="Y330" s="17" cm="1">
        <f t="array" ref="Y330">P330*VLOOKUP($I330, Factor!$B$4:$G$8, 6, 0)*VLOOKUP($J330, Factor!$B$12:$G$13, 6, 0)*VLOOKUP($K330, Factor!$B$17:$G$18, 6, 0)*VLOOKUP($H330, Factor!$J$4:$O$7, 2, 0)*VLOOKUP($F330, Factor!$Q$4:$V$15, 6, 0)*IF(MOD($G330,10)=0, 10, MOD($G330, 10))*((INDEX(Factor!$X$4:$AC$13, _xlfn.XMATCH($G330, Factor!$X$4:$X$13, 1),6)*IF(MOD(G330, 10) = 0, 10, MOD(G330, 10)))+INDEX(Factor!$AE$4:$AJ$13, _xlfn.XMATCH(MonsterData!$G330, Factor!$AE$4:$AE$13, 1),6))</f>
        <v>1693.44</v>
      </c>
      <c r="Z330" s="17">
        <f>$Q330*VLOOKUP($J330, Factor!$B$12:$H$13, 7, 0)</f>
        <v>1</v>
      </c>
      <c r="AA330" s="17">
        <v>1</v>
      </c>
      <c r="AB330" s="17">
        <f t="shared" si="15"/>
        <v>0</v>
      </c>
      <c r="AC330" s="17" t="s">
        <v>394</v>
      </c>
      <c r="AD330" s="19" t="s">
        <v>389</v>
      </c>
    </row>
    <row r="331" spans="1:30" ht="15.75" customHeight="1">
      <c r="A331" s="13" t="str">
        <f>T331&amp;"_"&amp;F331&amp;VLOOKUP($C331, Factor!$AM$4:$AY$30, 7, 0)&amp;IF(COUNTIFS($C$4:C330, C331, $F$4:F330, F331)+1&gt;=100, COUNTIFS($C$4:C330, C331, $F$4:F330, F331)+1,IF(COUNTIFS($C$4:C330, C331, $F$4:F330, F331)+1&gt;=10, "0"&amp;COUNTIFS($C$4:C330, C331, $F$4:F330, F331)+1, "00"&amp;COUNTIFS($C$4:C330, C331, $F$4:F330, F331)+1))</f>
        <v>enpc_F05_B_Gorgon_004</v>
      </c>
      <c r="B331" s="13"/>
      <c r="C331" s="13" t="s">
        <v>363</v>
      </c>
      <c r="D331" s="21" t="str">
        <f t="shared" si="16"/>
        <v>고르곤</v>
      </c>
      <c r="E331" s="21" t="str">
        <f>VLOOKUP($C331, Factor!$AM$4:$AY$30, 8, 0)</f>
        <v>B</v>
      </c>
      <c r="F331" s="21" t="s">
        <v>113</v>
      </c>
      <c r="G331" s="22">
        <v>77</v>
      </c>
      <c r="H331" s="13" t="s">
        <v>56</v>
      </c>
      <c r="I331" s="21" t="str">
        <f>VLOOKUP($C331, Factor!$AM$4:$AY$30, 11, 0)</f>
        <v>B</v>
      </c>
      <c r="J331" s="21" t="str">
        <f>VLOOKUP($C331, Factor!$AM$4:$AY$30, 12, 0)</f>
        <v>ml</v>
      </c>
      <c r="K331" s="21" t="str">
        <f>VLOOKUP($C331, Factor!$AM$4:$AY$30, 13, 0)</f>
        <v>L</v>
      </c>
      <c r="L331" s="13">
        <v>1</v>
      </c>
      <c r="M331" s="13">
        <v>1</v>
      </c>
      <c r="N331" s="13">
        <v>1</v>
      </c>
      <c r="O331" s="13">
        <v>1</v>
      </c>
      <c r="P331" s="13">
        <v>1</v>
      </c>
      <c r="Q331" s="13">
        <v>1</v>
      </c>
      <c r="R331" s="21" t="str">
        <f>VLOOKUP($C331, Factor!$AM$4:$AY$30, 9, 0)</f>
        <v>Midium</v>
      </c>
      <c r="S331" s="13" t="s">
        <v>407</v>
      </c>
      <c r="T331" s="21" t="str">
        <f>VLOOKUP($C331, Factor!$AM$4:$AY$30, 10, 0)</f>
        <v>enpc</v>
      </c>
      <c r="U331" s="21" cm="1">
        <f t="array" ref="U331">L331*VLOOKUP($I331, Factor!$B$4:$G$8, 2, 0)*VLOOKUP($J331, Factor!$B$12:$G$13, 2, 0)*VLOOKUP($K331, Factor!$B$17:$G$18, 2, 0)*VLOOKUP($H331, Factor!$J$4:$O$7, 2, 0)*VLOOKUP($F331, Factor!$Q$4:$V$15, 2, 0)*IF(MOD($G331,10)=0, 10, MOD($G331, 10))*((INDEX(Factor!$X$4:$AC$13, _xlfn.XMATCH($G331, Factor!$X$4:$X$13, 1),2)*IF(MOD(G331, 10) = 0, 10, MOD(G331, 10)))+INDEX(Factor!$AE$4:$AJ$13, _xlfn.XMATCH(MonsterData!$G331, Factor!$AE$4:$AE$13, 1),2))</f>
        <v>317520</v>
      </c>
      <c r="V331" s="21" cm="1">
        <f t="array" ref="V331">M331*VLOOKUP($I331, Factor!$B$4:$G$8, 3, 0)*VLOOKUP($J331, Factor!$B$12:$G$13, 3, 0)*VLOOKUP($K331, Factor!$B$17:$G$18, 3, 0)*VLOOKUP($H331, Factor!$J$4:$O$7, 3, 0)*VLOOKUP($F331, Factor!$Q$4:$V$15, 3, 0)*IF(MOD($G331,10)=0, 10, MOD($G331, 10))*((INDEX(Factor!$X$4:$AC$13, _xlfn.XMATCH($G331, Factor!$X$4:$X$13, 1),3)*IF(MOD(G331, 10) = 0, 10, MOD(G331, 10)))+INDEX(Factor!$AE$4:$AJ$13, _xlfn.XMATCH(MonsterData!$G331, Factor!$AE$4:$AE$13, 1),3))</f>
        <v>15876</v>
      </c>
      <c r="W331" s="21" cm="1">
        <f t="array" ref="W331">N331*VLOOKUP($I331, Factor!$B$4:$G$8, 4, 0)*VLOOKUP($J331, Factor!$B$12:$G$13, 4, 0)*VLOOKUP($K331, Factor!$B$17:$G$18, 4, 0)*VLOOKUP($H331, Factor!$J$4:$O$7, 4, 0)*VLOOKUP($F331, Factor!$Q$4:$V$15, 4, 0)*IF(MOD($G331,10)=0, 10, MOD($G331, 10))*((INDEX(Factor!$X$4:$AC$13, _xlfn.XMATCH($G331, Factor!$X$4:$X$13, 1),4)*IF(MOD(G331, 10) = 0, 10, MOD(G331, 10)))+INDEX(Factor!$AE$4:$AJ$13, _xlfn.XMATCH(MonsterData!$G331, Factor!$AE$4:$AE$13, 1),4))</f>
        <v>31752</v>
      </c>
      <c r="X331" s="21" cm="1">
        <f t="array" ref="X331">O331*VLOOKUP($I331, Factor!$B$4:$G$8, 5, 0)*VLOOKUP($J331, Factor!$B$12:$G$13, 5, 0)*VLOOKUP($K331, Factor!$B$17:$G$18, 5, 0)*VLOOKUP($H331, Factor!$J$4:$O$7, 5, 0)*VLOOKUP($F331, Factor!$Q$4:$V$15, 5, 0)*IF(MOD($G331,10)=0, 10, MOD($G331, 10))*((INDEX(Factor!$X$4:$AC$13, _xlfn.XMATCH($G331, Factor!$X$4:$X$13, 1),5)*IF(MOD(G331, 10) = 0, 10, MOD(G331, 10)))+INDEX(Factor!$AE$4:$AJ$13, _xlfn.XMATCH(MonsterData!$G331, Factor!$AE$4:$AE$13, 1),5))</f>
        <v>762.048</v>
      </c>
      <c r="Y331" s="21" cm="1">
        <f t="array" ref="Y331">P331*VLOOKUP($I331, Factor!$B$4:$G$8, 6, 0)*VLOOKUP($J331, Factor!$B$12:$G$13, 6, 0)*VLOOKUP($K331, Factor!$B$17:$G$18, 6, 0)*VLOOKUP($H331, Factor!$J$4:$O$7, 2, 0)*VLOOKUP($F331, Factor!$Q$4:$V$15, 6, 0)*IF(MOD($G331,10)=0, 10, MOD($G331, 10))*((INDEX(Factor!$X$4:$AC$13, _xlfn.XMATCH($G331, Factor!$X$4:$X$13, 1),6)*IF(MOD(G331, 10) = 0, 10, MOD(G331, 10)))+INDEX(Factor!$AE$4:$AJ$13, _xlfn.XMATCH(MonsterData!$G331, Factor!$AE$4:$AE$13, 1),6))</f>
        <v>1693.44</v>
      </c>
      <c r="Z331" s="21">
        <f>$Q331*VLOOKUP($J331, Factor!$B$12:$H$13, 7, 0)</f>
        <v>1</v>
      </c>
      <c r="AA331" s="13">
        <v>1</v>
      </c>
      <c r="AB331" s="21">
        <f t="shared" si="15"/>
        <v>0</v>
      </c>
      <c r="AC331" s="13" t="s">
        <v>395</v>
      </c>
      <c r="AD331" s="15" t="s">
        <v>390</v>
      </c>
    </row>
    <row r="332" spans="1:30" ht="15.75" customHeight="1">
      <c r="A332" s="16" t="str">
        <f>T332&amp;"_"&amp;F332&amp;VLOOKUP($C332, Factor!$AM$4:$AY$30, 7, 0)&amp;IF(COUNTIFS($C$4:C331, C332, $F$4:F331, F332)+1&gt;=100, COUNTIFS($C$4:C331, C332, $F$4:F331, F332)+1,IF(COUNTIFS($C$4:C331, C332, $F$4:F331, F332)+1&gt;=10, "0"&amp;COUNTIFS($C$4:C331, C332, $F$4:F331, F332)+1, "00"&amp;COUNTIFS($C$4:C331, C332, $F$4:F331, F332)+1))</f>
        <v>enpc_F05_B_Gargoyle_004</v>
      </c>
      <c r="B332" s="16"/>
      <c r="C332" s="16" t="s">
        <v>365</v>
      </c>
      <c r="D332" s="17" t="str">
        <f t="shared" si="16"/>
        <v>가고일</v>
      </c>
      <c r="E332" s="17" t="str">
        <f>VLOOKUP($C332, Factor!$AM$4:$AY$30, 8, 0)</f>
        <v>B</v>
      </c>
      <c r="F332" s="17" t="s">
        <v>113</v>
      </c>
      <c r="G332" s="20">
        <v>77</v>
      </c>
      <c r="H332" s="16" t="s">
        <v>55</v>
      </c>
      <c r="I332" s="17" t="str">
        <f>VLOOKUP($C332, Factor!$AM$4:$AY$30, 11, 0)</f>
        <v>B</v>
      </c>
      <c r="J332" s="17" t="str">
        <f>VLOOKUP($C332, Factor!$AM$4:$AY$30, 12, 0)</f>
        <v>ml</v>
      </c>
      <c r="K332" s="17" t="str">
        <f>VLOOKUP($C332, Factor!$AM$4:$AY$30, 13, 0)</f>
        <v>F</v>
      </c>
      <c r="L332" s="17">
        <v>1</v>
      </c>
      <c r="M332" s="17">
        <v>1</v>
      </c>
      <c r="N332" s="17">
        <v>1</v>
      </c>
      <c r="O332" s="17">
        <v>1</v>
      </c>
      <c r="P332" s="17">
        <v>1</v>
      </c>
      <c r="Q332" s="17">
        <v>1</v>
      </c>
      <c r="R332" s="17" t="str">
        <f>VLOOKUP($C332, Factor!$AM$4:$AY$30, 9, 0)</f>
        <v>Big</v>
      </c>
      <c r="S332" s="17" t="s">
        <v>402</v>
      </c>
      <c r="T332" s="17" t="str">
        <f>VLOOKUP($C332, Factor!$AM$4:$AY$30, 10, 0)</f>
        <v>enpc</v>
      </c>
      <c r="U332" s="17" cm="1">
        <f t="array" ref="U332">L332*VLOOKUP($I332, Factor!$B$4:$G$8, 2, 0)*VLOOKUP($J332, Factor!$B$12:$G$13, 2, 0)*VLOOKUP($K332, Factor!$B$17:$G$18, 2, 0)*VLOOKUP($H332, Factor!$J$4:$O$7, 2, 0)*VLOOKUP($F332, Factor!$Q$4:$V$15, 2, 0)*IF(MOD($G332,10)=0, 10, MOD($G332, 10))*((INDEX(Factor!$X$4:$AC$13, _xlfn.XMATCH($G332, Factor!$X$4:$X$13, 1),2)*IF(MOD(G332, 10) = 0, 10, MOD(G332, 10)))+INDEX(Factor!$AE$4:$AJ$13, _xlfn.XMATCH(MonsterData!$G332, Factor!$AE$4:$AE$13, 1),2))</f>
        <v>211680</v>
      </c>
      <c r="V332" s="17" cm="1">
        <f t="array" ref="V332">M332*VLOOKUP($I332, Factor!$B$4:$G$8, 3, 0)*VLOOKUP($J332, Factor!$B$12:$G$13, 3, 0)*VLOOKUP($K332, Factor!$B$17:$G$18, 3, 0)*VLOOKUP($H332, Factor!$J$4:$O$7, 3, 0)*VLOOKUP($F332, Factor!$Q$4:$V$15, 3, 0)*IF(MOD($G332,10)=0, 10, MOD($G332, 10))*((INDEX(Factor!$X$4:$AC$13, _xlfn.XMATCH($G332, Factor!$X$4:$X$13, 1),3)*IF(MOD(G332, 10) = 0, 10, MOD(G332, 10)))+INDEX(Factor!$AE$4:$AJ$13, _xlfn.XMATCH(MonsterData!$G332, Factor!$AE$4:$AE$13, 1),3))</f>
        <v>10584</v>
      </c>
      <c r="W332" s="17" cm="1">
        <f t="array" ref="W332">N332*VLOOKUP($I332, Factor!$B$4:$G$8, 4, 0)*VLOOKUP($J332, Factor!$B$12:$G$13, 4, 0)*VLOOKUP($K332, Factor!$B$17:$G$18, 4, 0)*VLOOKUP($H332, Factor!$J$4:$O$7, 4, 0)*VLOOKUP($F332, Factor!$Q$4:$V$15, 4, 0)*IF(MOD($G332,10)=0, 10, MOD($G332, 10))*((INDEX(Factor!$X$4:$AC$13, _xlfn.XMATCH($G332, Factor!$X$4:$X$13, 1),4)*IF(MOD(G332, 10) = 0, 10, MOD(G332, 10)))+INDEX(Factor!$AE$4:$AJ$13, _xlfn.XMATCH(MonsterData!$G332, Factor!$AE$4:$AE$13, 1),4))</f>
        <v>10584</v>
      </c>
      <c r="X332" s="17" cm="1">
        <f t="array" ref="X332">O332*VLOOKUP($I332, Factor!$B$4:$G$8, 5, 0)*VLOOKUP($J332, Factor!$B$12:$G$13, 5, 0)*VLOOKUP($K332, Factor!$B$17:$G$18, 5, 0)*VLOOKUP($H332, Factor!$J$4:$O$7, 5, 0)*VLOOKUP($F332, Factor!$Q$4:$V$15, 5, 0)*IF(MOD($G332,10)=0, 10, MOD($G332, 10))*((INDEX(Factor!$X$4:$AC$13, _xlfn.XMATCH($G332, Factor!$X$4:$X$13, 1),5)*IF(MOD(G332, 10) = 0, 10, MOD(G332, 10)))+INDEX(Factor!$AE$4:$AJ$13, _xlfn.XMATCH(MonsterData!$G332, Factor!$AE$4:$AE$13, 1),5))</f>
        <v>846.72</v>
      </c>
      <c r="Y332" s="17" cm="1">
        <f t="array" ref="Y332">P332*VLOOKUP($I332, Factor!$B$4:$G$8, 6, 0)*VLOOKUP($J332, Factor!$B$12:$G$13, 6, 0)*VLOOKUP($K332, Factor!$B$17:$G$18, 6, 0)*VLOOKUP($H332, Factor!$J$4:$O$7, 2, 0)*VLOOKUP($F332, Factor!$Q$4:$V$15, 6, 0)*IF(MOD($G332,10)=0, 10, MOD($G332, 10))*((INDEX(Factor!$X$4:$AC$13, _xlfn.XMATCH($G332, Factor!$X$4:$X$13, 1),6)*IF(MOD(G332, 10) = 0, 10, MOD(G332, 10)))+INDEX(Factor!$AE$4:$AJ$13, _xlfn.XMATCH(MonsterData!$G332, Factor!$AE$4:$AE$13, 1),6))</f>
        <v>5080.3200000000006</v>
      </c>
      <c r="Z332" s="17">
        <f>$Q332*VLOOKUP($J332, Factor!$B$12:$H$13, 7, 0)</f>
        <v>1</v>
      </c>
      <c r="AA332" s="17">
        <v>1</v>
      </c>
      <c r="AB332" s="17">
        <f t="shared" si="15"/>
        <v>0</v>
      </c>
      <c r="AC332" s="17" t="s">
        <v>396</v>
      </c>
      <c r="AD332" s="19" t="s">
        <v>391</v>
      </c>
    </row>
    <row r="333" spans="1:30" ht="15.75" customHeight="1">
      <c r="A333" s="13" t="str">
        <f>T333&amp;"_"&amp;F333&amp;VLOOKUP($C333, Factor!$AM$4:$AY$30, 7, 0)&amp;IF(COUNTIFS($C$4:C332, C333, $F$4:F332, F333)+1&gt;=100, COUNTIFS($C$4:C332, C333, $F$4:F332, F333)+1,IF(COUNTIFS($C$4:C332, C333, $F$4:F332, F333)+1&gt;=10, "0"&amp;COUNTIFS($C$4:C332, C333, $F$4:F332, F333)+1, "00"&amp;COUNTIFS($C$4:C332, C333, $F$4:F332, F333)+1))</f>
        <v>enpc_F05_A_Lava_005</v>
      </c>
      <c r="B333" s="13"/>
      <c r="C333" s="13" t="s">
        <v>35</v>
      </c>
      <c r="D333" s="21" t="str">
        <f t="shared" si="16"/>
        <v>라바</v>
      </c>
      <c r="E333" s="21" t="str">
        <f>VLOOKUP($C333, Factor!$AM$4:$AY$30, 8, 0)</f>
        <v>S</v>
      </c>
      <c r="F333" s="21" t="s">
        <v>113</v>
      </c>
      <c r="G333" s="22">
        <v>51</v>
      </c>
      <c r="H333" s="13" t="s">
        <v>54</v>
      </c>
      <c r="I333" s="21" t="str">
        <f>VLOOKUP($C333, Factor!$AM$4:$AY$30, 11, 0)</f>
        <v>A</v>
      </c>
      <c r="J333" s="21" t="str">
        <f>VLOOKUP($C333, Factor!$AM$4:$AY$30, 12, 0)</f>
        <v>ml</v>
      </c>
      <c r="K333" s="21" t="str">
        <f>VLOOKUP($C333, Factor!$AM$4:$AY$30, 13, 0)</f>
        <v>L</v>
      </c>
      <c r="L333" s="13">
        <v>1</v>
      </c>
      <c r="M333" s="13">
        <v>1</v>
      </c>
      <c r="N333" s="13">
        <v>1</v>
      </c>
      <c r="O333" s="13">
        <v>1</v>
      </c>
      <c r="P333" s="13">
        <v>1</v>
      </c>
      <c r="Q333" s="13">
        <v>1</v>
      </c>
      <c r="R333" s="21" t="str">
        <f>VLOOKUP($C333, Factor!$AM$4:$AY$30, 9, 0)</f>
        <v>Small</v>
      </c>
      <c r="S333" s="13" t="s">
        <v>88</v>
      </c>
      <c r="T333" s="21" t="str">
        <f>VLOOKUP($C333, Factor!$AM$4:$AY$30, 10, 0)</f>
        <v>enpc</v>
      </c>
      <c r="U333" s="21" cm="1">
        <f t="array" ref="U333">L333*VLOOKUP($I333, Factor!$B$4:$G$8, 2, 0)*VLOOKUP($J333, Factor!$B$12:$G$13, 2, 0)*VLOOKUP($K333, Factor!$B$17:$G$18, 2, 0)*VLOOKUP($H333, Factor!$J$4:$O$7, 2, 0)*VLOOKUP($F333, Factor!$Q$4:$V$15, 2, 0)*IF(MOD($G333,10)=0, 10, MOD($G333, 10))*((INDEX(Factor!$X$4:$AC$13, _xlfn.XMATCH($G333, Factor!$X$4:$X$13, 1),2)*IF(MOD(G333, 10) = 0, 10, MOD(G333, 10)))+INDEX(Factor!$AE$4:$AJ$13, _xlfn.XMATCH(MonsterData!$G333, Factor!$AE$4:$AE$13, 1),2))</f>
        <v>3369.6</v>
      </c>
      <c r="V333" s="21" cm="1">
        <f t="array" ref="V333">M333*VLOOKUP($I333, Factor!$B$4:$G$8, 3, 0)*VLOOKUP($J333, Factor!$B$12:$G$13, 3, 0)*VLOOKUP($K333, Factor!$B$17:$G$18, 3, 0)*VLOOKUP($H333, Factor!$J$4:$O$7, 3, 0)*VLOOKUP($F333, Factor!$Q$4:$V$15, 3, 0)*IF(MOD($G333,10)=0, 10, MOD($G333, 10))*((INDEX(Factor!$X$4:$AC$13, _xlfn.XMATCH($G333, Factor!$X$4:$X$13, 1),3)*IF(MOD(G333, 10) = 0, 10, MOD(G333, 10)))+INDEX(Factor!$AE$4:$AJ$13, _xlfn.XMATCH(MonsterData!$G333, Factor!$AE$4:$AE$13, 1),3))</f>
        <v>168.48000000000002</v>
      </c>
      <c r="W333" s="21" cm="1">
        <f t="array" ref="W333">N333*VLOOKUP($I333, Factor!$B$4:$G$8, 4, 0)*VLOOKUP($J333, Factor!$B$12:$G$13, 4, 0)*VLOOKUP($K333, Factor!$B$17:$G$18, 4, 0)*VLOOKUP($H333, Factor!$J$4:$O$7, 4, 0)*VLOOKUP($F333, Factor!$Q$4:$V$15, 4, 0)*IF(MOD($G333,10)=0, 10, MOD($G333, 10))*((INDEX(Factor!$X$4:$AC$13, _xlfn.XMATCH($G333, Factor!$X$4:$X$13, 1),4)*IF(MOD(G333, 10) = 0, 10, MOD(G333, 10)))+INDEX(Factor!$AE$4:$AJ$13, _xlfn.XMATCH(MonsterData!$G333, Factor!$AE$4:$AE$13, 1),4))</f>
        <v>101.08800000000001</v>
      </c>
      <c r="X333" s="21" cm="1">
        <f t="array" ref="X333">O333*VLOOKUP($I333, Factor!$B$4:$G$8, 5, 0)*VLOOKUP($J333, Factor!$B$12:$G$13, 5, 0)*VLOOKUP($K333, Factor!$B$17:$G$18, 5, 0)*VLOOKUP($H333, Factor!$J$4:$O$7, 5, 0)*VLOOKUP($F333, Factor!$Q$4:$V$15, 5, 0)*IF(MOD($G333,10)=0, 10, MOD($G333, 10))*((INDEX(Factor!$X$4:$AC$13, _xlfn.XMATCH($G333, Factor!$X$4:$X$13, 1),5)*IF(MOD(G333, 10) = 0, 10, MOD(G333, 10)))+INDEX(Factor!$AE$4:$AJ$13, _xlfn.XMATCH(MonsterData!$G333, Factor!$AE$4:$AE$13, 1),5))</f>
        <v>28.08</v>
      </c>
      <c r="Y333" s="21" cm="1">
        <f t="array" ref="Y333">P333*VLOOKUP($I333, Factor!$B$4:$G$8, 6, 0)*VLOOKUP($J333, Factor!$B$12:$G$13, 6, 0)*VLOOKUP($K333, Factor!$B$17:$G$18, 6, 0)*VLOOKUP($H333, Factor!$J$4:$O$7, 2, 0)*VLOOKUP($F333, Factor!$Q$4:$V$15, 6, 0)*IF(MOD($G333,10)=0, 10, MOD($G333, 10))*((INDEX(Factor!$X$4:$AC$13, _xlfn.XMATCH($G333, Factor!$X$4:$X$13, 1),6)*IF(MOD(G333, 10) = 0, 10, MOD(G333, 10)))+INDEX(Factor!$AE$4:$AJ$13, _xlfn.XMATCH(MonsterData!$G333, Factor!$AE$4:$AE$13, 1),6))</f>
        <v>112.32</v>
      </c>
      <c r="Z333" s="21">
        <f>$Q333*VLOOKUP($J333, Factor!$B$12:$H$13, 7, 0)</f>
        <v>1</v>
      </c>
      <c r="AA333" s="13">
        <v>1</v>
      </c>
      <c r="AB333" s="21">
        <f t="shared" si="15"/>
        <v>0</v>
      </c>
      <c r="AC333" s="13" t="s">
        <v>139</v>
      </c>
      <c r="AD333" s="15" t="s">
        <v>142</v>
      </c>
    </row>
    <row r="334" spans="1:30" ht="15.75" customHeight="1">
      <c r="A334" s="16" t="str">
        <f>T334&amp;"_"&amp;F334&amp;VLOOKUP($C334, Factor!$AM$4:$AY$30, 7, 0)&amp;IF(COUNTIFS($C$4:C333, C334, $F$4:F333, F334)+1&gt;=100, COUNTIFS($C$4:C333, C334, $F$4:F333, F334)+1,IF(COUNTIFS($C$4:C333, C334, $F$4:F333, F334)+1&gt;=10, "0"&amp;COUNTIFS($C$4:C333, C334, $F$4:F333, F334)+1, "00"&amp;COUNTIFS($C$4:C333, C334, $F$4:F333, F334)+1))</f>
        <v>enpc_F05_A_Cocoon_005</v>
      </c>
      <c r="B334" s="16"/>
      <c r="C334" s="16" t="s">
        <v>270</v>
      </c>
      <c r="D334" s="17" t="str">
        <f t="shared" si="16"/>
        <v>코쿤</v>
      </c>
      <c r="E334" s="17" t="str">
        <f>VLOOKUP($C334, Factor!$AM$4:$AY$30, 8, 0)</f>
        <v>M</v>
      </c>
      <c r="F334" s="17" t="s">
        <v>113</v>
      </c>
      <c r="G334" s="20">
        <v>51</v>
      </c>
      <c r="H334" s="16" t="s">
        <v>55</v>
      </c>
      <c r="I334" s="17" t="str">
        <f>VLOOKUP($C334, Factor!$AM$4:$AY$30, 11, 0)</f>
        <v>A</v>
      </c>
      <c r="J334" s="17" t="str">
        <f>VLOOKUP($C334, Factor!$AM$4:$AY$30, 12, 0)</f>
        <v>ml</v>
      </c>
      <c r="K334" s="17" t="str">
        <f>VLOOKUP($C334, Factor!$AM$4:$AY$30, 13, 0)</f>
        <v>L</v>
      </c>
      <c r="L334" s="17">
        <v>1</v>
      </c>
      <c r="M334" s="17">
        <v>1</v>
      </c>
      <c r="N334" s="17">
        <v>1</v>
      </c>
      <c r="O334" s="17">
        <v>1</v>
      </c>
      <c r="P334" s="17">
        <v>1</v>
      </c>
      <c r="Q334" s="17">
        <v>1</v>
      </c>
      <c r="R334" s="17" t="str">
        <f>VLOOKUP($C334, Factor!$AM$4:$AY$30, 9, 0)</f>
        <v>Midium</v>
      </c>
      <c r="S334" s="17" t="s">
        <v>196</v>
      </c>
      <c r="T334" s="17" t="str">
        <f>VLOOKUP($C334, Factor!$AM$4:$AY$30, 10, 0)</f>
        <v>enpc</v>
      </c>
      <c r="U334" s="17" cm="1">
        <f t="array" ref="U334">L334*VLOOKUP($I334, Factor!$B$4:$G$8, 2, 0)*VLOOKUP($J334, Factor!$B$12:$G$13, 2, 0)*VLOOKUP($K334, Factor!$B$17:$G$18, 2, 0)*VLOOKUP($H334, Factor!$J$4:$O$7, 2, 0)*VLOOKUP($F334, Factor!$Q$4:$V$15, 2, 0)*IF(MOD($G334,10)=0, 10, MOD($G334, 10))*((INDEX(Factor!$X$4:$AC$13, _xlfn.XMATCH($G334, Factor!$X$4:$X$13, 1),2)*IF(MOD(G334, 10) = 0, 10, MOD(G334, 10)))+INDEX(Factor!$AE$4:$AJ$13, _xlfn.XMATCH(MonsterData!$G334, Factor!$AE$4:$AE$13, 1),2))</f>
        <v>4212</v>
      </c>
      <c r="V334" s="17" cm="1">
        <f t="array" ref="V334">M334*VLOOKUP($I334, Factor!$B$4:$G$8, 3, 0)*VLOOKUP($J334, Factor!$B$12:$G$13, 3, 0)*VLOOKUP($K334, Factor!$B$17:$G$18, 3, 0)*VLOOKUP($H334, Factor!$J$4:$O$7, 3, 0)*VLOOKUP($F334, Factor!$Q$4:$V$15, 3, 0)*IF(MOD($G334,10)=0, 10, MOD($G334, 10))*((INDEX(Factor!$X$4:$AC$13, _xlfn.XMATCH($G334, Factor!$X$4:$X$13, 1),3)*IF(MOD(G334, 10) = 0, 10, MOD(G334, 10)))+INDEX(Factor!$AE$4:$AJ$13, _xlfn.XMATCH(MonsterData!$G334, Factor!$AE$4:$AE$13, 1),3))</f>
        <v>210.6</v>
      </c>
      <c r="W334" s="17" cm="1">
        <f t="array" ref="W334">N334*VLOOKUP($I334, Factor!$B$4:$G$8, 4, 0)*VLOOKUP($J334, Factor!$B$12:$G$13, 4, 0)*VLOOKUP($K334, Factor!$B$17:$G$18, 4, 0)*VLOOKUP($H334, Factor!$J$4:$O$7, 4, 0)*VLOOKUP($F334, Factor!$Q$4:$V$15, 4, 0)*IF(MOD($G334,10)=0, 10, MOD($G334, 10))*((INDEX(Factor!$X$4:$AC$13, _xlfn.XMATCH($G334, Factor!$X$4:$X$13, 1),4)*IF(MOD(G334, 10) = 0, 10, MOD(G334, 10)))+INDEX(Factor!$AE$4:$AJ$13, _xlfn.XMATCH(MonsterData!$G334, Factor!$AE$4:$AE$13, 1),4))</f>
        <v>126.35999999999999</v>
      </c>
      <c r="X334" s="17" cm="1">
        <f t="array" ref="X334">O334*VLOOKUP($I334, Factor!$B$4:$G$8, 5, 0)*VLOOKUP($J334, Factor!$B$12:$G$13, 5, 0)*VLOOKUP($K334, Factor!$B$17:$G$18, 5, 0)*VLOOKUP($H334, Factor!$J$4:$O$7, 5, 0)*VLOOKUP($F334, Factor!$Q$4:$V$15, 5, 0)*IF(MOD($G334,10)=0, 10, MOD($G334, 10))*((INDEX(Factor!$X$4:$AC$13, _xlfn.XMATCH($G334, Factor!$X$4:$X$13, 1),5)*IF(MOD(G334, 10) = 0, 10, MOD(G334, 10)))+INDEX(Factor!$AE$4:$AJ$13, _xlfn.XMATCH(MonsterData!$G334, Factor!$AE$4:$AE$13, 1),5))</f>
        <v>28.08</v>
      </c>
      <c r="Y334" s="17" cm="1">
        <f t="array" ref="Y334">P334*VLOOKUP($I334, Factor!$B$4:$G$8, 6, 0)*VLOOKUP($J334, Factor!$B$12:$G$13, 6, 0)*VLOOKUP($K334, Factor!$B$17:$G$18, 6, 0)*VLOOKUP($H334, Factor!$J$4:$O$7, 2, 0)*VLOOKUP($F334, Factor!$Q$4:$V$15, 6, 0)*IF(MOD($G334,10)=0, 10, MOD($G334, 10))*((INDEX(Factor!$X$4:$AC$13, _xlfn.XMATCH($G334, Factor!$X$4:$X$13, 1),6)*IF(MOD(G334, 10) = 0, 10, MOD(G334, 10)))+INDEX(Factor!$AE$4:$AJ$13, _xlfn.XMATCH(MonsterData!$G334, Factor!$AE$4:$AE$13, 1),6))</f>
        <v>140.4</v>
      </c>
      <c r="Z334" s="17">
        <f>$Q334*VLOOKUP($J334, Factor!$B$12:$H$13, 7, 0)</f>
        <v>1</v>
      </c>
      <c r="AA334" s="17">
        <v>1</v>
      </c>
      <c r="AB334" s="17">
        <f t="shared" si="15"/>
        <v>0</v>
      </c>
      <c r="AC334" s="17" t="s">
        <v>139</v>
      </c>
      <c r="AD334" s="19" t="s">
        <v>142</v>
      </c>
    </row>
    <row r="335" spans="1:30" ht="15.75" customHeight="1">
      <c r="A335" s="13" t="str">
        <f>T335&amp;"_"&amp;F335&amp;VLOOKUP($C335, Factor!$AM$4:$AY$30, 7, 0)&amp;IF(COUNTIFS($C$4:C334, C335, $F$4:F334, F335)+1&gt;=100, COUNTIFS($C$4:C334, C335, $F$4:F334, F335)+1,IF(COUNTIFS($C$4:C334, C335, $F$4:F334, F335)+1&gt;=10, "0"&amp;COUNTIFS($C$4:C334, C335, $F$4:F334, F335)+1, "00"&amp;COUNTIFS($C$4:C334, C335, $F$4:F334, F335)+1))</f>
        <v>enpc_F05_A_Antlion_005</v>
      </c>
      <c r="B335" s="13"/>
      <c r="C335" s="13" t="s">
        <v>38</v>
      </c>
      <c r="D335" s="21" t="str">
        <f t="shared" si="16"/>
        <v>앤틸리온</v>
      </c>
      <c r="E335" s="21" t="str">
        <f>VLOOKUP($C335, Factor!$AM$4:$AY$30, 8, 0)</f>
        <v>M</v>
      </c>
      <c r="F335" s="21" t="s">
        <v>113</v>
      </c>
      <c r="G335" s="22">
        <v>51</v>
      </c>
      <c r="H335" s="13" t="s">
        <v>55</v>
      </c>
      <c r="I335" s="21" t="str">
        <f>VLOOKUP($C335, Factor!$AM$4:$AY$30, 11, 0)</f>
        <v>A</v>
      </c>
      <c r="J335" s="21" t="str">
        <f>VLOOKUP($C335, Factor!$AM$4:$AY$30, 12, 0)</f>
        <v>ra</v>
      </c>
      <c r="K335" s="21" t="str">
        <f>VLOOKUP($C335, Factor!$AM$4:$AY$30, 13, 0)</f>
        <v>L</v>
      </c>
      <c r="L335" s="13">
        <v>1</v>
      </c>
      <c r="M335" s="13">
        <v>1</v>
      </c>
      <c r="N335" s="13">
        <v>1</v>
      </c>
      <c r="O335" s="13">
        <v>1</v>
      </c>
      <c r="P335" s="13">
        <v>1</v>
      </c>
      <c r="Q335" s="13">
        <v>1</v>
      </c>
      <c r="R335" s="21" t="str">
        <f>VLOOKUP($C335, Factor!$AM$4:$AY$30, 9, 0)</f>
        <v>Midium</v>
      </c>
      <c r="S335" s="13" t="s">
        <v>397</v>
      </c>
      <c r="T335" s="21" t="str">
        <f>VLOOKUP($C335, Factor!$AM$4:$AY$30, 10, 0)</f>
        <v>enpc</v>
      </c>
      <c r="U335" s="21" cm="1">
        <f t="array" ref="U335">L335*VLOOKUP($I335, Factor!$B$4:$G$8, 2, 0)*VLOOKUP($J335, Factor!$B$12:$G$13, 2, 0)*VLOOKUP($K335, Factor!$B$17:$G$18, 2, 0)*VLOOKUP($H335, Factor!$J$4:$O$7, 2, 0)*VLOOKUP($F335, Factor!$Q$4:$V$15, 2, 0)*IF(MOD($G335,10)=0, 10, MOD($G335, 10))*((INDEX(Factor!$X$4:$AC$13, _xlfn.XMATCH($G335, Factor!$X$4:$X$13, 1),2)*IF(MOD(G335, 10) = 0, 10, MOD(G335, 10)))+INDEX(Factor!$AE$4:$AJ$13, _xlfn.XMATCH(MonsterData!$G335, Factor!$AE$4:$AE$13, 1),2))</f>
        <v>3369.6</v>
      </c>
      <c r="V335" s="21" cm="1">
        <f t="array" ref="V335">M335*VLOOKUP($I335, Factor!$B$4:$G$8, 3, 0)*VLOOKUP($J335, Factor!$B$12:$G$13, 3, 0)*VLOOKUP($K335, Factor!$B$17:$G$18, 3, 0)*VLOOKUP($H335, Factor!$J$4:$O$7, 3, 0)*VLOOKUP($F335, Factor!$Q$4:$V$15, 3, 0)*IF(MOD($G335,10)=0, 10, MOD($G335, 10))*((INDEX(Factor!$X$4:$AC$13, _xlfn.XMATCH($G335, Factor!$X$4:$X$13, 1),3)*IF(MOD(G335, 10) = 0, 10, MOD(G335, 10)))+INDEX(Factor!$AE$4:$AJ$13, _xlfn.XMATCH(MonsterData!$G335, Factor!$AE$4:$AE$13, 1),3))</f>
        <v>168.48000000000002</v>
      </c>
      <c r="W335" s="21" cm="1">
        <f t="array" ref="W335">N335*VLOOKUP($I335, Factor!$B$4:$G$8, 4, 0)*VLOOKUP($J335, Factor!$B$12:$G$13, 4, 0)*VLOOKUP($K335, Factor!$B$17:$G$18, 4, 0)*VLOOKUP($H335, Factor!$J$4:$O$7, 4, 0)*VLOOKUP($F335, Factor!$Q$4:$V$15, 4, 0)*IF(MOD($G335,10)=0, 10, MOD($G335, 10))*((INDEX(Factor!$X$4:$AC$13, _xlfn.XMATCH($G335, Factor!$X$4:$X$13, 1),4)*IF(MOD(G335, 10) = 0, 10, MOD(G335, 10)))+INDEX(Factor!$AE$4:$AJ$13, _xlfn.XMATCH(MonsterData!$G335, Factor!$AE$4:$AE$13, 1),4))</f>
        <v>151.63199999999998</v>
      </c>
      <c r="X335" s="21" cm="1">
        <f t="array" ref="X335">O335*VLOOKUP($I335, Factor!$B$4:$G$8, 5, 0)*VLOOKUP($J335, Factor!$B$12:$G$13, 5, 0)*VLOOKUP($K335, Factor!$B$17:$G$18, 5, 0)*VLOOKUP($H335, Factor!$J$4:$O$7, 5, 0)*VLOOKUP($F335, Factor!$Q$4:$V$15, 5, 0)*IF(MOD($G335,10)=0, 10, MOD($G335, 10))*((INDEX(Factor!$X$4:$AC$13, _xlfn.XMATCH($G335, Factor!$X$4:$X$13, 1),5)*IF(MOD(G335, 10) = 0, 10, MOD(G335, 10)))+INDEX(Factor!$AE$4:$AJ$13, _xlfn.XMATCH(MonsterData!$G335, Factor!$AE$4:$AE$13, 1),5))</f>
        <v>42.120000000000005</v>
      </c>
      <c r="Y335" s="21" cm="1">
        <f t="array" ref="Y335">P335*VLOOKUP($I335, Factor!$B$4:$G$8, 6, 0)*VLOOKUP($J335, Factor!$B$12:$G$13, 6, 0)*VLOOKUP($K335, Factor!$B$17:$G$18, 6, 0)*VLOOKUP($H335, Factor!$J$4:$O$7, 2, 0)*VLOOKUP($F335, Factor!$Q$4:$V$15, 6, 0)*IF(MOD($G335,10)=0, 10, MOD($G335, 10))*((INDEX(Factor!$X$4:$AC$13, _xlfn.XMATCH($G335, Factor!$X$4:$X$13, 1),6)*IF(MOD(G335, 10) = 0, 10, MOD(G335, 10)))+INDEX(Factor!$AE$4:$AJ$13, _xlfn.XMATCH(MonsterData!$G335, Factor!$AE$4:$AE$13, 1),6))</f>
        <v>140.4</v>
      </c>
      <c r="Z335" s="21">
        <f>$Q335*VLOOKUP($J335, Factor!$B$12:$H$13, 7, 0)</f>
        <v>4</v>
      </c>
      <c r="AA335" s="13">
        <v>1</v>
      </c>
      <c r="AB335" s="21">
        <f t="shared" si="15"/>
        <v>4</v>
      </c>
      <c r="AC335" s="13" t="s">
        <v>139</v>
      </c>
      <c r="AD335" s="15" t="s">
        <v>142</v>
      </c>
    </row>
    <row r="336" spans="1:30" ht="15.75" customHeight="1">
      <c r="A336" s="16" t="str">
        <f>T336&amp;"_"&amp;F336&amp;VLOOKUP($C336, Factor!$AM$4:$AY$30, 7, 0)&amp;IF(COUNTIFS($C$4:C335, C336, $F$4:F335, F336)+1&gt;=100, COUNTIFS($C$4:C335, C336, $F$4:F335, F336)+1,IF(COUNTIFS($C$4:C335, C336, $F$4:F335, F336)+1&gt;=10, "0"&amp;COUNTIFS($C$4:C335, C336, $F$4:F335, F336)+1, "00"&amp;COUNTIFS($C$4:C335, C336, $F$4:F335, F336)+1))</f>
        <v>enpc_F05_A_Nymphe_005</v>
      </c>
      <c r="B336" s="16"/>
      <c r="C336" s="16" t="s">
        <v>39</v>
      </c>
      <c r="D336" s="17" t="str">
        <f t="shared" si="16"/>
        <v>님프</v>
      </c>
      <c r="E336" s="17" t="str">
        <f>VLOOKUP($C336, Factor!$AM$4:$AY$30, 8, 0)</f>
        <v>S</v>
      </c>
      <c r="F336" s="17" t="s">
        <v>113</v>
      </c>
      <c r="G336" s="20">
        <v>51</v>
      </c>
      <c r="H336" s="16" t="s">
        <v>55</v>
      </c>
      <c r="I336" s="17" t="str">
        <f>VLOOKUP($C336, Factor!$AM$4:$AY$30, 11, 0)</f>
        <v>A</v>
      </c>
      <c r="J336" s="17" t="str">
        <f>VLOOKUP($C336, Factor!$AM$4:$AY$30, 12, 0)</f>
        <v>ml</v>
      </c>
      <c r="K336" s="17" t="str">
        <f>VLOOKUP($C336, Factor!$AM$4:$AY$30, 13, 0)</f>
        <v>F</v>
      </c>
      <c r="L336" s="17">
        <v>1</v>
      </c>
      <c r="M336" s="17">
        <v>1</v>
      </c>
      <c r="N336" s="17">
        <v>1</v>
      </c>
      <c r="O336" s="17">
        <v>1</v>
      </c>
      <c r="P336" s="17">
        <v>1</v>
      </c>
      <c r="Q336" s="17">
        <v>1</v>
      </c>
      <c r="R336" s="17" t="str">
        <f>VLOOKUP($C336, Factor!$AM$4:$AY$30, 9, 0)</f>
        <v>Small</v>
      </c>
      <c r="S336" s="17" t="s">
        <v>197</v>
      </c>
      <c r="T336" s="17" t="str">
        <f>VLOOKUP($C336, Factor!$AM$4:$AY$30, 10, 0)</f>
        <v>enpc</v>
      </c>
      <c r="U336" s="17" cm="1">
        <f t="array" ref="U336">L336*VLOOKUP($I336, Factor!$B$4:$G$8, 2, 0)*VLOOKUP($J336, Factor!$B$12:$G$13, 2, 0)*VLOOKUP($K336, Factor!$B$17:$G$18, 2, 0)*VLOOKUP($H336, Factor!$J$4:$O$7, 2, 0)*VLOOKUP($F336, Factor!$Q$4:$V$15, 2, 0)*IF(MOD($G336,10)=0, 10, MOD($G336, 10))*((INDEX(Factor!$X$4:$AC$13, _xlfn.XMATCH($G336, Factor!$X$4:$X$13, 1),2)*IF(MOD(G336, 10) = 0, 10, MOD(G336, 10)))+INDEX(Factor!$AE$4:$AJ$13, _xlfn.XMATCH(MonsterData!$G336, Factor!$AE$4:$AE$13, 1),2))</f>
        <v>2808</v>
      </c>
      <c r="V336" s="17" cm="1">
        <f t="array" ref="V336">M336*VLOOKUP($I336, Factor!$B$4:$G$8, 3, 0)*VLOOKUP($J336, Factor!$B$12:$G$13, 3, 0)*VLOOKUP($K336, Factor!$B$17:$G$18, 3, 0)*VLOOKUP($H336, Factor!$J$4:$O$7, 3, 0)*VLOOKUP($F336, Factor!$Q$4:$V$15, 3, 0)*IF(MOD($G336,10)=0, 10, MOD($G336, 10))*((INDEX(Factor!$X$4:$AC$13, _xlfn.XMATCH($G336, Factor!$X$4:$X$13, 1),3)*IF(MOD(G336, 10) = 0, 10, MOD(G336, 10)))+INDEX(Factor!$AE$4:$AJ$13, _xlfn.XMATCH(MonsterData!$G336, Factor!$AE$4:$AE$13, 1),3))</f>
        <v>140.4</v>
      </c>
      <c r="W336" s="17" cm="1">
        <f t="array" ref="W336">N336*VLOOKUP($I336, Factor!$B$4:$G$8, 4, 0)*VLOOKUP($J336, Factor!$B$12:$G$13, 4, 0)*VLOOKUP($K336, Factor!$B$17:$G$18, 4, 0)*VLOOKUP($H336, Factor!$J$4:$O$7, 4, 0)*VLOOKUP($F336, Factor!$Q$4:$V$15, 4, 0)*IF(MOD($G336,10)=0, 10, MOD($G336, 10))*((INDEX(Factor!$X$4:$AC$13, _xlfn.XMATCH($G336, Factor!$X$4:$X$13, 1),4)*IF(MOD(G336, 10) = 0, 10, MOD(G336, 10)))+INDEX(Factor!$AE$4:$AJ$13, _xlfn.XMATCH(MonsterData!$G336, Factor!$AE$4:$AE$13, 1),4))</f>
        <v>84.240000000000009</v>
      </c>
      <c r="X336" s="17" cm="1">
        <f t="array" ref="X336">O336*VLOOKUP($I336, Factor!$B$4:$G$8, 5, 0)*VLOOKUP($J336, Factor!$B$12:$G$13, 5, 0)*VLOOKUP($K336, Factor!$B$17:$G$18, 5, 0)*VLOOKUP($H336, Factor!$J$4:$O$7, 5, 0)*VLOOKUP($F336, Factor!$Q$4:$V$15, 5, 0)*IF(MOD($G336,10)=0, 10, MOD($G336, 10))*((INDEX(Factor!$X$4:$AC$13, _xlfn.XMATCH($G336, Factor!$X$4:$X$13, 1),5)*IF(MOD(G336, 10) = 0, 10, MOD(G336, 10)))+INDEX(Factor!$AE$4:$AJ$13, _xlfn.XMATCH(MonsterData!$G336, Factor!$AE$4:$AE$13, 1),5))</f>
        <v>28.08</v>
      </c>
      <c r="Y336" s="17" cm="1">
        <f t="array" ref="Y336">P336*VLOOKUP($I336, Factor!$B$4:$G$8, 6, 0)*VLOOKUP($J336, Factor!$B$12:$G$13, 6, 0)*VLOOKUP($K336, Factor!$B$17:$G$18, 6, 0)*VLOOKUP($H336, Factor!$J$4:$O$7, 2, 0)*VLOOKUP($F336, Factor!$Q$4:$V$15, 6, 0)*IF(MOD($G336,10)=0, 10, MOD($G336, 10))*((INDEX(Factor!$X$4:$AC$13, _xlfn.XMATCH($G336, Factor!$X$4:$X$13, 1),6)*IF(MOD(G336, 10) = 0, 10, MOD(G336, 10)))+INDEX(Factor!$AE$4:$AJ$13, _xlfn.XMATCH(MonsterData!$G336, Factor!$AE$4:$AE$13, 1),6))</f>
        <v>421.2</v>
      </c>
      <c r="Z336" s="17">
        <f>$Q336*VLOOKUP($J336, Factor!$B$12:$H$13, 7, 0)</f>
        <v>1</v>
      </c>
      <c r="AA336" s="17">
        <v>1</v>
      </c>
      <c r="AB336" s="17">
        <f t="shared" si="15"/>
        <v>0</v>
      </c>
      <c r="AC336" s="17" t="s">
        <v>139</v>
      </c>
      <c r="AD336" s="19" t="s">
        <v>142</v>
      </c>
    </row>
    <row r="337" spans="1:30" ht="15.75" customHeight="1">
      <c r="A337" s="13" t="str">
        <f>T337&amp;"_"&amp;F337&amp;VLOOKUP($C337, Factor!$AM$4:$AY$30, 7, 0)&amp;IF(COUNTIFS($C$4:C336, C337, $F$4:F336, F337)+1&gt;=100, COUNTIFS($C$4:C336, C337, $F$4:F336, F337)+1,IF(COUNTIFS($C$4:C336, C337, $F$4:F336, F337)+1&gt;=10, "0"&amp;COUNTIFS($C$4:C336, C337, $F$4:F336, F337)+1, "00"&amp;COUNTIFS($C$4:C336, C337, $F$4:F336, F337)+1))</f>
        <v>enpc_F05_B_Golem_005</v>
      </c>
      <c r="B337" s="13"/>
      <c r="C337" s="13" t="s">
        <v>40</v>
      </c>
      <c r="D337" s="21" t="str">
        <f t="shared" si="16"/>
        <v>골렘</v>
      </c>
      <c r="E337" s="21" t="str">
        <f>VLOOKUP($C337, Factor!$AM$4:$AY$30, 8, 0)</f>
        <v>B</v>
      </c>
      <c r="F337" s="21" t="s">
        <v>113</v>
      </c>
      <c r="G337" s="22">
        <v>80</v>
      </c>
      <c r="H337" s="13" t="s">
        <v>57</v>
      </c>
      <c r="I337" s="21" t="str">
        <f>VLOOKUP($C337, Factor!$AM$4:$AY$30, 11, 0)</f>
        <v>B</v>
      </c>
      <c r="J337" s="21" t="str">
        <f>VLOOKUP($C337, Factor!$AM$4:$AY$30, 12, 0)</f>
        <v>ml</v>
      </c>
      <c r="K337" s="21" t="str">
        <f>VLOOKUP($C337, Factor!$AM$4:$AY$30, 13, 0)</f>
        <v>L</v>
      </c>
      <c r="L337" s="13">
        <v>1</v>
      </c>
      <c r="M337" s="13">
        <v>1</v>
      </c>
      <c r="N337" s="13">
        <v>1</v>
      </c>
      <c r="O337" s="13">
        <v>1</v>
      </c>
      <c r="P337" s="13">
        <v>1</v>
      </c>
      <c r="Q337" s="13">
        <v>1</v>
      </c>
      <c r="R337" s="21" t="str">
        <f>VLOOKUP($C337, Factor!$AM$4:$AY$30, 9, 0)</f>
        <v>Big</v>
      </c>
      <c r="S337" s="13" t="s">
        <v>398</v>
      </c>
      <c r="T337" s="21" t="str">
        <f>VLOOKUP($C337, Factor!$AM$4:$AY$30, 10, 0)</f>
        <v>enpc</v>
      </c>
      <c r="U337" s="21" cm="1">
        <f t="array" ref="U337">L337*VLOOKUP($I337, Factor!$B$4:$G$8, 2, 0)*VLOOKUP($J337, Factor!$B$12:$G$13, 2, 0)*VLOOKUP($K337, Factor!$B$17:$G$18, 2, 0)*VLOOKUP($H337, Factor!$J$4:$O$7, 2, 0)*VLOOKUP($F337, Factor!$Q$4:$V$15, 2, 0)*IF(MOD($G337,10)=0, 10, MOD($G337, 10))*((INDEX(Factor!$X$4:$AC$13, _xlfn.XMATCH($G337, Factor!$X$4:$X$13, 1),2)*IF(MOD(G337, 10) = 0, 10, MOD(G337, 10)))+INDEX(Factor!$AE$4:$AJ$13, _xlfn.XMATCH(MonsterData!$G337, Factor!$AE$4:$AE$13, 1),2))</f>
        <v>972000</v>
      </c>
      <c r="V337" s="21" cm="1">
        <f t="array" ref="V337">M337*VLOOKUP($I337, Factor!$B$4:$G$8, 3, 0)*VLOOKUP($J337, Factor!$B$12:$G$13, 3, 0)*VLOOKUP($K337, Factor!$B$17:$G$18, 3, 0)*VLOOKUP($H337, Factor!$J$4:$O$7, 3, 0)*VLOOKUP($F337, Factor!$Q$4:$V$15, 3, 0)*IF(MOD($G337,10)=0, 10, MOD($G337, 10))*((INDEX(Factor!$X$4:$AC$13, _xlfn.XMATCH($G337, Factor!$X$4:$X$13, 1),3)*IF(MOD(G337, 10) = 0, 10, MOD(G337, 10)))+INDEX(Factor!$AE$4:$AJ$13, _xlfn.XMATCH(MonsterData!$G337, Factor!$AE$4:$AE$13, 1),3))</f>
        <v>48600</v>
      </c>
      <c r="W337" s="21" cm="1">
        <f t="array" ref="W337">N337*VLOOKUP($I337, Factor!$B$4:$G$8, 4, 0)*VLOOKUP($J337, Factor!$B$12:$G$13, 4, 0)*VLOOKUP($K337, Factor!$B$17:$G$18, 4, 0)*VLOOKUP($H337, Factor!$J$4:$O$7, 4, 0)*VLOOKUP($F337, Factor!$Q$4:$V$15, 4, 0)*IF(MOD($G337,10)=0, 10, MOD($G337, 10))*((INDEX(Factor!$X$4:$AC$13, _xlfn.XMATCH($G337, Factor!$X$4:$X$13, 1),4)*IF(MOD(G337, 10) = 0, 10, MOD(G337, 10)))+INDEX(Factor!$AE$4:$AJ$13, _xlfn.XMATCH(MonsterData!$G337, Factor!$AE$4:$AE$13, 1),4))</f>
        <v>2430</v>
      </c>
      <c r="X337" s="21" cm="1">
        <f t="array" ref="X337">O337*VLOOKUP($I337, Factor!$B$4:$G$8, 5, 0)*VLOOKUP($J337, Factor!$B$12:$G$13, 5, 0)*VLOOKUP($K337, Factor!$B$17:$G$18, 5, 0)*VLOOKUP($H337, Factor!$J$4:$O$7, 5, 0)*VLOOKUP($F337, Factor!$Q$4:$V$15, 5, 0)*IF(MOD($G337,10)=0, 10, MOD($G337, 10))*((INDEX(Factor!$X$4:$AC$13, _xlfn.XMATCH($G337, Factor!$X$4:$X$13, 1),5)*IF(MOD(G337, 10) = 0, 10, MOD(G337, 10)))+INDEX(Factor!$AE$4:$AJ$13, _xlfn.XMATCH(MonsterData!$G337, Factor!$AE$4:$AE$13, 1),5))</f>
        <v>2592</v>
      </c>
      <c r="Y337" s="21" cm="1">
        <f t="array" ref="Y337">P337*VLOOKUP($I337, Factor!$B$4:$G$8, 6, 0)*VLOOKUP($J337, Factor!$B$12:$G$13, 6, 0)*VLOOKUP($K337, Factor!$B$17:$G$18, 6, 0)*VLOOKUP($H337, Factor!$J$4:$O$7, 2, 0)*VLOOKUP($F337, Factor!$Q$4:$V$15, 6, 0)*IF(MOD($G337,10)=0, 10, MOD($G337, 10))*((INDEX(Factor!$X$4:$AC$13, _xlfn.XMATCH($G337, Factor!$X$4:$X$13, 1),6)*IF(MOD(G337, 10) = 0, 10, MOD(G337, 10)))+INDEX(Factor!$AE$4:$AJ$13, _xlfn.XMATCH(MonsterData!$G337, Factor!$AE$4:$AE$13, 1),6))</f>
        <v>5184</v>
      </c>
      <c r="Z337" s="21">
        <f>$Q337*VLOOKUP($J337, Factor!$B$12:$H$13, 7, 0)</f>
        <v>1</v>
      </c>
      <c r="AA337" s="13">
        <v>1</v>
      </c>
      <c r="AB337" s="21">
        <f t="shared" si="15"/>
        <v>0</v>
      </c>
      <c r="AC337" s="13" t="s">
        <v>140</v>
      </c>
      <c r="AD337" s="15" t="s">
        <v>143</v>
      </c>
    </row>
    <row r="338" spans="1:30" ht="15.75" customHeight="1">
      <c r="A338" s="16" t="str">
        <f>T338&amp;"_"&amp;F338&amp;VLOOKUP($C338, Factor!$AM$4:$AY$30, 7, 0)&amp;IF(COUNTIFS($C$4:C337, C338, $F$4:F337, F338)+1&gt;=100, COUNTIFS($C$4:C337, C338, $F$4:F337, F338)+1,IF(COUNTIFS($C$4:C337, C338, $F$4:F337, F338)+1&gt;=10, "0"&amp;COUNTIFS($C$4:C337, C338, $F$4:F337, F338)+1, "00"&amp;COUNTIFS($C$4:C337, C338, $F$4:F337, F338)+1))</f>
        <v>enpc_F05_B_Banshee_005</v>
      </c>
      <c r="B338" s="16"/>
      <c r="C338" s="16" t="s">
        <v>42</v>
      </c>
      <c r="D338" s="17" t="str">
        <f t="shared" si="16"/>
        <v>밴시</v>
      </c>
      <c r="E338" s="17" t="str">
        <f>VLOOKUP($C338, Factor!$AM$4:$AY$30, 8, 0)</f>
        <v>S</v>
      </c>
      <c r="F338" s="17" t="s">
        <v>113</v>
      </c>
      <c r="G338" s="20">
        <v>80</v>
      </c>
      <c r="H338" s="16" t="s">
        <v>56</v>
      </c>
      <c r="I338" s="17" t="str">
        <f>VLOOKUP($C338, Factor!$AM$4:$AY$30, 11, 0)</f>
        <v>B</v>
      </c>
      <c r="J338" s="17" t="str">
        <f>VLOOKUP($C338, Factor!$AM$4:$AY$30, 12, 0)</f>
        <v>ra</v>
      </c>
      <c r="K338" s="17" t="str">
        <f>VLOOKUP($C338, Factor!$AM$4:$AY$30, 13, 0)</f>
        <v>L</v>
      </c>
      <c r="L338" s="17">
        <v>1</v>
      </c>
      <c r="M338" s="17">
        <v>1</v>
      </c>
      <c r="N338" s="17">
        <v>1</v>
      </c>
      <c r="O338" s="17">
        <v>1</v>
      </c>
      <c r="P338" s="17">
        <v>1</v>
      </c>
      <c r="Q338" s="17">
        <v>1</v>
      </c>
      <c r="R338" s="17" t="str">
        <f>VLOOKUP($C338, Factor!$AM$4:$AY$30, 9, 0)</f>
        <v>Midium</v>
      </c>
      <c r="S338" s="17" t="s">
        <v>198</v>
      </c>
      <c r="T338" s="17" t="str">
        <f>VLOOKUP($C338, Factor!$AM$4:$AY$30, 10, 0)</f>
        <v>enpc</v>
      </c>
      <c r="U338" s="17" cm="1">
        <f t="array" ref="U338">L338*VLOOKUP($I338, Factor!$B$4:$G$8, 2, 0)*VLOOKUP($J338, Factor!$B$12:$G$13, 2, 0)*VLOOKUP($K338, Factor!$B$17:$G$18, 2, 0)*VLOOKUP($H338, Factor!$J$4:$O$7, 2, 0)*VLOOKUP($F338, Factor!$Q$4:$V$15, 2, 0)*IF(MOD($G338,10)=0, 10, MOD($G338, 10))*((INDEX(Factor!$X$4:$AC$13, _xlfn.XMATCH($G338, Factor!$X$4:$X$13, 1),2)*IF(MOD(G338, 10) = 0, 10, MOD(G338, 10)))+INDEX(Factor!$AE$4:$AJ$13, _xlfn.XMATCH(MonsterData!$G338, Factor!$AE$4:$AE$13, 1),2))</f>
        <v>388800</v>
      </c>
      <c r="V338" s="17" cm="1">
        <f t="array" ref="V338">M338*VLOOKUP($I338, Factor!$B$4:$G$8, 3, 0)*VLOOKUP($J338, Factor!$B$12:$G$13, 3, 0)*VLOOKUP($K338, Factor!$B$17:$G$18, 3, 0)*VLOOKUP($H338, Factor!$J$4:$O$7, 3, 0)*VLOOKUP($F338, Factor!$Q$4:$V$15, 3, 0)*IF(MOD($G338,10)=0, 10, MOD($G338, 10))*((INDEX(Factor!$X$4:$AC$13, _xlfn.XMATCH($G338, Factor!$X$4:$X$13, 1),3)*IF(MOD(G338, 10) = 0, 10, MOD(G338, 10)))+INDEX(Factor!$AE$4:$AJ$13, _xlfn.XMATCH(MonsterData!$G338, Factor!$AE$4:$AE$13, 1),3))</f>
        <v>19440</v>
      </c>
      <c r="W338" s="17" cm="1">
        <f t="array" ref="W338">N338*VLOOKUP($I338, Factor!$B$4:$G$8, 4, 0)*VLOOKUP($J338, Factor!$B$12:$G$13, 4, 0)*VLOOKUP($K338, Factor!$B$17:$G$18, 4, 0)*VLOOKUP($H338, Factor!$J$4:$O$7, 4, 0)*VLOOKUP($F338, Factor!$Q$4:$V$15, 4, 0)*IF(MOD($G338,10)=0, 10, MOD($G338, 10))*((INDEX(Factor!$X$4:$AC$13, _xlfn.XMATCH($G338, Factor!$X$4:$X$13, 1),4)*IF(MOD(G338, 10) = 0, 10, MOD(G338, 10)))+INDEX(Factor!$AE$4:$AJ$13, _xlfn.XMATCH(MonsterData!$G338, Factor!$AE$4:$AE$13, 1),4))</f>
        <v>58320</v>
      </c>
      <c r="X338" s="17" cm="1">
        <f t="array" ref="X338">O338*VLOOKUP($I338, Factor!$B$4:$G$8, 5, 0)*VLOOKUP($J338, Factor!$B$12:$G$13, 5, 0)*VLOOKUP($K338, Factor!$B$17:$G$18, 5, 0)*VLOOKUP($H338, Factor!$J$4:$O$7, 5, 0)*VLOOKUP($F338, Factor!$Q$4:$V$15, 5, 0)*IF(MOD($G338,10)=0, 10, MOD($G338, 10))*((INDEX(Factor!$X$4:$AC$13, _xlfn.XMATCH($G338, Factor!$X$4:$X$13, 1),5)*IF(MOD(G338, 10) = 0, 10, MOD(G338, 10)))+INDEX(Factor!$AE$4:$AJ$13, _xlfn.XMATCH(MonsterData!$G338, Factor!$AE$4:$AE$13, 1),5))</f>
        <v>1749.6000000000001</v>
      </c>
      <c r="Y338" s="17" cm="1">
        <f t="array" ref="Y338">P338*VLOOKUP($I338, Factor!$B$4:$G$8, 6, 0)*VLOOKUP($J338, Factor!$B$12:$G$13, 6, 0)*VLOOKUP($K338, Factor!$B$17:$G$18, 6, 0)*VLOOKUP($H338, Factor!$J$4:$O$7, 2, 0)*VLOOKUP($F338, Factor!$Q$4:$V$15, 6, 0)*IF(MOD($G338,10)=0, 10, MOD($G338, 10))*((INDEX(Factor!$X$4:$AC$13, _xlfn.XMATCH($G338, Factor!$X$4:$X$13, 1),6)*IF(MOD(G338, 10) = 0, 10, MOD(G338, 10)))+INDEX(Factor!$AE$4:$AJ$13, _xlfn.XMATCH(MonsterData!$G338, Factor!$AE$4:$AE$13, 1),6))</f>
        <v>2592</v>
      </c>
      <c r="Z338" s="17">
        <f>$Q338*VLOOKUP($J338, Factor!$B$12:$H$13, 7, 0)</f>
        <v>4</v>
      </c>
      <c r="AA338" s="17">
        <v>1</v>
      </c>
      <c r="AB338" s="17">
        <f t="shared" si="15"/>
        <v>4</v>
      </c>
      <c r="AC338" s="17" t="s">
        <v>141</v>
      </c>
      <c r="AD338" s="19" t="s">
        <v>144</v>
      </c>
    </row>
    <row r="339" spans="1:30" ht="15.75" customHeight="1">
      <c r="A339" s="13" t="str">
        <f>T339&amp;"_"&amp;F339&amp;VLOOKUP($C339, Factor!$AM$4:$AY$30, 7, 0)&amp;IF(COUNTIFS($C$4:C338, C339, $F$4:F338, F339)+1&gt;=100, COUNTIFS($C$4:C338, C339, $F$4:F338, F339)+1,IF(COUNTIFS($C$4:C338, C339, $F$4:F338, F339)+1&gt;=10, "0"&amp;COUNTIFS($C$4:C338, C339, $F$4:F338, F339)+1, "00"&amp;COUNTIFS($C$4:C338, C339, $F$4:F338, F339)+1))</f>
        <v>enpc_F05_A_Scarab_005</v>
      </c>
      <c r="B339" s="13"/>
      <c r="C339" s="13" t="s">
        <v>353</v>
      </c>
      <c r="D339" s="21" t="str">
        <f t="shared" si="16"/>
        <v>스캐럽</v>
      </c>
      <c r="E339" s="21" t="str">
        <f>VLOOKUP($C339, Factor!$AM$4:$AY$30, 8, 0)</f>
        <v>S</v>
      </c>
      <c r="F339" s="21" t="s">
        <v>113</v>
      </c>
      <c r="G339" s="22">
        <v>51</v>
      </c>
      <c r="H339" s="13" t="s">
        <v>55</v>
      </c>
      <c r="I339" s="21" t="str">
        <f>VLOOKUP($C339, Factor!$AM$4:$AY$30, 11, 0)</f>
        <v>A</v>
      </c>
      <c r="J339" s="21" t="str">
        <f>VLOOKUP($C339, Factor!$AM$4:$AY$30, 12, 0)</f>
        <v>ml</v>
      </c>
      <c r="K339" s="21" t="str">
        <f>VLOOKUP($C339, Factor!$AM$4:$AY$30, 13, 0)</f>
        <v>L</v>
      </c>
      <c r="L339" s="13">
        <v>1</v>
      </c>
      <c r="M339" s="13">
        <v>1</v>
      </c>
      <c r="N339" s="13">
        <v>1</v>
      </c>
      <c r="O339" s="13">
        <v>1</v>
      </c>
      <c r="P339" s="13">
        <v>1</v>
      </c>
      <c r="Q339" s="13">
        <v>1</v>
      </c>
      <c r="R339" s="21" t="str">
        <f>VLOOKUP($C339, Factor!$AM$4:$AY$30, 9, 0)</f>
        <v>Midium</v>
      </c>
      <c r="S339" s="13" t="s">
        <v>399</v>
      </c>
      <c r="T339" s="21" t="str">
        <f>VLOOKUP($C339, Factor!$AM$4:$AY$30, 10, 0)</f>
        <v>enpc</v>
      </c>
      <c r="U339" s="21" cm="1">
        <f t="array" ref="U339">L339*VLOOKUP($I339, Factor!$B$4:$G$8, 2, 0)*VLOOKUP($J339, Factor!$B$12:$G$13, 2, 0)*VLOOKUP($K339, Factor!$B$17:$G$18, 2, 0)*VLOOKUP($H339, Factor!$J$4:$O$7, 2, 0)*VLOOKUP($F339, Factor!$Q$4:$V$15, 2, 0)*IF(MOD($G339,10)=0, 10, MOD($G339, 10))*((INDEX(Factor!$X$4:$AC$13, _xlfn.XMATCH($G339, Factor!$X$4:$X$13, 1),2)*IF(MOD(G339, 10) = 0, 10, MOD(G339, 10)))+INDEX(Factor!$AE$4:$AJ$13, _xlfn.XMATCH(MonsterData!$G339, Factor!$AE$4:$AE$13, 1),2))</f>
        <v>4212</v>
      </c>
      <c r="V339" s="21" cm="1">
        <f t="array" ref="V339">M339*VLOOKUP($I339, Factor!$B$4:$G$8, 3, 0)*VLOOKUP($J339, Factor!$B$12:$G$13, 3, 0)*VLOOKUP($K339, Factor!$B$17:$G$18, 3, 0)*VLOOKUP($H339, Factor!$J$4:$O$7, 3, 0)*VLOOKUP($F339, Factor!$Q$4:$V$15, 3, 0)*IF(MOD($G339,10)=0, 10, MOD($G339, 10))*((INDEX(Factor!$X$4:$AC$13, _xlfn.XMATCH($G339, Factor!$X$4:$X$13, 1),3)*IF(MOD(G339, 10) = 0, 10, MOD(G339, 10)))+INDEX(Factor!$AE$4:$AJ$13, _xlfn.XMATCH(MonsterData!$G339, Factor!$AE$4:$AE$13, 1),3))</f>
        <v>210.6</v>
      </c>
      <c r="W339" s="21" cm="1">
        <f t="array" ref="W339">N339*VLOOKUP($I339, Factor!$B$4:$G$8, 4, 0)*VLOOKUP($J339, Factor!$B$12:$G$13, 4, 0)*VLOOKUP($K339, Factor!$B$17:$G$18, 4, 0)*VLOOKUP($H339, Factor!$J$4:$O$7, 4, 0)*VLOOKUP($F339, Factor!$Q$4:$V$15, 4, 0)*IF(MOD($G339,10)=0, 10, MOD($G339, 10))*((INDEX(Factor!$X$4:$AC$13, _xlfn.XMATCH($G339, Factor!$X$4:$X$13, 1),4)*IF(MOD(G339, 10) = 0, 10, MOD(G339, 10)))+INDEX(Factor!$AE$4:$AJ$13, _xlfn.XMATCH(MonsterData!$G339, Factor!$AE$4:$AE$13, 1),4))</f>
        <v>126.35999999999999</v>
      </c>
      <c r="X339" s="21" cm="1">
        <f t="array" ref="X339">O339*VLOOKUP($I339, Factor!$B$4:$G$8, 5, 0)*VLOOKUP($J339, Factor!$B$12:$G$13, 5, 0)*VLOOKUP($K339, Factor!$B$17:$G$18, 5, 0)*VLOOKUP($H339, Factor!$J$4:$O$7, 5, 0)*VLOOKUP($F339, Factor!$Q$4:$V$15, 5, 0)*IF(MOD($G339,10)=0, 10, MOD($G339, 10))*((INDEX(Factor!$X$4:$AC$13, _xlfn.XMATCH($G339, Factor!$X$4:$X$13, 1),5)*IF(MOD(G339, 10) = 0, 10, MOD(G339, 10)))+INDEX(Factor!$AE$4:$AJ$13, _xlfn.XMATCH(MonsterData!$G339, Factor!$AE$4:$AE$13, 1),5))</f>
        <v>28.08</v>
      </c>
      <c r="Y339" s="21" cm="1">
        <f t="array" ref="Y339">P339*VLOOKUP($I339, Factor!$B$4:$G$8, 6, 0)*VLOOKUP($J339, Factor!$B$12:$G$13, 6, 0)*VLOOKUP($K339, Factor!$B$17:$G$18, 6, 0)*VLOOKUP($H339, Factor!$J$4:$O$7, 2, 0)*VLOOKUP($F339, Factor!$Q$4:$V$15, 6, 0)*IF(MOD($G339,10)=0, 10, MOD($G339, 10))*((INDEX(Factor!$X$4:$AC$13, _xlfn.XMATCH($G339, Factor!$X$4:$X$13, 1),6)*IF(MOD(G339, 10) = 0, 10, MOD(G339, 10)))+INDEX(Factor!$AE$4:$AJ$13, _xlfn.XMATCH(MonsterData!$G339, Factor!$AE$4:$AE$13, 1),6))</f>
        <v>140.4</v>
      </c>
      <c r="Z339" s="21">
        <f>$Q339*VLOOKUP($J339, Factor!$B$12:$H$13, 7, 0)</f>
        <v>1</v>
      </c>
      <c r="AA339" s="13">
        <v>1</v>
      </c>
      <c r="AB339" s="21">
        <f t="shared" si="15"/>
        <v>0</v>
      </c>
      <c r="AC339" s="13" t="s">
        <v>139</v>
      </c>
      <c r="AD339" s="15" t="s">
        <v>387</v>
      </c>
    </row>
    <row r="340" spans="1:30" ht="15.75" customHeight="1">
      <c r="A340" s="16" t="str">
        <f>T340&amp;"_"&amp;F340&amp;VLOOKUP($C340, Factor!$AM$4:$AY$30, 7, 0)&amp;IF(COUNTIFS($C$4:C339, C340, $F$4:F339, F340)+1&gt;=100, COUNTIFS($C$4:C339, C340, $F$4:F339, F340)+1,IF(COUNTIFS($C$4:C339, C340, $F$4:F339, F340)+1&gt;=10, "0"&amp;COUNTIFS($C$4:C339, C340, $F$4:F339, F340)+1, "00"&amp;COUNTIFS($C$4:C339, C340, $F$4:F339, F340)+1))</f>
        <v>enpc_F05_A_Swarmlet_005</v>
      </c>
      <c r="B340" s="16"/>
      <c r="C340" s="16" t="s">
        <v>355</v>
      </c>
      <c r="D340" s="17" t="str">
        <f t="shared" si="16"/>
        <v>스웜렛</v>
      </c>
      <c r="E340" s="17" t="str">
        <f>VLOOKUP($C340, Factor!$AM$4:$AY$30, 8, 0)</f>
        <v>B</v>
      </c>
      <c r="F340" s="17" t="s">
        <v>113</v>
      </c>
      <c r="G340" s="20">
        <v>51</v>
      </c>
      <c r="H340" s="16" t="s">
        <v>56</v>
      </c>
      <c r="I340" s="17" t="str">
        <f>VLOOKUP($C340, Factor!$AM$4:$AY$30, 11, 0)</f>
        <v>A</v>
      </c>
      <c r="J340" s="17" t="str">
        <f>VLOOKUP($C340, Factor!$AM$4:$AY$30, 12, 0)</f>
        <v>ml</v>
      </c>
      <c r="K340" s="17" t="str">
        <f>VLOOKUP($C340, Factor!$AM$4:$AY$30, 13, 0)</f>
        <v>L</v>
      </c>
      <c r="L340" s="17">
        <v>1</v>
      </c>
      <c r="M340" s="17">
        <v>1</v>
      </c>
      <c r="N340" s="17">
        <v>1</v>
      </c>
      <c r="O340" s="17">
        <v>1</v>
      </c>
      <c r="P340" s="17">
        <v>1</v>
      </c>
      <c r="Q340" s="17">
        <v>1</v>
      </c>
      <c r="R340" s="17" t="str">
        <f>VLOOKUP($C340, Factor!$AM$4:$AY$30, 9, 0)</f>
        <v>Small</v>
      </c>
      <c r="S340" s="17" t="s">
        <v>376</v>
      </c>
      <c r="T340" s="17" t="str">
        <f>VLOOKUP($C340, Factor!$AM$4:$AY$30, 10, 0)</f>
        <v>enpc</v>
      </c>
      <c r="U340" s="17" cm="1">
        <f t="array" ref="U340">L340*VLOOKUP($I340, Factor!$B$4:$G$8, 2, 0)*VLOOKUP($J340, Factor!$B$12:$G$13, 2, 0)*VLOOKUP($K340, Factor!$B$17:$G$18, 2, 0)*VLOOKUP($H340, Factor!$J$4:$O$7, 2, 0)*VLOOKUP($F340, Factor!$Q$4:$V$15, 2, 0)*IF(MOD($G340,10)=0, 10, MOD($G340, 10))*((INDEX(Factor!$X$4:$AC$13, _xlfn.XMATCH($G340, Factor!$X$4:$X$13, 1),2)*IF(MOD(G340, 10) = 0, 10, MOD(G340, 10)))+INDEX(Factor!$AE$4:$AJ$13, _xlfn.XMATCH(MonsterData!$G340, Factor!$AE$4:$AE$13, 1),2))</f>
        <v>4212</v>
      </c>
      <c r="V340" s="17" cm="1">
        <f t="array" ref="V340">M340*VLOOKUP($I340, Factor!$B$4:$G$8, 3, 0)*VLOOKUP($J340, Factor!$B$12:$G$13, 3, 0)*VLOOKUP($K340, Factor!$B$17:$G$18, 3, 0)*VLOOKUP($H340, Factor!$J$4:$O$7, 3, 0)*VLOOKUP($F340, Factor!$Q$4:$V$15, 3, 0)*IF(MOD($G340,10)=0, 10, MOD($G340, 10))*((INDEX(Factor!$X$4:$AC$13, _xlfn.XMATCH($G340, Factor!$X$4:$X$13, 1),3)*IF(MOD(G340, 10) = 0, 10, MOD(G340, 10)))+INDEX(Factor!$AE$4:$AJ$13, _xlfn.XMATCH(MonsterData!$G340, Factor!$AE$4:$AE$13, 1),3))</f>
        <v>210.6</v>
      </c>
      <c r="W340" s="17" cm="1">
        <f t="array" ref="W340">N340*VLOOKUP($I340, Factor!$B$4:$G$8, 4, 0)*VLOOKUP($J340, Factor!$B$12:$G$13, 4, 0)*VLOOKUP($K340, Factor!$B$17:$G$18, 4, 0)*VLOOKUP($H340, Factor!$J$4:$O$7, 4, 0)*VLOOKUP($F340, Factor!$Q$4:$V$15, 4, 0)*IF(MOD($G340,10)=0, 10, MOD($G340, 10))*((INDEX(Factor!$X$4:$AC$13, _xlfn.XMATCH($G340, Factor!$X$4:$X$13, 1),4)*IF(MOD(G340, 10) = 0, 10, MOD(G340, 10)))+INDEX(Factor!$AE$4:$AJ$13, _xlfn.XMATCH(MonsterData!$G340, Factor!$AE$4:$AE$13, 1),4))</f>
        <v>252.71999999999997</v>
      </c>
      <c r="X340" s="17" cm="1">
        <f t="array" ref="X340">O340*VLOOKUP($I340, Factor!$B$4:$G$8, 5, 0)*VLOOKUP($J340, Factor!$B$12:$G$13, 5, 0)*VLOOKUP($K340, Factor!$B$17:$G$18, 5, 0)*VLOOKUP($H340, Factor!$J$4:$O$7, 5, 0)*VLOOKUP($F340, Factor!$Q$4:$V$15, 5, 0)*IF(MOD($G340,10)=0, 10, MOD($G340, 10))*((INDEX(Factor!$X$4:$AC$13, _xlfn.XMATCH($G340, Factor!$X$4:$X$13, 1),5)*IF(MOD(G340, 10) = 0, 10, MOD(G340, 10)))+INDEX(Factor!$AE$4:$AJ$13, _xlfn.XMATCH(MonsterData!$G340, Factor!$AE$4:$AE$13, 1),5))</f>
        <v>25.272000000000002</v>
      </c>
      <c r="Y340" s="17" cm="1">
        <f t="array" ref="Y340">P340*VLOOKUP($I340, Factor!$B$4:$G$8, 6, 0)*VLOOKUP($J340, Factor!$B$12:$G$13, 6, 0)*VLOOKUP($K340, Factor!$B$17:$G$18, 6, 0)*VLOOKUP($H340, Factor!$J$4:$O$7, 2, 0)*VLOOKUP($F340, Factor!$Q$4:$V$15, 6, 0)*IF(MOD($G340,10)=0, 10, MOD($G340, 10))*((INDEX(Factor!$X$4:$AC$13, _xlfn.XMATCH($G340, Factor!$X$4:$X$13, 1),6)*IF(MOD(G340, 10) = 0, 10, MOD(G340, 10)))+INDEX(Factor!$AE$4:$AJ$13, _xlfn.XMATCH(MonsterData!$G340, Factor!$AE$4:$AE$13, 1),6))</f>
        <v>140.4</v>
      </c>
      <c r="Z340" s="17">
        <f>$Q340*VLOOKUP($J340, Factor!$B$12:$H$13, 7, 0)</f>
        <v>1</v>
      </c>
      <c r="AA340" s="17">
        <v>1</v>
      </c>
      <c r="AB340" s="17">
        <f t="shared" si="15"/>
        <v>0</v>
      </c>
      <c r="AC340" s="17" t="s">
        <v>139</v>
      </c>
      <c r="AD340" s="19" t="s">
        <v>387</v>
      </c>
    </row>
    <row r="341" spans="1:30" ht="15.75" customHeight="1">
      <c r="A341" s="13" t="str">
        <f>T341&amp;"_"&amp;F341&amp;VLOOKUP($C341, Factor!$AM$4:$AY$30, 7, 0)&amp;IF(COUNTIFS($C$4:C340, C341, $F$4:F340, F341)+1&gt;=100, COUNTIFS($C$4:C340, C341, $F$4:F340, F341)+1,IF(COUNTIFS($C$4:C340, C341, $F$4:F340, F341)+1&gt;=10, "0"&amp;COUNTIFS($C$4:C340, C341, $F$4:F340, F341)+1, "00"&amp;COUNTIFS($C$4:C340, C341, $F$4:F340, F341)+1))</f>
        <v>enpc_F05_A_Mantis_005</v>
      </c>
      <c r="B341" s="13"/>
      <c r="C341" s="13" t="s">
        <v>357</v>
      </c>
      <c r="D341" s="21" t="str">
        <f t="shared" si="16"/>
        <v>맨티스</v>
      </c>
      <c r="E341" s="21" t="str">
        <f>VLOOKUP($C341, Factor!$AM$4:$AY$30, 8, 0)</f>
        <v>S</v>
      </c>
      <c r="F341" s="21" t="s">
        <v>113</v>
      </c>
      <c r="G341" s="22">
        <v>51</v>
      </c>
      <c r="H341" s="13" t="s">
        <v>55</v>
      </c>
      <c r="I341" s="21" t="str">
        <f>VLOOKUP($C341, Factor!$AM$4:$AY$30, 11, 0)</f>
        <v>A</v>
      </c>
      <c r="J341" s="21" t="str">
        <f>VLOOKUP($C341, Factor!$AM$4:$AY$30, 12, 0)</f>
        <v>ml</v>
      </c>
      <c r="K341" s="21" t="str">
        <f>VLOOKUP($C341, Factor!$AM$4:$AY$30, 13, 0)</f>
        <v>L</v>
      </c>
      <c r="L341" s="13">
        <v>1</v>
      </c>
      <c r="M341" s="13">
        <v>1</v>
      </c>
      <c r="N341" s="13">
        <v>1</v>
      </c>
      <c r="O341" s="13">
        <v>1</v>
      </c>
      <c r="P341" s="13">
        <v>1</v>
      </c>
      <c r="Q341" s="13">
        <v>1</v>
      </c>
      <c r="R341" s="21" t="str">
        <f>VLOOKUP($C341, Factor!$AM$4:$AY$30, 9, 0)</f>
        <v>Small</v>
      </c>
      <c r="S341" s="13" t="s">
        <v>400</v>
      </c>
      <c r="T341" s="21" t="str">
        <f>VLOOKUP($C341, Factor!$AM$4:$AY$30, 10, 0)</f>
        <v>enpc</v>
      </c>
      <c r="U341" s="21" cm="1">
        <f t="array" ref="U341">L341*VLOOKUP($I341, Factor!$B$4:$G$8, 2, 0)*VLOOKUP($J341, Factor!$B$12:$G$13, 2, 0)*VLOOKUP($K341, Factor!$B$17:$G$18, 2, 0)*VLOOKUP($H341, Factor!$J$4:$O$7, 2, 0)*VLOOKUP($F341, Factor!$Q$4:$V$15, 2, 0)*IF(MOD($G341,10)=0, 10, MOD($G341, 10))*((INDEX(Factor!$X$4:$AC$13, _xlfn.XMATCH($G341, Factor!$X$4:$X$13, 1),2)*IF(MOD(G341, 10) = 0, 10, MOD(G341, 10)))+INDEX(Factor!$AE$4:$AJ$13, _xlfn.XMATCH(MonsterData!$G341, Factor!$AE$4:$AE$13, 1),2))</f>
        <v>4212</v>
      </c>
      <c r="V341" s="21" cm="1">
        <f t="array" ref="V341">M341*VLOOKUP($I341, Factor!$B$4:$G$8, 3, 0)*VLOOKUP($J341, Factor!$B$12:$G$13, 3, 0)*VLOOKUP($K341, Factor!$B$17:$G$18, 3, 0)*VLOOKUP($H341, Factor!$J$4:$O$7, 3, 0)*VLOOKUP($F341, Factor!$Q$4:$V$15, 3, 0)*IF(MOD($G341,10)=0, 10, MOD($G341, 10))*((INDEX(Factor!$X$4:$AC$13, _xlfn.XMATCH($G341, Factor!$X$4:$X$13, 1),3)*IF(MOD(G341, 10) = 0, 10, MOD(G341, 10)))+INDEX(Factor!$AE$4:$AJ$13, _xlfn.XMATCH(MonsterData!$G341, Factor!$AE$4:$AE$13, 1),3))</f>
        <v>210.6</v>
      </c>
      <c r="W341" s="21" cm="1">
        <f t="array" ref="W341">N341*VLOOKUP($I341, Factor!$B$4:$G$8, 4, 0)*VLOOKUP($J341, Factor!$B$12:$G$13, 4, 0)*VLOOKUP($K341, Factor!$B$17:$G$18, 4, 0)*VLOOKUP($H341, Factor!$J$4:$O$7, 4, 0)*VLOOKUP($F341, Factor!$Q$4:$V$15, 4, 0)*IF(MOD($G341,10)=0, 10, MOD($G341, 10))*((INDEX(Factor!$X$4:$AC$13, _xlfn.XMATCH($G341, Factor!$X$4:$X$13, 1),4)*IF(MOD(G341, 10) = 0, 10, MOD(G341, 10)))+INDEX(Factor!$AE$4:$AJ$13, _xlfn.XMATCH(MonsterData!$G341, Factor!$AE$4:$AE$13, 1),4))</f>
        <v>126.35999999999999</v>
      </c>
      <c r="X341" s="21" cm="1">
        <f t="array" ref="X341">O341*VLOOKUP($I341, Factor!$B$4:$G$8, 5, 0)*VLOOKUP($J341, Factor!$B$12:$G$13, 5, 0)*VLOOKUP($K341, Factor!$B$17:$G$18, 5, 0)*VLOOKUP($H341, Factor!$J$4:$O$7, 5, 0)*VLOOKUP($F341, Factor!$Q$4:$V$15, 5, 0)*IF(MOD($G341,10)=0, 10, MOD($G341, 10))*((INDEX(Factor!$X$4:$AC$13, _xlfn.XMATCH($G341, Factor!$X$4:$X$13, 1),5)*IF(MOD(G341, 10) = 0, 10, MOD(G341, 10)))+INDEX(Factor!$AE$4:$AJ$13, _xlfn.XMATCH(MonsterData!$G341, Factor!$AE$4:$AE$13, 1),5))</f>
        <v>28.08</v>
      </c>
      <c r="Y341" s="21" cm="1">
        <f t="array" ref="Y341">P341*VLOOKUP($I341, Factor!$B$4:$G$8, 6, 0)*VLOOKUP($J341, Factor!$B$12:$G$13, 6, 0)*VLOOKUP($K341, Factor!$B$17:$G$18, 6, 0)*VLOOKUP($H341, Factor!$J$4:$O$7, 2, 0)*VLOOKUP($F341, Factor!$Q$4:$V$15, 6, 0)*IF(MOD($G341,10)=0, 10, MOD($G341, 10))*((INDEX(Factor!$X$4:$AC$13, _xlfn.XMATCH($G341, Factor!$X$4:$X$13, 1),6)*IF(MOD(G341, 10) = 0, 10, MOD(G341, 10)))+INDEX(Factor!$AE$4:$AJ$13, _xlfn.XMATCH(MonsterData!$G341, Factor!$AE$4:$AE$13, 1),6))</f>
        <v>140.4</v>
      </c>
      <c r="Z341" s="21">
        <f>$Q341*VLOOKUP($J341, Factor!$B$12:$H$13, 7, 0)</f>
        <v>1</v>
      </c>
      <c r="AA341" s="13">
        <v>1</v>
      </c>
      <c r="AB341" s="21">
        <f t="shared" si="15"/>
        <v>0</v>
      </c>
      <c r="AC341" s="13" t="s">
        <v>139</v>
      </c>
      <c r="AD341" s="15" t="s">
        <v>387</v>
      </c>
    </row>
    <row r="342" spans="1:30" ht="15.75" customHeight="1">
      <c r="A342" s="16" t="str">
        <f>T342&amp;"_"&amp;F342&amp;VLOOKUP($C342, Factor!$AM$4:$AY$30, 7, 0)&amp;IF(COUNTIFS($C$4:C341, C342, $F$4:F341, F342)+1&gt;=100, COUNTIFS($C$4:C341, C342, $F$4:F341, F342)+1,IF(COUNTIFS($C$4:C341, C342, $F$4:F341, F342)+1&gt;=10, "0"&amp;COUNTIFS($C$4:C341, C342, $F$4:F341, F342)+1, "00"&amp;COUNTIFS($C$4:C341, C342, $F$4:F341, F342)+1))</f>
        <v>enpc_F05_B_Kobold_005</v>
      </c>
      <c r="B342" s="16"/>
      <c r="C342" s="16" t="s">
        <v>359</v>
      </c>
      <c r="D342" s="17" t="str">
        <f t="shared" si="16"/>
        <v>코볼트</v>
      </c>
      <c r="E342" s="17" t="str">
        <f>VLOOKUP($C342, Factor!$AM$4:$AY$30, 8, 0)</f>
        <v>M</v>
      </c>
      <c r="F342" s="17" t="s">
        <v>113</v>
      </c>
      <c r="G342" s="20">
        <v>80</v>
      </c>
      <c r="H342" s="16" t="s">
        <v>56</v>
      </c>
      <c r="I342" s="17" t="str">
        <f>VLOOKUP($C342, Factor!$AM$4:$AY$30, 11, 0)</f>
        <v>B</v>
      </c>
      <c r="J342" s="17" t="str">
        <f>VLOOKUP($C342, Factor!$AM$4:$AY$30, 12, 0)</f>
        <v>ml</v>
      </c>
      <c r="K342" s="17" t="str">
        <f>VLOOKUP($C342, Factor!$AM$4:$AY$30, 13, 0)</f>
        <v>L</v>
      </c>
      <c r="L342" s="17">
        <v>1</v>
      </c>
      <c r="M342" s="17">
        <v>1</v>
      </c>
      <c r="N342" s="17">
        <v>1</v>
      </c>
      <c r="O342" s="17">
        <v>1</v>
      </c>
      <c r="P342" s="17">
        <v>1</v>
      </c>
      <c r="Q342" s="17">
        <v>1</v>
      </c>
      <c r="R342" s="17" t="str">
        <f>VLOOKUP($C342, Factor!$AM$4:$AY$30, 9, 0)</f>
        <v>Small</v>
      </c>
      <c r="S342" s="17" t="s">
        <v>378</v>
      </c>
      <c r="T342" s="17" t="str">
        <f>VLOOKUP($C342, Factor!$AM$4:$AY$30, 10, 0)</f>
        <v>enpc</v>
      </c>
      <c r="U342" s="17" cm="1">
        <f t="array" ref="U342">L342*VLOOKUP($I342, Factor!$B$4:$G$8, 2, 0)*VLOOKUP($J342, Factor!$B$12:$G$13, 2, 0)*VLOOKUP($K342, Factor!$B$17:$G$18, 2, 0)*VLOOKUP($H342, Factor!$J$4:$O$7, 2, 0)*VLOOKUP($F342, Factor!$Q$4:$V$15, 2, 0)*IF(MOD($G342,10)=0, 10, MOD($G342, 10))*((INDEX(Factor!$X$4:$AC$13, _xlfn.XMATCH($G342, Factor!$X$4:$X$13, 1),2)*IF(MOD(G342, 10) = 0, 10, MOD(G342, 10)))+INDEX(Factor!$AE$4:$AJ$13, _xlfn.XMATCH(MonsterData!$G342, Factor!$AE$4:$AE$13, 1),2))</f>
        <v>486000</v>
      </c>
      <c r="V342" s="17" cm="1">
        <f t="array" ref="V342">M342*VLOOKUP($I342, Factor!$B$4:$G$8, 3, 0)*VLOOKUP($J342, Factor!$B$12:$G$13, 3, 0)*VLOOKUP($K342, Factor!$B$17:$G$18, 3, 0)*VLOOKUP($H342, Factor!$J$4:$O$7, 3, 0)*VLOOKUP($F342, Factor!$Q$4:$V$15, 3, 0)*IF(MOD($G342,10)=0, 10, MOD($G342, 10))*((INDEX(Factor!$X$4:$AC$13, _xlfn.XMATCH($G342, Factor!$X$4:$X$13, 1),3)*IF(MOD(G342, 10) = 0, 10, MOD(G342, 10)))+INDEX(Factor!$AE$4:$AJ$13, _xlfn.XMATCH(MonsterData!$G342, Factor!$AE$4:$AE$13, 1),3))</f>
        <v>24300</v>
      </c>
      <c r="W342" s="17" cm="1">
        <f t="array" ref="W342">N342*VLOOKUP($I342, Factor!$B$4:$G$8, 4, 0)*VLOOKUP($J342, Factor!$B$12:$G$13, 4, 0)*VLOOKUP($K342, Factor!$B$17:$G$18, 4, 0)*VLOOKUP($H342, Factor!$J$4:$O$7, 4, 0)*VLOOKUP($F342, Factor!$Q$4:$V$15, 4, 0)*IF(MOD($G342,10)=0, 10, MOD($G342, 10))*((INDEX(Factor!$X$4:$AC$13, _xlfn.XMATCH($G342, Factor!$X$4:$X$13, 1),4)*IF(MOD(G342, 10) = 0, 10, MOD(G342, 10)))+INDEX(Factor!$AE$4:$AJ$13, _xlfn.XMATCH(MonsterData!$G342, Factor!$AE$4:$AE$13, 1),4))</f>
        <v>48600</v>
      </c>
      <c r="X342" s="17" cm="1">
        <f t="array" ref="X342">O342*VLOOKUP($I342, Factor!$B$4:$G$8, 5, 0)*VLOOKUP($J342, Factor!$B$12:$G$13, 5, 0)*VLOOKUP($K342, Factor!$B$17:$G$18, 5, 0)*VLOOKUP($H342, Factor!$J$4:$O$7, 5, 0)*VLOOKUP($F342, Factor!$Q$4:$V$15, 5, 0)*IF(MOD($G342,10)=0, 10, MOD($G342, 10))*((INDEX(Factor!$X$4:$AC$13, _xlfn.XMATCH($G342, Factor!$X$4:$X$13, 1),5)*IF(MOD(G342, 10) = 0, 10, MOD(G342, 10)))+INDEX(Factor!$AE$4:$AJ$13, _xlfn.XMATCH(MonsterData!$G342, Factor!$AE$4:$AE$13, 1),5))</f>
        <v>1166.4000000000001</v>
      </c>
      <c r="Y342" s="17" cm="1">
        <f t="array" ref="Y342">P342*VLOOKUP($I342, Factor!$B$4:$G$8, 6, 0)*VLOOKUP($J342, Factor!$B$12:$G$13, 6, 0)*VLOOKUP($K342, Factor!$B$17:$G$18, 6, 0)*VLOOKUP($H342, Factor!$J$4:$O$7, 2, 0)*VLOOKUP($F342, Factor!$Q$4:$V$15, 6, 0)*IF(MOD($G342,10)=0, 10, MOD($G342, 10))*((INDEX(Factor!$X$4:$AC$13, _xlfn.XMATCH($G342, Factor!$X$4:$X$13, 1),6)*IF(MOD(G342, 10) = 0, 10, MOD(G342, 10)))+INDEX(Factor!$AE$4:$AJ$13, _xlfn.XMATCH(MonsterData!$G342, Factor!$AE$4:$AE$13, 1),6))</f>
        <v>2592</v>
      </c>
      <c r="Z342" s="17">
        <f>$Q342*VLOOKUP($J342, Factor!$B$12:$H$13, 7, 0)</f>
        <v>1</v>
      </c>
      <c r="AA342" s="17">
        <v>1</v>
      </c>
      <c r="AB342" s="17">
        <f t="shared" si="15"/>
        <v>0</v>
      </c>
      <c r="AC342" s="17" t="s">
        <v>393</v>
      </c>
      <c r="AD342" s="19" t="s">
        <v>388</v>
      </c>
    </row>
    <row r="343" spans="1:30" ht="15.75" customHeight="1">
      <c r="A343" s="13" t="str">
        <f>T343&amp;"_"&amp;F343&amp;VLOOKUP($C343, Factor!$AM$4:$AY$30, 7, 0)&amp;IF(COUNTIFS($C$4:C342, C343, $F$4:F342, F343)+1&gt;=100, COUNTIFS($C$4:C342, C343, $F$4:F342, F343)+1,IF(COUNTIFS($C$4:C342, C343, $F$4:F342, F343)+1&gt;=10, "0"&amp;COUNTIFS($C$4:C342, C343, $F$4:F342, F343)+1, "00"&amp;COUNTIFS($C$4:C342, C343, $F$4:F342, F343)+1))</f>
        <v>enpc_F05_B_Ghoul_005</v>
      </c>
      <c r="B343" s="13"/>
      <c r="C343" s="13" t="s">
        <v>361</v>
      </c>
      <c r="D343" s="21" t="str">
        <f t="shared" si="16"/>
        <v>구울</v>
      </c>
      <c r="E343" s="21" t="str">
        <f>VLOOKUP($C343, Factor!$AM$4:$AY$30, 8, 0)</f>
        <v>M</v>
      </c>
      <c r="F343" s="21" t="s">
        <v>113</v>
      </c>
      <c r="G343" s="22">
        <v>80</v>
      </c>
      <c r="H343" s="13" t="s">
        <v>55</v>
      </c>
      <c r="I343" s="21" t="str">
        <f>VLOOKUP($C343, Factor!$AM$4:$AY$30, 11, 0)</f>
        <v>B</v>
      </c>
      <c r="J343" s="21" t="str">
        <f>VLOOKUP($C343, Factor!$AM$4:$AY$30, 12, 0)</f>
        <v>ml</v>
      </c>
      <c r="K343" s="21" t="str">
        <f>VLOOKUP($C343, Factor!$AM$4:$AY$30, 13, 0)</f>
        <v>L</v>
      </c>
      <c r="L343" s="13">
        <v>1</v>
      </c>
      <c r="M343" s="13">
        <v>1</v>
      </c>
      <c r="N343" s="13">
        <v>1</v>
      </c>
      <c r="O343" s="13">
        <v>1</v>
      </c>
      <c r="P343" s="13">
        <v>1</v>
      </c>
      <c r="Q343" s="13">
        <v>1</v>
      </c>
      <c r="R343" s="21" t="str">
        <f>VLOOKUP($C343, Factor!$AM$4:$AY$30, 9, 0)</f>
        <v>Midium</v>
      </c>
      <c r="S343" s="13" t="s">
        <v>401</v>
      </c>
      <c r="T343" s="21" t="str">
        <f>VLOOKUP($C343, Factor!$AM$4:$AY$30, 10, 0)</f>
        <v>enpc</v>
      </c>
      <c r="U343" s="21" cm="1">
        <f t="array" ref="U343">L343*VLOOKUP($I343, Factor!$B$4:$G$8, 2, 0)*VLOOKUP($J343, Factor!$B$12:$G$13, 2, 0)*VLOOKUP($K343, Factor!$B$17:$G$18, 2, 0)*VLOOKUP($H343, Factor!$J$4:$O$7, 2, 0)*VLOOKUP($F343, Factor!$Q$4:$V$15, 2, 0)*IF(MOD($G343,10)=0, 10, MOD($G343, 10))*((INDEX(Factor!$X$4:$AC$13, _xlfn.XMATCH($G343, Factor!$X$4:$X$13, 1),2)*IF(MOD(G343, 10) = 0, 10, MOD(G343, 10)))+INDEX(Factor!$AE$4:$AJ$13, _xlfn.XMATCH(MonsterData!$G343, Factor!$AE$4:$AE$13, 1),2))</f>
        <v>486000</v>
      </c>
      <c r="V343" s="21" cm="1">
        <f t="array" ref="V343">M343*VLOOKUP($I343, Factor!$B$4:$G$8, 3, 0)*VLOOKUP($J343, Factor!$B$12:$G$13, 3, 0)*VLOOKUP($K343, Factor!$B$17:$G$18, 3, 0)*VLOOKUP($H343, Factor!$J$4:$O$7, 3, 0)*VLOOKUP($F343, Factor!$Q$4:$V$15, 3, 0)*IF(MOD($G343,10)=0, 10, MOD($G343, 10))*((INDEX(Factor!$X$4:$AC$13, _xlfn.XMATCH($G343, Factor!$X$4:$X$13, 1),3)*IF(MOD(G343, 10) = 0, 10, MOD(G343, 10)))+INDEX(Factor!$AE$4:$AJ$13, _xlfn.XMATCH(MonsterData!$G343, Factor!$AE$4:$AE$13, 1),3))</f>
        <v>24300</v>
      </c>
      <c r="W343" s="21" cm="1">
        <f t="array" ref="W343">N343*VLOOKUP($I343, Factor!$B$4:$G$8, 4, 0)*VLOOKUP($J343, Factor!$B$12:$G$13, 4, 0)*VLOOKUP($K343, Factor!$B$17:$G$18, 4, 0)*VLOOKUP($H343, Factor!$J$4:$O$7, 4, 0)*VLOOKUP($F343, Factor!$Q$4:$V$15, 4, 0)*IF(MOD($G343,10)=0, 10, MOD($G343, 10))*((INDEX(Factor!$X$4:$AC$13, _xlfn.XMATCH($G343, Factor!$X$4:$X$13, 1),4)*IF(MOD(G343, 10) = 0, 10, MOD(G343, 10)))+INDEX(Factor!$AE$4:$AJ$13, _xlfn.XMATCH(MonsterData!$G343, Factor!$AE$4:$AE$13, 1),4))</f>
        <v>24300</v>
      </c>
      <c r="X343" s="21" cm="1">
        <f t="array" ref="X343">O343*VLOOKUP($I343, Factor!$B$4:$G$8, 5, 0)*VLOOKUP($J343, Factor!$B$12:$G$13, 5, 0)*VLOOKUP($K343, Factor!$B$17:$G$18, 5, 0)*VLOOKUP($H343, Factor!$J$4:$O$7, 5, 0)*VLOOKUP($F343, Factor!$Q$4:$V$15, 5, 0)*IF(MOD($G343,10)=0, 10, MOD($G343, 10))*((INDEX(Factor!$X$4:$AC$13, _xlfn.XMATCH($G343, Factor!$X$4:$X$13, 1),5)*IF(MOD(G343, 10) = 0, 10, MOD(G343, 10)))+INDEX(Factor!$AE$4:$AJ$13, _xlfn.XMATCH(MonsterData!$G343, Factor!$AE$4:$AE$13, 1),5))</f>
        <v>1296</v>
      </c>
      <c r="Y343" s="21" cm="1">
        <f t="array" ref="Y343">P343*VLOOKUP($I343, Factor!$B$4:$G$8, 6, 0)*VLOOKUP($J343, Factor!$B$12:$G$13, 6, 0)*VLOOKUP($K343, Factor!$B$17:$G$18, 6, 0)*VLOOKUP($H343, Factor!$J$4:$O$7, 2, 0)*VLOOKUP($F343, Factor!$Q$4:$V$15, 6, 0)*IF(MOD($G343,10)=0, 10, MOD($G343, 10))*((INDEX(Factor!$X$4:$AC$13, _xlfn.XMATCH($G343, Factor!$X$4:$X$13, 1),6)*IF(MOD(G343, 10) = 0, 10, MOD(G343, 10)))+INDEX(Factor!$AE$4:$AJ$13, _xlfn.XMATCH(MonsterData!$G343, Factor!$AE$4:$AE$13, 1),6))</f>
        <v>2592</v>
      </c>
      <c r="Z343" s="21">
        <f>$Q343*VLOOKUP($J343, Factor!$B$12:$H$13, 7, 0)</f>
        <v>1</v>
      </c>
      <c r="AA343" s="13">
        <v>1</v>
      </c>
      <c r="AB343" s="21">
        <f t="shared" ref="AB343:AB371" si="17">IF(J343 = "ml", 0, $Z343*$AA343)</f>
        <v>0</v>
      </c>
      <c r="AC343" s="13" t="s">
        <v>394</v>
      </c>
      <c r="AD343" s="15" t="s">
        <v>389</v>
      </c>
    </row>
    <row r="344" spans="1:30" ht="15.75" customHeight="1">
      <c r="A344" s="16" t="str">
        <f>T344&amp;"_"&amp;F344&amp;VLOOKUP($C344, Factor!$AM$4:$AY$30, 7, 0)&amp;IF(COUNTIFS($C$4:C343, C344, $F$4:F343, F344)+1&gt;=100, COUNTIFS($C$4:C343, C344, $F$4:F343, F344)+1,IF(COUNTIFS($C$4:C343, C344, $F$4:F343, F344)+1&gt;=10, "0"&amp;COUNTIFS($C$4:C343, C344, $F$4:F343, F344)+1, "00"&amp;COUNTIFS($C$4:C343, C344, $F$4:F343, F344)+1))</f>
        <v>enpc_F05_B_Gorgon_005</v>
      </c>
      <c r="B344" s="16"/>
      <c r="C344" s="16" t="s">
        <v>363</v>
      </c>
      <c r="D344" s="17" t="str">
        <f t="shared" si="16"/>
        <v>고르곤</v>
      </c>
      <c r="E344" s="17" t="str">
        <f>VLOOKUP($C344, Factor!$AM$4:$AY$30, 8, 0)</f>
        <v>B</v>
      </c>
      <c r="F344" s="17" t="s">
        <v>113</v>
      </c>
      <c r="G344" s="20">
        <v>80</v>
      </c>
      <c r="H344" s="16" t="s">
        <v>56</v>
      </c>
      <c r="I344" s="17" t="str">
        <f>VLOOKUP($C344, Factor!$AM$4:$AY$30, 11, 0)</f>
        <v>B</v>
      </c>
      <c r="J344" s="17" t="str">
        <f>VLOOKUP($C344, Factor!$AM$4:$AY$30, 12, 0)</f>
        <v>ml</v>
      </c>
      <c r="K344" s="17" t="str">
        <f>VLOOKUP($C344, Factor!$AM$4:$AY$30, 13, 0)</f>
        <v>L</v>
      </c>
      <c r="L344" s="17">
        <v>1</v>
      </c>
      <c r="M344" s="17">
        <v>1</v>
      </c>
      <c r="N344" s="17">
        <v>1</v>
      </c>
      <c r="O344" s="17">
        <v>1</v>
      </c>
      <c r="P344" s="17">
        <v>1</v>
      </c>
      <c r="Q344" s="17">
        <v>1</v>
      </c>
      <c r="R344" s="17" t="str">
        <f>VLOOKUP($C344, Factor!$AM$4:$AY$30, 9, 0)</f>
        <v>Midium</v>
      </c>
      <c r="S344" s="17" t="s">
        <v>380</v>
      </c>
      <c r="T344" s="17" t="str">
        <f>VLOOKUP($C344, Factor!$AM$4:$AY$30, 10, 0)</f>
        <v>enpc</v>
      </c>
      <c r="U344" s="17" cm="1">
        <f t="array" ref="U344">L344*VLOOKUP($I344, Factor!$B$4:$G$8, 2, 0)*VLOOKUP($J344, Factor!$B$12:$G$13, 2, 0)*VLOOKUP($K344, Factor!$B$17:$G$18, 2, 0)*VLOOKUP($H344, Factor!$J$4:$O$7, 2, 0)*VLOOKUP($F344, Factor!$Q$4:$V$15, 2, 0)*IF(MOD($G344,10)=0, 10, MOD($G344, 10))*((INDEX(Factor!$X$4:$AC$13, _xlfn.XMATCH($G344, Factor!$X$4:$X$13, 1),2)*IF(MOD(G344, 10) = 0, 10, MOD(G344, 10)))+INDEX(Factor!$AE$4:$AJ$13, _xlfn.XMATCH(MonsterData!$G344, Factor!$AE$4:$AE$13, 1),2))</f>
        <v>486000</v>
      </c>
      <c r="V344" s="17" cm="1">
        <f t="array" ref="V344">M344*VLOOKUP($I344, Factor!$B$4:$G$8, 3, 0)*VLOOKUP($J344, Factor!$B$12:$G$13, 3, 0)*VLOOKUP($K344, Factor!$B$17:$G$18, 3, 0)*VLOOKUP($H344, Factor!$J$4:$O$7, 3, 0)*VLOOKUP($F344, Factor!$Q$4:$V$15, 3, 0)*IF(MOD($G344,10)=0, 10, MOD($G344, 10))*((INDEX(Factor!$X$4:$AC$13, _xlfn.XMATCH($G344, Factor!$X$4:$X$13, 1),3)*IF(MOD(G344, 10) = 0, 10, MOD(G344, 10)))+INDEX(Factor!$AE$4:$AJ$13, _xlfn.XMATCH(MonsterData!$G344, Factor!$AE$4:$AE$13, 1),3))</f>
        <v>24300</v>
      </c>
      <c r="W344" s="17" cm="1">
        <f t="array" ref="W344">N344*VLOOKUP($I344, Factor!$B$4:$G$8, 4, 0)*VLOOKUP($J344, Factor!$B$12:$G$13, 4, 0)*VLOOKUP($K344, Factor!$B$17:$G$18, 4, 0)*VLOOKUP($H344, Factor!$J$4:$O$7, 4, 0)*VLOOKUP($F344, Factor!$Q$4:$V$15, 4, 0)*IF(MOD($G344,10)=0, 10, MOD($G344, 10))*((INDEX(Factor!$X$4:$AC$13, _xlfn.XMATCH($G344, Factor!$X$4:$X$13, 1),4)*IF(MOD(G344, 10) = 0, 10, MOD(G344, 10)))+INDEX(Factor!$AE$4:$AJ$13, _xlfn.XMATCH(MonsterData!$G344, Factor!$AE$4:$AE$13, 1),4))</f>
        <v>48600</v>
      </c>
      <c r="X344" s="17" cm="1">
        <f t="array" ref="X344">O344*VLOOKUP($I344, Factor!$B$4:$G$8, 5, 0)*VLOOKUP($J344, Factor!$B$12:$G$13, 5, 0)*VLOOKUP($K344, Factor!$B$17:$G$18, 5, 0)*VLOOKUP($H344, Factor!$J$4:$O$7, 5, 0)*VLOOKUP($F344, Factor!$Q$4:$V$15, 5, 0)*IF(MOD($G344,10)=0, 10, MOD($G344, 10))*((INDEX(Factor!$X$4:$AC$13, _xlfn.XMATCH($G344, Factor!$X$4:$X$13, 1),5)*IF(MOD(G344, 10) = 0, 10, MOD(G344, 10)))+INDEX(Factor!$AE$4:$AJ$13, _xlfn.XMATCH(MonsterData!$G344, Factor!$AE$4:$AE$13, 1),5))</f>
        <v>1166.4000000000001</v>
      </c>
      <c r="Y344" s="17" cm="1">
        <f t="array" ref="Y344">P344*VLOOKUP($I344, Factor!$B$4:$G$8, 6, 0)*VLOOKUP($J344, Factor!$B$12:$G$13, 6, 0)*VLOOKUP($K344, Factor!$B$17:$G$18, 6, 0)*VLOOKUP($H344, Factor!$J$4:$O$7, 2, 0)*VLOOKUP($F344, Factor!$Q$4:$V$15, 6, 0)*IF(MOD($G344,10)=0, 10, MOD($G344, 10))*((INDEX(Factor!$X$4:$AC$13, _xlfn.XMATCH($G344, Factor!$X$4:$X$13, 1),6)*IF(MOD(G344, 10) = 0, 10, MOD(G344, 10)))+INDEX(Factor!$AE$4:$AJ$13, _xlfn.XMATCH(MonsterData!$G344, Factor!$AE$4:$AE$13, 1),6))</f>
        <v>2592</v>
      </c>
      <c r="Z344" s="17">
        <f>$Q344*VLOOKUP($J344, Factor!$B$12:$H$13, 7, 0)</f>
        <v>1</v>
      </c>
      <c r="AA344" s="17">
        <v>1</v>
      </c>
      <c r="AB344" s="17">
        <f t="shared" si="17"/>
        <v>0</v>
      </c>
      <c r="AC344" s="17" t="s">
        <v>395</v>
      </c>
      <c r="AD344" s="19" t="s">
        <v>390</v>
      </c>
    </row>
    <row r="345" spans="1:30" ht="15.75" customHeight="1">
      <c r="A345" s="13" t="str">
        <f>T345&amp;"_"&amp;F345&amp;VLOOKUP($C345, Factor!$AM$4:$AY$30, 7, 0)&amp;IF(COUNTIFS($C$4:C344, C345, $F$4:F344, F345)+1&gt;=100, COUNTIFS($C$4:C344, C345, $F$4:F344, F345)+1,IF(COUNTIFS($C$4:C344, C345, $F$4:F344, F345)+1&gt;=10, "0"&amp;COUNTIFS($C$4:C344, C345, $F$4:F344, F345)+1, "00"&amp;COUNTIFS($C$4:C344, C345, $F$4:F344, F345)+1))</f>
        <v>enpc_F05_B_Gargoyle_005</v>
      </c>
      <c r="B345" s="13"/>
      <c r="C345" s="13" t="s">
        <v>365</v>
      </c>
      <c r="D345" s="21" t="str">
        <f t="shared" si="16"/>
        <v>가고일</v>
      </c>
      <c r="E345" s="21" t="str">
        <f>VLOOKUP($C345, Factor!$AM$4:$AY$30, 8, 0)</f>
        <v>B</v>
      </c>
      <c r="F345" s="21" t="s">
        <v>113</v>
      </c>
      <c r="G345" s="22">
        <v>80</v>
      </c>
      <c r="H345" s="13" t="s">
        <v>55</v>
      </c>
      <c r="I345" s="21" t="str">
        <f>VLOOKUP($C345, Factor!$AM$4:$AY$30, 11, 0)</f>
        <v>B</v>
      </c>
      <c r="J345" s="21" t="str">
        <f>VLOOKUP($C345, Factor!$AM$4:$AY$30, 12, 0)</f>
        <v>ml</v>
      </c>
      <c r="K345" s="21" t="str">
        <f>VLOOKUP($C345, Factor!$AM$4:$AY$30, 13, 0)</f>
        <v>F</v>
      </c>
      <c r="L345" s="13">
        <v>1</v>
      </c>
      <c r="M345" s="13">
        <v>1</v>
      </c>
      <c r="N345" s="13">
        <v>1</v>
      </c>
      <c r="O345" s="13">
        <v>1</v>
      </c>
      <c r="P345" s="13">
        <v>1</v>
      </c>
      <c r="Q345" s="13">
        <v>1</v>
      </c>
      <c r="R345" s="21" t="str">
        <f>VLOOKUP($C345, Factor!$AM$4:$AY$30, 9, 0)</f>
        <v>Big</v>
      </c>
      <c r="S345" s="13" t="s">
        <v>402</v>
      </c>
      <c r="T345" s="21" t="str">
        <f>VLOOKUP($C345, Factor!$AM$4:$AY$30, 10, 0)</f>
        <v>enpc</v>
      </c>
      <c r="U345" s="21" cm="1">
        <f t="array" ref="U345">L345*VLOOKUP($I345, Factor!$B$4:$G$8, 2, 0)*VLOOKUP($J345, Factor!$B$12:$G$13, 2, 0)*VLOOKUP($K345, Factor!$B$17:$G$18, 2, 0)*VLOOKUP($H345, Factor!$J$4:$O$7, 2, 0)*VLOOKUP($F345, Factor!$Q$4:$V$15, 2, 0)*IF(MOD($G345,10)=0, 10, MOD($G345, 10))*((INDEX(Factor!$X$4:$AC$13, _xlfn.XMATCH($G345, Factor!$X$4:$X$13, 1),2)*IF(MOD(G345, 10) = 0, 10, MOD(G345, 10)))+INDEX(Factor!$AE$4:$AJ$13, _xlfn.XMATCH(MonsterData!$G345, Factor!$AE$4:$AE$13, 1),2))</f>
        <v>324000</v>
      </c>
      <c r="V345" s="21" cm="1">
        <f t="array" ref="V345">M345*VLOOKUP($I345, Factor!$B$4:$G$8, 3, 0)*VLOOKUP($J345, Factor!$B$12:$G$13, 3, 0)*VLOOKUP($K345, Factor!$B$17:$G$18, 3, 0)*VLOOKUP($H345, Factor!$J$4:$O$7, 3, 0)*VLOOKUP($F345, Factor!$Q$4:$V$15, 3, 0)*IF(MOD($G345,10)=0, 10, MOD($G345, 10))*((INDEX(Factor!$X$4:$AC$13, _xlfn.XMATCH($G345, Factor!$X$4:$X$13, 1),3)*IF(MOD(G345, 10) = 0, 10, MOD(G345, 10)))+INDEX(Factor!$AE$4:$AJ$13, _xlfn.XMATCH(MonsterData!$G345, Factor!$AE$4:$AE$13, 1),3))</f>
        <v>16200</v>
      </c>
      <c r="W345" s="21" cm="1">
        <f t="array" ref="W345">N345*VLOOKUP($I345, Factor!$B$4:$G$8, 4, 0)*VLOOKUP($J345, Factor!$B$12:$G$13, 4, 0)*VLOOKUP($K345, Factor!$B$17:$G$18, 4, 0)*VLOOKUP($H345, Factor!$J$4:$O$7, 4, 0)*VLOOKUP($F345, Factor!$Q$4:$V$15, 4, 0)*IF(MOD($G345,10)=0, 10, MOD($G345, 10))*((INDEX(Factor!$X$4:$AC$13, _xlfn.XMATCH($G345, Factor!$X$4:$X$13, 1),4)*IF(MOD(G345, 10) = 0, 10, MOD(G345, 10)))+INDEX(Factor!$AE$4:$AJ$13, _xlfn.XMATCH(MonsterData!$G345, Factor!$AE$4:$AE$13, 1),4))</f>
        <v>16200</v>
      </c>
      <c r="X345" s="21" cm="1">
        <f t="array" ref="X345">O345*VLOOKUP($I345, Factor!$B$4:$G$8, 5, 0)*VLOOKUP($J345, Factor!$B$12:$G$13, 5, 0)*VLOOKUP($K345, Factor!$B$17:$G$18, 5, 0)*VLOOKUP($H345, Factor!$J$4:$O$7, 5, 0)*VLOOKUP($F345, Factor!$Q$4:$V$15, 5, 0)*IF(MOD($G345,10)=0, 10, MOD($G345, 10))*((INDEX(Factor!$X$4:$AC$13, _xlfn.XMATCH($G345, Factor!$X$4:$X$13, 1),5)*IF(MOD(G345, 10) = 0, 10, MOD(G345, 10)))+INDEX(Factor!$AE$4:$AJ$13, _xlfn.XMATCH(MonsterData!$G345, Factor!$AE$4:$AE$13, 1),5))</f>
        <v>1296</v>
      </c>
      <c r="Y345" s="21" cm="1">
        <f t="array" ref="Y345">P345*VLOOKUP($I345, Factor!$B$4:$G$8, 6, 0)*VLOOKUP($J345, Factor!$B$12:$G$13, 6, 0)*VLOOKUP($K345, Factor!$B$17:$G$18, 6, 0)*VLOOKUP($H345, Factor!$J$4:$O$7, 2, 0)*VLOOKUP($F345, Factor!$Q$4:$V$15, 6, 0)*IF(MOD($G345,10)=0, 10, MOD($G345, 10))*((INDEX(Factor!$X$4:$AC$13, _xlfn.XMATCH($G345, Factor!$X$4:$X$13, 1),6)*IF(MOD(G345, 10) = 0, 10, MOD(G345, 10)))+INDEX(Factor!$AE$4:$AJ$13, _xlfn.XMATCH(MonsterData!$G345, Factor!$AE$4:$AE$13, 1),6))</f>
        <v>7776</v>
      </c>
      <c r="Z345" s="21">
        <f>$Q345*VLOOKUP($J345, Factor!$B$12:$H$13, 7, 0)</f>
        <v>1</v>
      </c>
      <c r="AA345" s="13">
        <v>1</v>
      </c>
      <c r="AB345" s="21">
        <f t="shared" si="17"/>
        <v>0</v>
      </c>
      <c r="AC345" s="13" t="s">
        <v>396</v>
      </c>
      <c r="AD345" s="15" t="s">
        <v>391</v>
      </c>
    </row>
    <row r="346" spans="1:30" ht="15.75" customHeight="1">
      <c r="A346" s="16" t="str">
        <f>T346&amp;"_"&amp;F346&amp;VLOOKUP($C346, Factor!$AM$4:$AY$30, 7, 0)&amp;IF(COUNTIFS($C$4:C345, C346, $F$4:F345, F346)+1&gt;=100, COUNTIFS($C$4:C345, C346, $F$4:F345, F346)+1,IF(COUNTIFS($C$4:C345, C346, $F$4:F345, F346)+1&gt;=10, "0"&amp;COUNTIFS($C$4:C345, C346, $F$4:F345, F346)+1, "00"&amp;COUNTIFS($C$4:C345, C346, $F$4:F345, F346)+1))</f>
        <v>enpc_F06_A_Lava_001</v>
      </c>
      <c r="B346" s="16"/>
      <c r="C346" s="16" t="s">
        <v>35</v>
      </c>
      <c r="D346" s="17" t="str">
        <f t="shared" si="16"/>
        <v>라바</v>
      </c>
      <c r="E346" s="17" t="str">
        <f>VLOOKUP($C346, Factor!$AM$4:$AY$30, 8, 0)</f>
        <v>S</v>
      </c>
      <c r="F346" s="17" t="s">
        <v>386</v>
      </c>
      <c r="G346" s="20">
        <v>53</v>
      </c>
      <c r="H346" s="16" t="s">
        <v>54</v>
      </c>
      <c r="I346" s="17" t="str">
        <f>VLOOKUP($C346, Factor!$AM$4:$AY$30, 11, 0)</f>
        <v>A</v>
      </c>
      <c r="J346" s="17" t="str">
        <f>VLOOKUP($C346, Factor!$AM$4:$AY$30, 12, 0)</f>
        <v>ml</v>
      </c>
      <c r="K346" s="17" t="str">
        <f>VLOOKUP($C346, Factor!$AM$4:$AY$30, 13, 0)</f>
        <v>L</v>
      </c>
      <c r="L346" s="17">
        <v>1</v>
      </c>
      <c r="M346" s="17">
        <v>1</v>
      </c>
      <c r="N346" s="17">
        <v>1</v>
      </c>
      <c r="O346" s="17">
        <v>1</v>
      </c>
      <c r="P346" s="17">
        <v>1</v>
      </c>
      <c r="Q346" s="17">
        <v>1</v>
      </c>
      <c r="R346" s="17" t="str">
        <f>VLOOKUP($C346, Factor!$AM$4:$AY$30, 9, 0)</f>
        <v>Small</v>
      </c>
      <c r="S346" s="17" t="s">
        <v>88</v>
      </c>
      <c r="T346" s="17" t="str">
        <f>VLOOKUP($C346, Factor!$AM$4:$AY$30, 10, 0)</f>
        <v>enpc</v>
      </c>
      <c r="U346" s="17" cm="1">
        <f t="array" ref="U346">L346*VLOOKUP($I346, Factor!$B$4:$G$8, 2, 0)*VLOOKUP($J346, Factor!$B$12:$G$13, 2, 0)*VLOOKUP($K346, Factor!$B$17:$G$18, 2, 0)*VLOOKUP($H346, Factor!$J$4:$O$7, 2, 0)*VLOOKUP($F346, Factor!$Q$4:$V$15, 2, 0)*IF(MOD($G346,10)=0, 10, MOD($G346, 10))*((INDEX(Factor!$X$4:$AC$13, _xlfn.XMATCH($G346, Factor!$X$4:$X$13, 1),2)*IF(MOD(G346, 10) = 0, 10, MOD(G346, 10)))+INDEX(Factor!$AE$4:$AJ$13, _xlfn.XMATCH(MonsterData!$G346, Factor!$AE$4:$AE$13, 1),2))</f>
        <v>12096</v>
      </c>
      <c r="V346" s="17" cm="1">
        <f t="array" ref="V346">M346*VLOOKUP($I346, Factor!$B$4:$G$8, 3, 0)*VLOOKUP($J346, Factor!$B$12:$G$13, 3, 0)*VLOOKUP($K346, Factor!$B$17:$G$18, 3, 0)*VLOOKUP($H346, Factor!$J$4:$O$7, 3, 0)*VLOOKUP($F346, Factor!$Q$4:$V$15, 3, 0)*IF(MOD($G346,10)=0, 10, MOD($G346, 10))*((INDEX(Factor!$X$4:$AC$13, _xlfn.XMATCH($G346, Factor!$X$4:$X$13, 1),3)*IF(MOD(G346, 10) = 0, 10, MOD(G346, 10)))+INDEX(Factor!$AE$4:$AJ$13, _xlfn.XMATCH(MonsterData!$G346, Factor!$AE$4:$AE$13, 1),3))</f>
        <v>604.80000000000007</v>
      </c>
      <c r="W346" s="17" cm="1">
        <f t="array" ref="W346">N346*VLOOKUP($I346, Factor!$B$4:$G$8, 4, 0)*VLOOKUP($J346, Factor!$B$12:$G$13, 4, 0)*VLOOKUP($K346, Factor!$B$17:$G$18, 4, 0)*VLOOKUP($H346, Factor!$J$4:$O$7, 4, 0)*VLOOKUP($F346, Factor!$Q$4:$V$15, 4, 0)*IF(MOD($G346,10)=0, 10, MOD($G346, 10))*((INDEX(Factor!$X$4:$AC$13, _xlfn.XMATCH($G346, Factor!$X$4:$X$13, 1),4)*IF(MOD(G346, 10) = 0, 10, MOD(G346, 10)))+INDEX(Factor!$AE$4:$AJ$13, _xlfn.XMATCH(MonsterData!$G346, Factor!$AE$4:$AE$13, 1),4))</f>
        <v>362.88000000000005</v>
      </c>
      <c r="X346" s="17" cm="1">
        <f t="array" ref="X346">O346*VLOOKUP($I346, Factor!$B$4:$G$8, 5, 0)*VLOOKUP($J346, Factor!$B$12:$G$13, 5, 0)*VLOOKUP($K346, Factor!$B$17:$G$18, 5, 0)*VLOOKUP($H346, Factor!$J$4:$O$7, 5, 0)*VLOOKUP($F346, Factor!$Q$4:$V$15, 5, 0)*IF(MOD($G346,10)=0, 10, MOD($G346, 10))*((INDEX(Factor!$X$4:$AC$13, _xlfn.XMATCH($G346, Factor!$X$4:$X$13, 1),5)*IF(MOD(G346, 10) = 0, 10, MOD(G346, 10)))+INDEX(Factor!$AE$4:$AJ$13, _xlfn.XMATCH(MonsterData!$G346, Factor!$AE$4:$AE$13, 1),5))</f>
        <v>100.80000000000001</v>
      </c>
      <c r="Y346" s="17" cm="1">
        <f t="array" ref="Y346">P346*VLOOKUP($I346, Factor!$B$4:$G$8, 6, 0)*VLOOKUP($J346, Factor!$B$12:$G$13, 6, 0)*VLOOKUP($K346, Factor!$B$17:$G$18, 6, 0)*VLOOKUP($H346, Factor!$J$4:$O$7, 2, 0)*VLOOKUP($F346, Factor!$Q$4:$V$15, 6, 0)*IF(MOD($G346,10)=0, 10, MOD($G346, 10))*((INDEX(Factor!$X$4:$AC$13, _xlfn.XMATCH($G346, Factor!$X$4:$X$13, 1),6)*IF(MOD(G346, 10) = 0, 10, MOD(G346, 10)))+INDEX(Factor!$AE$4:$AJ$13, _xlfn.XMATCH(MonsterData!$G346, Factor!$AE$4:$AE$13, 1),6))</f>
        <v>403.20000000000005</v>
      </c>
      <c r="Z346" s="17">
        <f>$Q346*VLOOKUP($J346, Factor!$B$12:$H$13, 7, 0)</f>
        <v>1</v>
      </c>
      <c r="AA346" s="17">
        <v>1</v>
      </c>
      <c r="AB346" s="17">
        <f t="shared" si="17"/>
        <v>0</v>
      </c>
      <c r="AC346" s="17" t="s">
        <v>139</v>
      </c>
      <c r="AD346" s="19" t="s">
        <v>142</v>
      </c>
    </row>
    <row r="347" spans="1:30" ht="15.75" customHeight="1">
      <c r="A347" s="13" t="str">
        <f>T347&amp;"_"&amp;F347&amp;VLOOKUP($C347, Factor!$AM$4:$AY$30, 7, 0)&amp;IF(COUNTIFS($C$4:C346, C347, $F$4:F346, F347)+1&gt;=100, COUNTIFS($C$4:C346, C347, $F$4:F346, F347)+1,IF(COUNTIFS($C$4:C346, C347, $F$4:F346, F347)+1&gt;=10, "0"&amp;COUNTIFS($C$4:C346, C347, $F$4:F346, F347)+1, "00"&amp;COUNTIFS($C$4:C346, C347, $F$4:F346, F347)+1))</f>
        <v>enpc_F06_A_Cocoon_001</v>
      </c>
      <c r="B347" s="13"/>
      <c r="C347" s="13" t="s">
        <v>270</v>
      </c>
      <c r="D347" s="21" t="str">
        <f t="shared" si="16"/>
        <v>코쿤</v>
      </c>
      <c r="E347" s="21" t="str">
        <f>VLOOKUP($C347, Factor!$AM$4:$AY$30, 8, 0)</f>
        <v>M</v>
      </c>
      <c r="F347" s="21" t="s">
        <v>386</v>
      </c>
      <c r="G347" s="22">
        <v>53</v>
      </c>
      <c r="H347" s="13" t="s">
        <v>55</v>
      </c>
      <c r="I347" s="21" t="str">
        <f>VLOOKUP($C347, Factor!$AM$4:$AY$30, 11, 0)</f>
        <v>A</v>
      </c>
      <c r="J347" s="21" t="str">
        <f>VLOOKUP($C347, Factor!$AM$4:$AY$30, 12, 0)</f>
        <v>ml</v>
      </c>
      <c r="K347" s="21" t="str">
        <f>VLOOKUP($C347, Factor!$AM$4:$AY$30, 13, 0)</f>
        <v>L</v>
      </c>
      <c r="L347" s="13">
        <v>1</v>
      </c>
      <c r="M347" s="13">
        <v>1</v>
      </c>
      <c r="N347" s="13">
        <v>1</v>
      </c>
      <c r="O347" s="13">
        <v>1</v>
      </c>
      <c r="P347" s="13">
        <v>1</v>
      </c>
      <c r="Q347" s="13">
        <v>1</v>
      </c>
      <c r="R347" s="21" t="str">
        <f>VLOOKUP($C347, Factor!$AM$4:$AY$30, 9, 0)</f>
        <v>Midium</v>
      </c>
      <c r="S347" s="13" t="s">
        <v>408</v>
      </c>
      <c r="T347" s="21" t="str">
        <f>VLOOKUP($C347, Factor!$AM$4:$AY$30, 10, 0)</f>
        <v>enpc</v>
      </c>
      <c r="U347" s="21" cm="1">
        <f t="array" ref="U347">L347*VLOOKUP($I347, Factor!$B$4:$G$8, 2, 0)*VLOOKUP($J347, Factor!$B$12:$G$13, 2, 0)*VLOOKUP($K347, Factor!$B$17:$G$18, 2, 0)*VLOOKUP($H347, Factor!$J$4:$O$7, 2, 0)*VLOOKUP($F347, Factor!$Q$4:$V$15, 2, 0)*IF(MOD($G347,10)=0, 10, MOD($G347, 10))*((INDEX(Factor!$X$4:$AC$13, _xlfn.XMATCH($G347, Factor!$X$4:$X$13, 1),2)*IF(MOD(G347, 10) = 0, 10, MOD(G347, 10)))+INDEX(Factor!$AE$4:$AJ$13, _xlfn.XMATCH(MonsterData!$G347, Factor!$AE$4:$AE$13, 1),2))</f>
        <v>15120</v>
      </c>
      <c r="V347" s="21" cm="1">
        <f t="array" ref="V347">M347*VLOOKUP($I347, Factor!$B$4:$G$8, 3, 0)*VLOOKUP($J347, Factor!$B$12:$G$13, 3, 0)*VLOOKUP($K347, Factor!$B$17:$G$18, 3, 0)*VLOOKUP($H347, Factor!$J$4:$O$7, 3, 0)*VLOOKUP($F347, Factor!$Q$4:$V$15, 3, 0)*IF(MOD($G347,10)=0, 10, MOD($G347, 10))*((INDEX(Factor!$X$4:$AC$13, _xlfn.XMATCH($G347, Factor!$X$4:$X$13, 1),3)*IF(MOD(G347, 10) = 0, 10, MOD(G347, 10)))+INDEX(Factor!$AE$4:$AJ$13, _xlfn.XMATCH(MonsterData!$G347, Factor!$AE$4:$AE$13, 1),3))</f>
        <v>756</v>
      </c>
      <c r="W347" s="21" cm="1">
        <f t="array" ref="W347">N347*VLOOKUP($I347, Factor!$B$4:$G$8, 4, 0)*VLOOKUP($J347, Factor!$B$12:$G$13, 4, 0)*VLOOKUP($K347, Factor!$B$17:$G$18, 4, 0)*VLOOKUP($H347, Factor!$J$4:$O$7, 4, 0)*VLOOKUP($F347, Factor!$Q$4:$V$15, 4, 0)*IF(MOD($G347,10)=0, 10, MOD($G347, 10))*((INDEX(Factor!$X$4:$AC$13, _xlfn.XMATCH($G347, Factor!$X$4:$X$13, 1),4)*IF(MOD(G347, 10) = 0, 10, MOD(G347, 10)))+INDEX(Factor!$AE$4:$AJ$13, _xlfn.XMATCH(MonsterData!$G347, Factor!$AE$4:$AE$13, 1),4))</f>
        <v>453.6</v>
      </c>
      <c r="X347" s="21" cm="1">
        <f t="array" ref="X347">O347*VLOOKUP($I347, Factor!$B$4:$G$8, 5, 0)*VLOOKUP($J347, Factor!$B$12:$G$13, 5, 0)*VLOOKUP($K347, Factor!$B$17:$G$18, 5, 0)*VLOOKUP($H347, Factor!$J$4:$O$7, 5, 0)*VLOOKUP($F347, Factor!$Q$4:$V$15, 5, 0)*IF(MOD($G347,10)=0, 10, MOD($G347, 10))*((INDEX(Factor!$X$4:$AC$13, _xlfn.XMATCH($G347, Factor!$X$4:$X$13, 1),5)*IF(MOD(G347, 10) = 0, 10, MOD(G347, 10)))+INDEX(Factor!$AE$4:$AJ$13, _xlfn.XMATCH(MonsterData!$G347, Factor!$AE$4:$AE$13, 1),5))</f>
        <v>100.80000000000001</v>
      </c>
      <c r="Y347" s="21" cm="1">
        <f t="array" ref="Y347">P347*VLOOKUP($I347, Factor!$B$4:$G$8, 6, 0)*VLOOKUP($J347, Factor!$B$12:$G$13, 6, 0)*VLOOKUP($K347, Factor!$B$17:$G$18, 6, 0)*VLOOKUP($H347, Factor!$J$4:$O$7, 2, 0)*VLOOKUP($F347, Factor!$Q$4:$V$15, 6, 0)*IF(MOD($G347,10)=0, 10, MOD($G347, 10))*((INDEX(Factor!$X$4:$AC$13, _xlfn.XMATCH($G347, Factor!$X$4:$X$13, 1),6)*IF(MOD(G347, 10) = 0, 10, MOD(G347, 10)))+INDEX(Factor!$AE$4:$AJ$13, _xlfn.XMATCH(MonsterData!$G347, Factor!$AE$4:$AE$13, 1),6))</f>
        <v>504</v>
      </c>
      <c r="Z347" s="21">
        <f>$Q347*VLOOKUP($J347, Factor!$B$12:$H$13, 7, 0)</f>
        <v>1</v>
      </c>
      <c r="AA347" s="13">
        <v>1</v>
      </c>
      <c r="AB347" s="21">
        <f t="shared" si="17"/>
        <v>0</v>
      </c>
      <c r="AC347" s="13" t="s">
        <v>139</v>
      </c>
      <c r="AD347" s="15" t="s">
        <v>142</v>
      </c>
    </row>
    <row r="348" spans="1:30" ht="15.75" customHeight="1">
      <c r="A348" s="16" t="str">
        <f>T348&amp;"_"&amp;F348&amp;VLOOKUP($C348, Factor!$AM$4:$AY$30, 7, 0)&amp;IF(COUNTIFS($C$4:C347, C348, $F$4:F347, F348)+1&gt;=100, COUNTIFS($C$4:C347, C348, $F$4:F347, F348)+1,IF(COUNTIFS($C$4:C347, C348, $F$4:F347, F348)+1&gt;=10, "0"&amp;COUNTIFS($C$4:C347, C348, $F$4:F347, F348)+1, "00"&amp;COUNTIFS($C$4:C347, C348, $F$4:F347, F348)+1))</f>
        <v>enpc_F06_A_Antlion_001</v>
      </c>
      <c r="B348" s="16"/>
      <c r="C348" s="16" t="s">
        <v>38</v>
      </c>
      <c r="D348" s="17" t="str">
        <f t="shared" si="16"/>
        <v>앤틸리온</v>
      </c>
      <c r="E348" s="17" t="str">
        <f>VLOOKUP($C348, Factor!$AM$4:$AY$30, 8, 0)</f>
        <v>M</v>
      </c>
      <c r="F348" s="17" t="s">
        <v>114</v>
      </c>
      <c r="G348" s="20">
        <v>53</v>
      </c>
      <c r="H348" s="16" t="s">
        <v>55</v>
      </c>
      <c r="I348" s="17" t="str">
        <f>VLOOKUP($C348, Factor!$AM$4:$AY$30, 11, 0)</f>
        <v>A</v>
      </c>
      <c r="J348" s="17" t="str">
        <f>VLOOKUP($C348, Factor!$AM$4:$AY$30, 12, 0)</f>
        <v>ra</v>
      </c>
      <c r="K348" s="17" t="str">
        <f>VLOOKUP($C348, Factor!$AM$4:$AY$30, 13, 0)</f>
        <v>L</v>
      </c>
      <c r="L348" s="17">
        <v>1</v>
      </c>
      <c r="M348" s="17">
        <v>1</v>
      </c>
      <c r="N348" s="17">
        <v>1</v>
      </c>
      <c r="O348" s="17">
        <v>1</v>
      </c>
      <c r="P348" s="17">
        <v>1</v>
      </c>
      <c r="Q348" s="17">
        <v>1</v>
      </c>
      <c r="R348" s="17" t="str">
        <f>VLOOKUP($C348, Factor!$AM$4:$AY$30, 9, 0)</f>
        <v>Midium</v>
      </c>
      <c r="S348" s="17" t="s">
        <v>397</v>
      </c>
      <c r="T348" s="17" t="str">
        <f>VLOOKUP($C348, Factor!$AM$4:$AY$30, 10, 0)</f>
        <v>enpc</v>
      </c>
      <c r="U348" s="17" cm="1">
        <f t="array" ref="U348">L348*VLOOKUP($I348, Factor!$B$4:$G$8, 2, 0)*VLOOKUP($J348, Factor!$B$12:$G$13, 2, 0)*VLOOKUP($K348, Factor!$B$17:$G$18, 2, 0)*VLOOKUP($H348, Factor!$J$4:$O$7, 2, 0)*VLOOKUP($F348, Factor!$Q$4:$V$15, 2, 0)*IF(MOD($G348,10)=0, 10, MOD($G348, 10))*((INDEX(Factor!$X$4:$AC$13, _xlfn.XMATCH($G348, Factor!$X$4:$X$13, 1),2)*IF(MOD(G348, 10) = 0, 10, MOD(G348, 10)))+INDEX(Factor!$AE$4:$AJ$13, _xlfn.XMATCH(MonsterData!$G348, Factor!$AE$4:$AE$13, 1),2))</f>
        <v>12096</v>
      </c>
      <c r="V348" s="17" cm="1">
        <f t="array" ref="V348">M348*VLOOKUP($I348, Factor!$B$4:$G$8, 3, 0)*VLOOKUP($J348, Factor!$B$12:$G$13, 3, 0)*VLOOKUP($K348, Factor!$B$17:$G$18, 3, 0)*VLOOKUP($H348, Factor!$J$4:$O$7, 3, 0)*VLOOKUP($F348, Factor!$Q$4:$V$15, 3, 0)*IF(MOD($G348,10)=0, 10, MOD($G348, 10))*((INDEX(Factor!$X$4:$AC$13, _xlfn.XMATCH($G348, Factor!$X$4:$X$13, 1),3)*IF(MOD(G348, 10) = 0, 10, MOD(G348, 10)))+INDEX(Factor!$AE$4:$AJ$13, _xlfn.XMATCH(MonsterData!$G348, Factor!$AE$4:$AE$13, 1),3))</f>
        <v>604.80000000000007</v>
      </c>
      <c r="W348" s="17" cm="1">
        <f t="array" ref="W348">N348*VLOOKUP($I348, Factor!$B$4:$G$8, 4, 0)*VLOOKUP($J348, Factor!$B$12:$G$13, 4, 0)*VLOOKUP($K348, Factor!$B$17:$G$18, 4, 0)*VLOOKUP($H348, Factor!$J$4:$O$7, 4, 0)*VLOOKUP($F348, Factor!$Q$4:$V$15, 4, 0)*IF(MOD($G348,10)=0, 10, MOD($G348, 10))*((INDEX(Factor!$X$4:$AC$13, _xlfn.XMATCH($G348, Factor!$X$4:$X$13, 1),4)*IF(MOD(G348, 10) = 0, 10, MOD(G348, 10)))+INDEX(Factor!$AE$4:$AJ$13, _xlfn.XMATCH(MonsterData!$G348, Factor!$AE$4:$AE$13, 1),4))</f>
        <v>544.32000000000005</v>
      </c>
      <c r="X348" s="17" cm="1">
        <f t="array" ref="X348">O348*VLOOKUP($I348, Factor!$B$4:$G$8, 5, 0)*VLOOKUP($J348, Factor!$B$12:$G$13, 5, 0)*VLOOKUP($K348, Factor!$B$17:$G$18, 5, 0)*VLOOKUP($H348, Factor!$J$4:$O$7, 5, 0)*VLOOKUP($F348, Factor!$Q$4:$V$15, 5, 0)*IF(MOD($G348,10)=0, 10, MOD($G348, 10))*((INDEX(Factor!$X$4:$AC$13, _xlfn.XMATCH($G348, Factor!$X$4:$X$13, 1),5)*IF(MOD(G348, 10) = 0, 10, MOD(G348, 10)))+INDEX(Factor!$AE$4:$AJ$13, _xlfn.XMATCH(MonsterData!$G348, Factor!$AE$4:$AE$13, 1),5))</f>
        <v>151.20000000000002</v>
      </c>
      <c r="Y348" s="17" cm="1">
        <f t="array" ref="Y348">P348*VLOOKUP($I348, Factor!$B$4:$G$8, 6, 0)*VLOOKUP($J348, Factor!$B$12:$G$13, 6, 0)*VLOOKUP($K348, Factor!$B$17:$G$18, 6, 0)*VLOOKUP($H348, Factor!$J$4:$O$7, 2, 0)*VLOOKUP($F348, Factor!$Q$4:$V$15, 6, 0)*IF(MOD($G348,10)=0, 10, MOD($G348, 10))*((INDEX(Factor!$X$4:$AC$13, _xlfn.XMATCH($G348, Factor!$X$4:$X$13, 1),6)*IF(MOD(G348, 10) = 0, 10, MOD(G348, 10)))+INDEX(Factor!$AE$4:$AJ$13, _xlfn.XMATCH(MonsterData!$G348, Factor!$AE$4:$AE$13, 1),6))</f>
        <v>504</v>
      </c>
      <c r="Z348" s="17">
        <f>$Q348*VLOOKUP($J348, Factor!$B$12:$H$13, 7, 0)</f>
        <v>4</v>
      </c>
      <c r="AA348" s="17">
        <v>1</v>
      </c>
      <c r="AB348" s="17">
        <f t="shared" si="17"/>
        <v>4</v>
      </c>
      <c r="AC348" s="17" t="s">
        <v>139</v>
      </c>
      <c r="AD348" s="19" t="s">
        <v>142</v>
      </c>
    </row>
    <row r="349" spans="1:30" ht="15.75" customHeight="1">
      <c r="A349" s="13" t="str">
        <f>T349&amp;"_"&amp;F349&amp;VLOOKUP($C349, Factor!$AM$4:$AY$30, 7, 0)&amp;IF(COUNTIFS($C$4:C348, C349, $F$4:F348, F349)+1&gt;=100, COUNTIFS($C$4:C348, C349, $F$4:F348, F349)+1,IF(COUNTIFS($C$4:C348, C349, $F$4:F348, F349)+1&gt;=10, "0"&amp;COUNTIFS($C$4:C348, C349, $F$4:F348, F349)+1, "00"&amp;COUNTIFS($C$4:C348, C349, $F$4:F348, F349)+1))</f>
        <v>enpc_F06_A_Nymphe_001</v>
      </c>
      <c r="B349" s="13"/>
      <c r="C349" s="13" t="s">
        <v>39</v>
      </c>
      <c r="D349" s="21" t="str">
        <f t="shared" si="16"/>
        <v>님프</v>
      </c>
      <c r="E349" s="21" t="str">
        <f>VLOOKUP($C349, Factor!$AM$4:$AY$30, 8, 0)</f>
        <v>S</v>
      </c>
      <c r="F349" s="21" t="s">
        <v>114</v>
      </c>
      <c r="G349" s="22">
        <v>53</v>
      </c>
      <c r="H349" s="13" t="s">
        <v>55</v>
      </c>
      <c r="I349" s="21" t="str">
        <f>VLOOKUP($C349, Factor!$AM$4:$AY$30, 11, 0)</f>
        <v>A</v>
      </c>
      <c r="J349" s="21" t="str">
        <f>VLOOKUP($C349, Factor!$AM$4:$AY$30, 12, 0)</f>
        <v>ml</v>
      </c>
      <c r="K349" s="21" t="str">
        <f>VLOOKUP($C349, Factor!$AM$4:$AY$30, 13, 0)</f>
        <v>F</v>
      </c>
      <c r="L349" s="13">
        <v>1</v>
      </c>
      <c r="M349" s="13">
        <v>1</v>
      </c>
      <c r="N349" s="13">
        <v>1</v>
      </c>
      <c r="O349" s="13">
        <v>1</v>
      </c>
      <c r="P349" s="13">
        <v>1</v>
      </c>
      <c r="Q349" s="13">
        <v>1</v>
      </c>
      <c r="R349" s="21" t="str">
        <f>VLOOKUP($C349, Factor!$AM$4:$AY$30, 9, 0)</f>
        <v>Small</v>
      </c>
      <c r="S349" s="13" t="s">
        <v>409</v>
      </c>
      <c r="T349" s="21" t="str">
        <f>VLOOKUP($C349, Factor!$AM$4:$AY$30, 10, 0)</f>
        <v>enpc</v>
      </c>
      <c r="U349" s="21" cm="1">
        <f t="array" ref="U349">L349*VLOOKUP($I349, Factor!$B$4:$G$8, 2, 0)*VLOOKUP($J349, Factor!$B$12:$G$13, 2, 0)*VLOOKUP($K349, Factor!$B$17:$G$18, 2, 0)*VLOOKUP($H349, Factor!$J$4:$O$7, 2, 0)*VLOOKUP($F349, Factor!$Q$4:$V$15, 2, 0)*IF(MOD($G349,10)=0, 10, MOD($G349, 10))*((INDEX(Factor!$X$4:$AC$13, _xlfn.XMATCH($G349, Factor!$X$4:$X$13, 1),2)*IF(MOD(G349, 10) = 0, 10, MOD(G349, 10)))+INDEX(Factor!$AE$4:$AJ$13, _xlfn.XMATCH(MonsterData!$G349, Factor!$AE$4:$AE$13, 1),2))</f>
        <v>10080</v>
      </c>
      <c r="V349" s="21" cm="1">
        <f t="array" ref="V349">M349*VLOOKUP($I349, Factor!$B$4:$G$8, 3, 0)*VLOOKUP($J349, Factor!$B$12:$G$13, 3, 0)*VLOOKUP($K349, Factor!$B$17:$G$18, 3, 0)*VLOOKUP($H349, Factor!$J$4:$O$7, 3, 0)*VLOOKUP($F349, Factor!$Q$4:$V$15, 3, 0)*IF(MOD($G349,10)=0, 10, MOD($G349, 10))*((INDEX(Factor!$X$4:$AC$13, _xlfn.XMATCH($G349, Factor!$X$4:$X$13, 1),3)*IF(MOD(G349, 10) = 0, 10, MOD(G349, 10)))+INDEX(Factor!$AE$4:$AJ$13, _xlfn.XMATCH(MonsterData!$G349, Factor!$AE$4:$AE$13, 1),3))</f>
        <v>504</v>
      </c>
      <c r="W349" s="21" cm="1">
        <f t="array" ref="W349">N349*VLOOKUP($I349, Factor!$B$4:$G$8, 4, 0)*VLOOKUP($J349, Factor!$B$12:$G$13, 4, 0)*VLOOKUP($K349, Factor!$B$17:$G$18, 4, 0)*VLOOKUP($H349, Factor!$J$4:$O$7, 4, 0)*VLOOKUP($F349, Factor!$Q$4:$V$15, 4, 0)*IF(MOD($G349,10)=0, 10, MOD($G349, 10))*((INDEX(Factor!$X$4:$AC$13, _xlfn.XMATCH($G349, Factor!$X$4:$X$13, 1),4)*IF(MOD(G349, 10) = 0, 10, MOD(G349, 10)))+INDEX(Factor!$AE$4:$AJ$13, _xlfn.XMATCH(MonsterData!$G349, Factor!$AE$4:$AE$13, 1),4))</f>
        <v>302.40000000000003</v>
      </c>
      <c r="X349" s="21" cm="1">
        <f t="array" ref="X349">O349*VLOOKUP($I349, Factor!$B$4:$G$8, 5, 0)*VLOOKUP($J349, Factor!$B$12:$G$13, 5, 0)*VLOOKUP($K349, Factor!$B$17:$G$18, 5, 0)*VLOOKUP($H349, Factor!$J$4:$O$7, 5, 0)*VLOOKUP($F349, Factor!$Q$4:$V$15, 5, 0)*IF(MOD($G349,10)=0, 10, MOD($G349, 10))*((INDEX(Factor!$X$4:$AC$13, _xlfn.XMATCH($G349, Factor!$X$4:$X$13, 1),5)*IF(MOD(G349, 10) = 0, 10, MOD(G349, 10)))+INDEX(Factor!$AE$4:$AJ$13, _xlfn.XMATCH(MonsterData!$G349, Factor!$AE$4:$AE$13, 1),5))</f>
        <v>100.80000000000001</v>
      </c>
      <c r="Y349" s="21" cm="1">
        <f t="array" ref="Y349">P349*VLOOKUP($I349, Factor!$B$4:$G$8, 6, 0)*VLOOKUP($J349, Factor!$B$12:$G$13, 6, 0)*VLOOKUP($K349, Factor!$B$17:$G$18, 6, 0)*VLOOKUP($H349, Factor!$J$4:$O$7, 2, 0)*VLOOKUP($F349, Factor!$Q$4:$V$15, 6, 0)*IF(MOD($G349,10)=0, 10, MOD($G349, 10))*((INDEX(Factor!$X$4:$AC$13, _xlfn.XMATCH($G349, Factor!$X$4:$X$13, 1),6)*IF(MOD(G349, 10) = 0, 10, MOD(G349, 10)))+INDEX(Factor!$AE$4:$AJ$13, _xlfn.XMATCH(MonsterData!$G349, Factor!$AE$4:$AE$13, 1),6))</f>
        <v>1512</v>
      </c>
      <c r="Z349" s="21">
        <f>$Q349*VLOOKUP($J349, Factor!$B$12:$H$13, 7, 0)</f>
        <v>1</v>
      </c>
      <c r="AA349" s="13">
        <v>1</v>
      </c>
      <c r="AB349" s="21">
        <f t="shared" si="17"/>
        <v>0</v>
      </c>
      <c r="AC349" s="13" t="s">
        <v>139</v>
      </c>
      <c r="AD349" s="15" t="s">
        <v>142</v>
      </c>
    </row>
    <row r="350" spans="1:30" ht="15.75" customHeight="1">
      <c r="A350" s="16" t="str">
        <f>T350&amp;"_"&amp;F350&amp;VLOOKUP($C350, Factor!$AM$4:$AY$30, 7, 0)&amp;IF(COUNTIFS($C$4:C349, C350, $F$4:F349, F350)+1&gt;=100, COUNTIFS($C$4:C349, C350, $F$4:F349, F350)+1,IF(COUNTIFS($C$4:C349, C350, $F$4:F349, F350)+1&gt;=10, "0"&amp;COUNTIFS($C$4:C349, C350, $F$4:F349, F350)+1, "00"&amp;COUNTIFS($C$4:C349, C350, $F$4:F349, F350)+1))</f>
        <v>enpc_F06_B_Golem_001</v>
      </c>
      <c r="B350" s="16"/>
      <c r="C350" s="16" t="s">
        <v>40</v>
      </c>
      <c r="D350" s="17" t="str">
        <f t="shared" si="16"/>
        <v>골렘</v>
      </c>
      <c r="E350" s="17" t="str">
        <f>VLOOKUP($C350, Factor!$AM$4:$AY$30, 8, 0)</f>
        <v>B</v>
      </c>
      <c r="F350" s="17" t="s">
        <v>114</v>
      </c>
      <c r="G350" s="20">
        <v>83</v>
      </c>
      <c r="H350" s="16" t="s">
        <v>57</v>
      </c>
      <c r="I350" s="17" t="str">
        <f>VLOOKUP($C350, Factor!$AM$4:$AY$30, 11, 0)</f>
        <v>B</v>
      </c>
      <c r="J350" s="17" t="str">
        <f>VLOOKUP($C350, Factor!$AM$4:$AY$30, 12, 0)</f>
        <v>ml</v>
      </c>
      <c r="K350" s="17" t="str">
        <f>VLOOKUP($C350, Factor!$AM$4:$AY$30, 13, 0)</f>
        <v>L</v>
      </c>
      <c r="L350" s="17">
        <v>1</v>
      </c>
      <c r="M350" s="17">
        <v>1</v>
      </c>
      <c r="N350" s="17">
        <v>1</v>
      </c>
      <c r="O350" s="17">
        <v>1</v>
      </c>
      <c r="P350" s="17">
        <v>1</v>
      </c>
      <c r="Q350" s="17">
        <v>1</v>
      </c>
      <c r="R350" s="17" t="str">
        <f>VLOOKUP($C350, Factor!$AM$4:$AY$30, 9, 0)</f>
        <v>Big</v>
      </c>
      <c r="S350" s="17" t="s">
        <v>398</v>
      </c>
      <c r="T350" s="17" t="str">
        <f>VLOOKUP($C350, Factor!$AM$4:$AY$30, 10, 0)</f>
        <v>enpc</v>
      </c>
      <c r="U350" s="17" cm="1">
        <f t="array" ref="U350">L350*VLOOKUP($I350, Factor!$B$4:$G$8, 2, 0)*VLOOKUP($J350, Factor!$B$12:$G$13, 2, 0)*VLOOKUP($K350, Factor!$B$17:$G$18, 2, 0)*VLOOKUP($H350, Factor!$J$4:$O$7, 2, 0)*VLOOKUP($F350, Factor!$Q$4:$V$15, 2, 0)*IF(MOD($G350,10)=0, 10, MOD($G350, 10))*((INDEX(Factor!$X$4:$AC$13, _xlfn.XMATCH($G350, Factor!$X$4:$X$13, 1),2)*IF(MOD(G350, 10) = 0, 10, MOD(G350, 10)))+INDEX(Factor!$AE$4:$AJ$13, _xlfn.XMATCH(MonsterData!$G350, Factor!$AE$4:$AE$13, 1),2))</f>
        <v>348300</v>
      </c>
      <c r="V350" s="17" cm="1">
        <f t="array" ref="V350">M350*VLOOKUP($I350, Factor!$B$4:$G$8, 3, 0)*VLOOKUP($J350, Factor!$B$12:$G$13, 3, 0)*VLOOKUP($K350, Factor!$B$17:$G$18, 3, 0)*VLOOKUP($H350, Factor!$J$4:$O$7, 3, 0)*VLOOKUP($F350, Factor!$Q$4:$V$15, 3, 0)*IF(MOD($G350,10)=0, 10, MOD($G350, 10))*((INDEX(Factor!$X$4:$AC$13, _xlfn.XMATCH($G350, Factor!$X$4:$X$13, 1),3)*IF(MOD(G350, 10) = 0, 10, MOD(G350, 10)))+INDEX(Factor!$AE$4:$AJ$13, _xlfn.XMATCH(MonsterData!$G350, Factor!$AE$4:$AE$13, 1),3))</f>
        <v>17415</v>
      </c>
      <c r="W350" s="17" cm="1">
        <f t="array" ref="W350">N350*VLOOKUP($I350, Factor!$B$4:$G$8, 4, 0)*VLOOKUP($J350, Factor!$B$12:$G$13, 4, 0)*VLOOKUP($K350, Factor!$B$17:$G$18, 4, 0)*VLOOKUP($H350, Factor!$J$4:$O$7, 4, 0)*VLOOKUP($F350, Factor!$Q$4:$V$15, 4, 0)*IF(MOD($G350,10)=0, 10, MOD($G350, 10))*((INDEX(Factor!$X$4:$AC$13, _xlfn.XMATCH($G350, Factor!$X$4:$X$13, 1),4)*IF(MOD(G350, 10) = 0, 10, MOD(G350, 10)))+INDEX(Factor!$AE$4:$AJ$13, _xlfn.XMATCH(MonsterData!$G350, Factor!$AE$4:$AE$13, 1),4))</f>
        <v>870.75000000000011</v>
      </c>
      <c r="X350" s="17" cm="1">
        <f t="array" ref="X350">O350*VLOOKUP($I350, Factor!$B$4:$G$8, 5, 0)*VLOOKUP($J350, Factor!$B$12:$G$13, 5, 0)*VLOOKUP($K350, Factor!$B$17:$G$18, 5, 0)*VLOOKUP($H350, Factor!$J$4:$O$7, 5, 0)*VLOOKUP($F350, Factor!$Q$4:$V$15, 5, 0)*IF(MOD($G350,10)=0, 10, MOD($G350, 10))*((INDEX(Factor!$X$4:$AC$13, _xlfn.XMATCH($G350, Factor!$X$4:$X$13, 1),5)*IF(MOD(G350, 10) = 0, 10, MOD(G350, 10)))+INDEX(Factor!$AE$4:$AJ$13, _xlfn.XMATCH(MonsterData!$G350, Factor!$AE$4:$AE$13, 1),5))</f>
        <v>928.80000000000007</v>
      </c>
      <c r="Y350" s="17" cm="1">
        <f t="array" ref="Y350">P350*VLOOKUP($I350, Factor!$B$4:$G$8, 6, 0)*VLOOKUP($J350, Factor!$B$12:$G$13, 6, 0)*VLOOKUP($K350, Factor!$B$17:$G$18, 6, 0)*VLOOKUP($H350, Factor!$J$4:$O$7, 2, 0)*VLOOKUP($F350, Factor!$Q$4:$V$15, 6, 0)*IF(MOD($G350,10)=0, 10, MOD($G350, 10))*((INDEX(Factor!$X$4:$AC$13, _xlfn.XMATCH($G350, Factor!$X$4:$X$13, 1),6)*IF(MOD(G350, 10) = 0, 10, MOD(G350, 10)))+INDEX(Factor!$AE$4:$AJ$13, _xlfn.XMATCH(MonsterData!$G350, Factor!$AE$4:$AE$13, 1),6))</f>
        <v>1857.6000000000001</v>
      </c>
      <c r="Z350" s="17">
        <f>$Q350*VLOOKUP($J350, Factor!$B$12:$H$13, 7, 0)</f>
        <v>1</v>
      </c>
      <c r="AA350" s="17">
        <v>1</v>
      </c>
      <c r="AB350" s="17">
        <f t="shared" si="17"/>
        <v>0</v>
      </c>
      <c r="AC350" s="17" t="s">
        <v>140</v>
      </c>
      <c r="AD350" s="19" t="s">
        <v>143</v>
      </c>
    </row>
    <row r="351" spans="1:30" ht="15.75" customHeight="1">
      <c r="A351" s="13" t="str">
        <f>T351&amp;"_"&amp;F351&amp;VLOOKUP($C351, Factor!$AM$4:$AY$30, 7, 0)&amp;IF(COUNTIFS($C$4:C350, C351, $F$4:F350, F351)+1&gt;=100, COUNTIFS($C$4:C350, C351, $F$4:F350, F351)+1,IF(COUNTIFS($C$4:C350, C351, $F$4:F350, F351)+1&gt;=10, "0"&amp;COUNTIFS($C$4:C350, C351, $F$4:F350, F351)+1, "00"&amp;COUNTIFS($C$4:C350, C351, $F$4:F350, F351)+1))</f>
        <v>enpc_F06_B_Banshee_001</v>
      </c>
      <c r="B351" s="13"/>
      <c r="C351" s="13" t="s">
        <v>42</v>
      </c>
      <c r="D351" s="21" t="str">
        <f t="shared" si="16"/>
        <v>밴시</v>
      </c>
      <c r="E351" s="21" t="str">
        <f>VLOOKUP($C351, Factor!$AM$4:$AY$30, 8, 0)</f>
        <v>S</v>
      </c>
      <c r="F351" s="21" t="s">
        <v>114</v>
      </c>
      <c r="G351" s="22">
        <v>83</v>
      </c>
      <c r="H351" s="13" t="s">
        <v>56</v>
      </c>
      <c r="I351" s="21" t="str">
        <f>VLOOKUP($C351, Factor!$AM$4:$AY$30, 11, 0)</f>
        <v>B</v>
      </c>
      <c r="J351" s="21" t="str">
        <f>VLOOKUP($C351, Factor!$AM$4:$AY$30, 12, 0)</f>
        <v>ra</v>
      </c>
      <c r="K351" s="21" t="str">
        <f>VLOOKUP($C351, Factor!$AM$4:$AY$30, 13, 0)</f>
        <v>L</v>
      </c>
      <c r="L351" s="13">
        <v>1</v>
      </c>
      <c r="M351" s="13">
        <v>1</v>
      </c>
      <c r="N351" s="13">
        <v>1</v>
      </c>
      <c r="O351" s="13">
        <v>1</v>
      </c>
      <c r="P351" s="13">
        <v>1</v>
      </c>
      <c r="Q351" s="13">
        <v>1</v>
      </c>
      <c r="R351" s="21" t="str">
        <f>VLOOKUP($C351, Factor!$AM$4:$AY$30, 9, 0)</f>
        <v>Midium</v>
      </c>
      <c r="S351" s="13" t="s">
        <v>410</v>
      </c>
      <c r="T351" s="21" t="str">
        <f>VLOOKUP($C351, Factor!$AM$4:$AY$30, 10, 0)</f>
        <v>enpc</v>
      </c>
      <c r="U351" s="21" cm="1">
        <f t="array" ref="U351">L351*VLOOKUP($I351, Factor!$B$4:$G$8, 2, 0)*VLOOKUP($J351, Factor!$B$12:$G$13, 2, 0)*VLOOKUP($K351, Factor!$B$17:$G$18, 2, 0)*VLOOKUP($H351, Factor!$J$4:$O$7, 2, 0)*VLOOKUP($F351, Factor!$Q$4:$V$15, 2, 0)*IF(MOD($G351,10)=0, 10, MOD($G351, 10))*((INDEX(Factor!$X$4:$AC$13, _xlfn.XMATCH($G351, Factor!$X$4:$X$13, 1),2)*IF(MOD(G351, 10) = 0, 10, MOD(G351, 10)))+INDEX(Factor!$AE$4:$AJ$13, _xlfn.XMATCH(MonsterData!$G351, Factor!$AE$4:$AE$13, 1),2))</f>
        <v>139320</v>
      </c>
      <c r="V351" s="21" cm="1">
        <f t="array" ref="V351">M351*VLOOKUP($I351, Factor!$B$4:$G$8, 3, 0)*VLOOKUP($J351, Factor!$B$12:$G$13, 3, 0)*VLOOKUP($K351, Factor!$B$17:$G$18, 3, 0)*VLOOKUP($H351, Factor!$J$4:$O$7, 3, 0)*VLOOKUP($F351, Factor!$Q$4:$V$15, 3, 0)*IF(MOD($G351,10)=0, 10, MOD($G351, 10))*((INDEX(Factor!$X$4:$AC$13, _xlfn.XMATCH($G351, Factor!$X$4:$X$13, 1),3)*IF(MOD(G351, 10) = 0, 10, MOD(G351, 10)))+INDEX(Factor!$AE$4:$AJ$13, _xlfn.XMATCH(MonsterData!$G351, Factor!$AE$4:$AE$13, 1),3))</f>
        <v>6966.0000000000009</v>
      </c>
      <c r="W351" s="21" cm="1">
        <f t="array" ref="W351">N351*VLOOKUP($I351, Factor!$B$4:$G$8, 4, 0)*VLOOKUP($J351, Factor!$B$12:$G$13, 4, 0)*VLOOKUP($K351, Factor!$B$17:$G$18, 4, 0)*VLOOKUP($H351, Factor!$J$4:$O$7, 4, 0)*VLOOKUP($F351, Factor!$Q$4:$V$15, 4, 0)*IF(MOD($G351,10)=0, 10, MOD($G351, 10))*((INDEX(Factor!$X$4:$AC$13, _xlfn.XMATCH($G351, Factor!$X$4:$X$13, 1),4)*IF(MOD(G351, 10) = 0, 10, MOD(G351, 10)))+INDEX(Factor!$AE$4:$AJ$13, _xlfn.XMATCH(MonsterData!$G351, Factor!$AE$4:$AE$13, 1),4))</f>
        <v>20898</v>
      </c>
      <c r="X351" s="21" cm="1">
        <f t="array" ref="X351">O351*VLOOKUP($I351, Factor!$B$4:$G$8, 5, 0)*VLOOKUP($J351, Factor!$B$12:$G$13, 5, 0)*VLOOKUP($K351, Factor!$B$17:$G$18, 5, 0)*VLOOKUP($H351, Factor!$J$4:$O$7, 5, 0)*VLOOKUP($F351, Factor!$Q$4:$V$15, 5, 0)*IF(MOD($G351,10)=0, 10, MOD($G351, 10))*((INDEX(Factor!$X$4:$AC$13, _xlfn.XMATCH($G351, Factor!$X$4:$X$13, 1),5)*IF(MOD(G351, 10) = 0, 10, MOD(G351, 10)))+INDEX(Factor!$AE$4:$AJ$13, _xlfn.XMATCH(MonsterData!$G351, Factor!$AE$4:$AE$13, 1),5))</f>
        <v>626.94000000000017</v>
      </c>
      <c r="Y351" s="21" cm="1">
        <f t="array" ref="Y351">P351*VLOOKUP($I351, Factor!$B$4:$G$8, 6, 0)*VLOOKUP($J351, Factor!$B$12:$G$13, 6, 0)*VLOOKUP($K351, Factor!$B$17:$G$18, 6, 0)*VLOOKUP($H351, Factor!$J$4:$O$7, 2, 0)*VLOOKUP($F351, Factor!$Q$4:$V$15, 6, 0)*IF(MOD($G351,10)=0, 10, MOD($G351, 10))*((INDEX(Factor!$X$4:$AC$13, _xlfn.XMATCH($G351, Factor!$X$4:$X$13, 1),6)*IF(MOD(G351, 10) = 0, 10, MOD(G351, 10)))+INDEX(Factor!$AE$4:$AJ$13, _xlfn.XMATCH(MonsterData!$G351, Factor!$AE$4:$AE$13, 1),6))</f>
        <v>928.80000000000007</v>
      </c>
      <c r="Z351" s="21">
        <f>$Q351*VLOOKUP($J351, Factor!$B$12:$H$13, 7, 0)</f>
        <v>4</v>
      </c>
      <c r="AA351" s="13">
        <v>1</v>
      </c>
      <c r="AB351" s="21">
        <f t="shared" si="17"/>
        <v>4</v>
      </c>
      <c r="AC351" s="13" t="s">
        <v>141</v>
      </c>
      <c r="AD351" s="15" t="s">
        <v>144</v>
      </c>
    </row>
    <row r="352" spans="1:30" ht="15.75" customHeight="1">
      <c r="A352" s="16" t="str">
        <f>T352&amp;"_"&amp;F352&amp;VLOOKUP($C352, Factor!$AM$4:$AY$30, 7, 0)&amp;IF(COUNTIFS($C$4:C351, C352, $F$4:F351, F352)+1&gt;=100, COUNTIFS($C$4:C351, C352, $F$4:F351, F352)+1,IF(COUNTIFS($C$4:C351, C352, $F$4:F351, F352)+1&gt;=10, "0"&amp;COUNTIFS($C$4:C351, C352, $F$4:F351, F352)+1, "00"&amp;COUNTIFS($C$4:C351, C352, $F$4:F351, F352)+1))</f>
        <v>enpc_F06_A_Scarab_001</v>
      </c>
      <c r="B352" s="16"/>
      <c r="C352" s="16" t="s">
        <v>353</v>
      </c>
      <c r="D352" s="17" t="str">
        <f t="shared" si="16"/>
        <v>스캐럽</v>
      </c>
      <c r="E352" s="17" t="str">
        <f>VLOOKUP($C352, Factor!$AM$4:$AY$30, 8, 0)</f>
        <v>S</v>
      </c>
      <c r="F352" s="17" t="s">
        <v>114</v>
      </c>
      <c r="G352" s="20">
        <v>53</v>
      </c>
      <c r="H352" s="16" t="s">
        <v>55</v>
      </c>
      <c r="I352" s="17" t="str">
        <f>VLOOKUP($C352, Factor!$AM$4:$AY$30, 11, 0)</f>
        <v>A</v>
      </c>
      <c r="J352" s="17" t="str">
        <f>VLOOKUP($C352, Factor!$AM$4:$AY$30, 12, 0)</f>
        <v>ml</v>
      </c>
      <c r="K352" s="17" t="str">
        <f>VLOOKUP($C352, Factor!$AM$4:$AY$30, 13, 0)</f>
        <v>L</v>
      </c>
      <c r="L352" s="17">
        <v>1</v>
      </c>
      <c r="M352" s="17">
        <v>1</v>
      </c>
      <c r="N352" s="17">
        <v>1</v>
      </c>
      <c r="O352" s="17">
        <v>1</v>
      </c>
      <c r="P352" s="17">
        <v>1</v>
      </c>
      <c r="Q352" s="17">
        <v>1</v>
      </c>
      <c r="R352" s="17" t="str">
        <f>VLOOKUP($C352, Factor!$AM$4:$AY$30, 9, 0)</f>
        <v>Midium</v>
      </c>
      <c r="S352" s="17" t="s">
        <v>399</v>
      </c>
      <c r="T352" s="17" t="str">
        <f>VLOOKUP($C352, Factor!$AM$4:$AY$30, 10, 0)</f>
        <v>enpc</v>
      </c>
      <c r="U352" s="17" cm="1">
        <f t="array" ref="U352">L352*VLOOKUP($I352, Factor!$B$4:$G$8, 2, 0)*VLOOKUP($J352, Factor!$B$12:$G$13, 2, 0)*VLOOKUP($K352, Factor!$B$17:$G$18, 2, 0)*VLOOKUP($H352, Factor!$J$4:$O$7, 2, 0)*VLOOKUP($F352, Factor!$Q$4:$V$15, 2, 0)*IF(MOD($G352,10)=0, 10, MOD($G352, 10))*((INDEX(Factor!$X$4:$AC$13, _xlfn.XMATCH($G352, Factor!$X$4:$X$13, 1),2)*IF(MOD(G352, 10) = 0, 10, MOD(G352, 10)))+INDEX(Factor!$AE$4:$AJ$13, _xlfn.XMATCH(MonsterData!$G352, Factor!$AE$4:$AE$13, 1),2))</f>
        <v>15120</v>
      </c>
      <c r="V352" s="17" cm="1">
        <f t="array" ref="V352">M352*VLOOKUP($I352, Factor!$B$4:$G$8, 3, 0)*VLOOKUP($J352, Factor!$B$12:$G$13, 3, 0)*VLOOKUP($K352, Factor!$B$17:$G$18, 3, 0)*VLOOKUP($H352, Factor!$J$4:$O$7, 3, 0)*VLOOKUP($F352, Factor!$Q$4:$V$15, 3, 0)*IF(MOD($G352,10)=0, 10, MOD($G352, 10))*((INDEX(Factor!$X$4:$AC$13, _xlfn.XMATCH($G352, Factor!$X$4:$X$13, 1),3)*IF(MOD(G352, 10) = 0, 10, MOD(G352, 10)))+INDEX(Factor!$AE$4:$AJ$13, _xlfn.XMATCH(MonsterData!$G352, Factor!$AE$4:$AE$13, 1),3))</f>
        <v>756</v>
      </c>
      <c r="W352" s="17" cm="1">
        <f t="array" ref="W352">N352*VLOOKUP($I352, Factor!$B$4:$G$8, 4, 0)*VLOOKUP($J352, Factor!$B$12:$G$13, 4, 0)*VLOOKUP($K352, Factor!$B$17:$G$18, 4, 0)*VLOOKUP($H352, Factor!$J$4:$O$7, 4, 0)*VLOOKUP($F352, Factor!$Q$4:$V$15, 4, 0)*IF(MOD($G352,10)=0, 10, MOD($G352, 10))*((INDEX(Factor!$X$4:$AC$13, _xlfn.XMATCH($G352, Factor!$X$4:$X$13, 1),4)*IF(MOD(G352, 10) = 0, 10, MOD(G352, 10)))+INDEX(Factor!$AE$4:$AJ$13, _xlfn.XMATCH(MonsterData!$G352, Factor!$AE$4:$AE$13, 1),4))</f>
        <v>453.6</v>
      </c>
      <c r="X352" s="17" cm="1">
        <f t="array" ref="X352">O352*VLOOKUP($I352, Factor!$B$4:$G$8, 5, 0)*VLOOKUP($J352, Factor!$B$12:$G$13, 5, 0)*VLOOKUP($K352, Factor!$B$17:$G$18, 5, 0)*VLOOKUP($H352, Factor!$J$4:$O$7, 5, 0)*VLOOKUP($F352, Factor!$Q$4:$V$15, 5, 0)*IF(MOD($G352,10)=0, 10, MOD($G352, 10))*((INDEX(Factor!$X$4:$AC$13, _xlfn.XMATCH($G352, Factor!$X$4:$X$13, 1),5)*IF(MOD(G352, 10) = 0, 10, MOD(G352, 10)))+INDEX(Factor!$AE$4:$AJ$13, _xlfn.XMATCH(MonsterData!$G352, Factor!$AE$4:$AE$13, 1),5))</f>
        <v>100.80000000000001</v>
      </c>
      <c r="Y352" s="17" cm="1">
        <f t="array" ref="Y352">P352*VLOOKUP($I352, Factor!$B$4:$G$8, 6, 0)*VLOOKUP($J352, Factor!$B$12:$G$13, 6, 0)*VLOOKUP($K352, Factor!$B$17:$G$18, 6, 0)*VLOOKUP($H352, Factor!$J$4:$O$7, 2, 0)*VLOOKUP($F352, Factor!$Q$4:$V$15, 6, 0)*IF(MOD($G352,10)=0, 10, MOD($G352, 10))*((INDEX(Factor!$X$4:$AC$13, _xlfn.XMATCH($G352, Factor!$X$4:$X$13, 1),6)*IF(MOD(G352, 10) = 0, 10, MOD(G352, 10)))+INDEX(Factor!$AE$4:$AJ$13, _xlfn.XMATCH(MonsterData!$G352, Factor!$AE$4:$AE$13, 1),6))</f>
        <v>504</v>
      </c>
      <c r="Z352" s="17">
        <f>$Q352*VLOOKUP($J352, Factor!$B$12:$H$13, 7, 0)</f>
        <v>1</v>
      </c>
      <c r="AA352" s="17">
        <v>1</v>
      </c>
      <c r="AB352" s="17">
        <f t="shared" si="17"/>
        <v>0</v>
      </c>
      <c r="AC352" s="17" t="s">
        <v>139</v>
      </c>
      <c r="AD352" s="19" t="s">
        <v>387</v>
      </c>
    </row>
    <row r="353" spans="1:30" ht="15.75" customHeight="1">
      <c r="A353" s="13" t="str">
        <f>T353&amp;"_"&amp;F353&amp;VLOOKUP($C353, Factor!$AM$4:$AY$30, 7, 0)&amp;IF(COUNTIFS($C$4:C352, C353, $F$4:F352, F353)+1&gt;=100, COUNTIFS($C$4:C352, C353, $F$4:F352, F353)+1,IF(COUNTIFS($C$4:C352, C353, $F$4:F352, F353)+1&gt;=10, "0"&amp;COUNTIFS($C$4:C352, C353, $F$4:F352, F353)+1, "00"&amp;COUNTIFS($C$4:C352, C353, $F$4:F352, F353)+1))</f>
        <v>enpc_F06_A_Swarmlet_001</v>
      </c>
      <c r="B353" s="13"/>
      <c r="C353" s="13" t="s">
        <v>355</v>
      </c>
      <c r="D353" s="21" t="str">
        <f t="shared" si="16"/>
        <v>스웜렛</v>
      </c>
      <c r="E353" s="21" t="str">
        <f>VLOOKUP($C353, Factor!$AM$4:$AY$30, 8, 0)</f>
        <v>B</v>
      </c>
      <c r="F353" s="21" t="s">
        <v>114</v>
      </c>
      <c r="G353" s="22">
        <v>53</v>
      </c>
      <c r="H353" s="13" t="s">
        <v>56</v>
      </c>
      <c r="I353" s="21" t="str">
        <f>VLOOKUP($C353, Factor!$AM$4:$AY$30, 11, 0)</f>
        <v>A</v>
      </c>
      <c r="J353" s="21" t="str">
        <f>VLOOKUP($C353, Factor!$AM$4:$AY$30, 12, 0)</f>
        <v>ml</v>
      </c>
      <c r="K353" s="21" t="str">
        <f>VLOOKUP($C353, Factor!$AM$4:$AY$30, 13, 0)</f>
        <v>L</v>
      </c>
      <c r="L353" s="13">
        <v>1</v>
      </c>
      <c r="M353" s="13">
        <v>1</v>
      </c>
      <c r="N353" s="13">
        <v>1</v>
      </c>
      <c r="O353" s="13">
        <v>1</v>
      </c>
      <c r="P353" s="13">
        <v>1</v>
      </c>
      <c r="Q353" s="13">
        <v>1</v>
      </c>
      <c r="R353" s="21" t="str">
        <f>VLOOKUP($C353, Factor!$AM$4:$AY$30, 9, 0)</f>
        <v>Small</v>
      </c>
      <c r="S353" s="13" t="s">
        <v>405</v>
      </c>
      <c r="T353" s="21" t="str">
        <f>VLOOKUP($C353, Factor!$AM$4:$AY$30, 10, 0)</f>
        <v>enpc</v>
      </c>
      <c r="U353" s="21" cm="1">
        <f t="array" ref="U353">L353*VLOOKUP($I353, Factor!$B$4:$G$8, 2, 0)*VLOOKUP($J353, Factor!$B$12:$G$13, 2, 0)*VLOOKUP($K353, Factor!$B$17:$G$18, 2, 0)*VLOOKUP($H353, Factor!$J$4:$O$7, 2, 0)*VLOOKUP($F353, Factor!$Q$4:$V$15, 2, 0)*IF(MOD($G353,10)=0, 10, MOD($G353, 10))*((INDEX(Factor!$X$4:$AC$13, _xlfn.XMATCH($G353, Factor!$X$4:$X$13, 1),2)*IF(MOD(G353, 10) = 0, 10, MOD(G353, 10)))+INDEX(Factor!$AE$4:$AJ$13, _xlfn.XMATCH(MonsterData!$G353, Factor!$AE$4:$AE$13, 1),2))</f>
        <v>15120</v>
      </c>
      <c r="V353" s="21" cm="1">
        <f t="array" ref="V353">M353*VLOOKUP($I353, Factor!$B$4:$G$8, 3, 0)*VLOOKUP($J353, Factor!$B$12:$G$13, 3, 0)*VLOOKUP($K353, Factor!$B$17:$G$18, 3, 0)*VLOOKUP($H353, Factor!$J$4:$O$7, 3, 0)*VLOOKUP($F353, Factor!$Q$4:$V$15, 3, 0)*IF(MOD($G353,10)=0, 10, MOD($G353, 10))*((INDEX(Factor!$X$4:$AC$13, _xlfn.XMATCH($G353, Factor!$X$4:$X$13, 1),3)*IF(MOD(G353, 10) = 0, 10, MOD(G353, 10)))+INDEX(Factor!$AE$4:$AJ$13, _xlfn.XMATCH(MonsterData!$G353, Factor!$AE$4:$AE$13, 1),3))</f>
        <v>756</v>
      </c>
      <c r="W353" s="21" cm="1">
        <f t="array" ref="W353">N353*VLOOKUP($I353, Factor!$B$4:$G$8, 4, 0)*VLOOKUP($J353, Factor!$B$12:$G$13, 4, 0)*VLOOKUP($K353, Factor!$B$17:$G$18, 4, 0)*VLOOKUP($H353, Factor!$J$4:$O$7, 4, 0)*VLOOKUP($F353, Factor!$Q$4:$V$15, 4, 0)*IF(MOD($G353,10)=0, 10, MOD($G353, 10))*((INDEX(Factor!$X$4:$AC$13, _xlfn.XMATCH($G353, Factor!$X$4:$X$13, 1),4)*IF(MOD(G353, 10) = 0, 10, MOD(G353, 10)))+INDEX(Factor!$AE$4:$AJ$13, _xlfn.XMATCH(MonsterData!$G353, Factor!$AE$4:$AE$13, 1),4))</f>
        <v>907.2</v>
      </c>
      <c r="X353" s="21" cm="1">
        <f t="array" ref="X353">O353*VLOOKUP($I353, Factor!$B$4:$G$8, 5, 0)*VLOOKUP($J353, Factor!$B$12:$G$13, 5, 0)*VLOOKUP($K353, Factor!$B$17:$G$18, 5, 0)*VLOOKUP($H353, Factor!$J$4:$O$7, 5, 0)*VLOOKUP($F353, Factor!$Q$4:$V$15, 5, 0)*IF(MOD($G353,10)=0, 10, MOD($G353, 10))*((INDEX(Factor!$X$4:$AC$13, _xlfn.XMATCH($G353, Factor!$X$4:$X$13, 1),5)*IF(MOD(G353, 10) = 0, 10, MOD(G353, 10)))+INDEX(Factor!$AE$4:$AJ$13, _xlfn.XMATCH(MonsterData!$G353, Factor!$AE$4:$AE$13, 1),5))</f>
        <v>90.720000000000013</v>
      </c>
      <c r="Y353" s="21" cm="1">
        <f t="array" ref="Y353">P353*VLOOKUP($I353, Factor!$B$4:$G$8, 6, 0)*VLOOKUP($J353, Factor!$B$12:$G$13, 6, 0)*VLOOKUP($K353, Factor!$B$17:$G$18, 6, 0)*VLOOKUP($H353, Factor!$J$4:$O$7, 2, 0)*VLOOKUP($F353, Factor!$Q$4:$V$15, 6, 0)*IF(MOD($G353,10)=0, 10, MOD($G353, 10))*((INDEX(Factor!$X$4:$AC$13, _xlfn.XMATCH($G353, Factor!$X$4:$X$13, 1),6)*IF(MOD(G353, 10) = 0, 10, MOD(G353, 10)))+INDEX(Factor!$AE$4:$AJ$13, _xlfn.XMATCH(MonsterData!$G353, Factor!$AE$4:$AE$13, 1),6))</f>
        <v>504</v>
      </c>
      <c r="Z353" s="21">
        <f>$Q353*VLOOKUP($J353, Factor!$B$12:$H$13, 7, 0)</f>
        <v>1</v>
      </c>
      <c r="AA353" s="13">
        <v>1</v>
      </c>
      <c r="AB353" s="21">
        <f t="shared" si="17"/>
        <v>0</v>
      </c>
      <c r="AC353" s="13" t="s">
        <v>139</v>
      </c>
      <c r="AD353" s="15" t="s">
        <v>387</v>
      </c>
    </row>
    <row r="354" spans="1:30" ht="15.75" customHeight="1">
      <c r="A354" s="16" t="str">
        <f>T354&amp;"_"&amp;F354&amp;VLOOKUP($C354, Factor!$AM$4:$AY$30, 7, 0)&amp;IF(COUNTIFS($C$4:C353, C354, $F$4:F353, F354)+1&gt;=100, COUNTIFS($C$4:C353, C354, $F$4:F353, F354)+1,IF(COUNTIFS($C$4:C353, C354, $F$4:F353, F354)+1&gt;=10, "0"&amp;COUNTIFS($C$4:C353, C354, $F$4:F353, F354)+1, "00"&amp;COUNTIFS($C$4:C353, C354, $F$4:F353, F354)+1))</f>
        <v>enpc_F06_A_Mantis_001</v>
      </c>
      <c r="B354" s="16"/>
      <c r="C354" s="16" t="s">
        <v>357</v>
      </c>
      <c r="D354" s="17" t="str">
        <f t="shared" si="16"/>
        <v>맨티스</v>
      </c>
      <c r="E354" s="17" t="str">
        <f>VLOOKUP($C354, Factor!$AM$4:$AY$30, 8, 0)</f>
        <v>S</v>
      </c>
      <c r="F354" s="17" t="s">
        <v>114</v>
      </c>
      <c r="G354" s="20">
        <v>53</v>
      </c>
      <c r="H354" s="16" t="s">
        <v>55</v>
      </c>
      <c r="I354" s="17" t="str">
        <f>VLOOKUP($C354, Factor!$AM$4:$AY$30, 11, 0)</f>
        <v>A</v>
      </c>
      <c r="J354" s="17" t="str">
        <f>VLOOKUP($C354, Factor!$AM$4:$AY$30, 12, 0)</f>
        <v>ml</v>
      </c>
      <c r="K354" s="17" t="str">
        <f>VLOOKUP($C354, Factor!$AM$4:$AY$30, 13, 0)</f>
        <v>L</v>
      </c>
      <c r="L354" s="17">
        <v>1</v>
      </c>
      <c r="M354" s="17">
        <v>1</v>
      </c>
      <c r="N354" s="17">
        <v>1</v>
      </c>
      <c r="O354" s="17">
        <v>1</v>
      </c>
      <c r="P354" s="17">
        <v>1</v>
      </c>
      <c r="Q354" s="17">
        <v>1</v>
      </c>
      <c r="R354" s="17" t="str">
        <f>VLOOKUP($C354, Factor!$AM$4:$AY$30, 9, 0)</f>
        <v>Small</v>
      </c>
      <c r="S354" s="17" t="s">
        <v>400</v>
      </c>
      <c r="T354" s="17" t="str">
        <f>VLOOKUP($C354, Factor!$AM$4:$AY$30, 10, 0)</f>
        <v>enpc</v>
      </c>
      <c r="U354" s="17" cm="1">
        <f t="array" ref="U354">L354*VLOOKUP($I354, Factor!$B$4:$G$8, 2, 0)*VLOOKUP($J354, Factor!$B$12:$G$13, 2, 0)*VLOOKUP($K354, Factor!$B$17:$G$18, 2, 0)*VLOOKUP($H354, Factor!$J$4:$O$7, 2, 0)*VLOOKUP($F354, Factor!$Q$4:$V$15, 2, 0)*IF(MOD($G354,10)=0, 10, MOD($G354, 10))*((INDEX(Factor!$X$4:$AC$13, _xlfn.XMATCH($G354, Factor!$X$4:$X$13, 1),2)*IF(MOD(G354, 10) = 0, 10, MOD(G354, 10)))+INDEX(Factor!$AE$4:$AJ$13, _xlfn.XMATCH(MonsterData!$G354, Factor!$AE$4:$AE$13, 1),2))</f>
        <v>15120</v>
      </c>
      <c r="V354" s="17" cm="1">
        <f t="array" ref="V354">M354*VLOOKUP($I354, Factor!$B$4:$G$8, 3, 0)*VLOOKUP($J354, Factor!$B$12:$G$13, 3, 0)*VLOOKUP($K354, Factor!$B$17:$G$18, 3, 0)*VLOOKUP($H354, Factor!$J$4:$O$7, 3, 0)*VLOOKUP($F354, Factor!$Q$4:$V$15, 3, 0)*IF(MOD($G354,10)=0, 10, MOD($G354, 10))*((INDEX(Factor!$X$4:$AC$13, _xlfn.XMATCH($G354, Factor!$X$4:$X$13, 1),3)*IF(MOD(G354, 10) = 0, 10, MOD(G354, 10)))+INDEX(Factor!$AE$4:$AJ$13, _xlfn.XMATCH(MonsterData!$G354, Factor!$AE$4:$AE$13, 1),3))</f>
        <v>756</v>
      </c>
      <c r="W354" s="17" cm="1">
        <f t="array" ref="W354">N354*VLOOKUP($I354, Factor!$B$4:$G$8, 4, 0)*VLOOKUP($J354, Factor!$B$12:$G$13, 4, 0)*VLOOKUP($K354, Factor!$B$17:$G$18, 4, 0)*VLOOKUP($H354, Factor!$J$4:$O$7, 4, 0)*VLOOKUP($F354, Factor!$Q$4:$V$15, 4, 0)*IF(MOD($G354,10)=0, 10, MOD($G354, 10))*((INDEX(Factor!$X$4:$AC$13, _xlfn.XMATCH($G354, Factor!$X$4:$X$13, 1),4)*IF(MOD(G354, 10) = 0, 10, MOD(G354, 10)))+INDEX(Factor!$AE$4:$AJ$13, _xlfn.XMATCH(MonsterData!$G354, Factor!$AE$4:$AE$13, 1),4))</f>
        <v>453.6</v>
      </c>
      <c r="X354" s="17" cm="1">
        <f t="array" ref="X354">O354*VLOOKUP($I354, Factor!$B$4:$G$8, 5, 0)*VLOOKUP($J354, Factor!$B$12:$G$13, 5, 0)*VLOOKUP($K354, Factor!$B$17:$G$18, 5, 0)*VLOOKUP($H354, Factor!$J$4:$O$7, 5, 0)*VLOOKUP($F354, Factor!$Q$4:$V$15, 5, 0)*IF(MOD($G354,10)=0, 10, MOD($G354, 10))*((INDEX(Factor!$X$4:$AC$13, _xlfn.XMATCH($G354, Factor!$X$4:$X$13, 1),5)*IF(MOD(G354, 10) = 0, 10, MOD(G354, 10)))+INDEX(Factor!$AE$4:$AJ$13, _xlfn.XMATCH(MonsterData!$G354, Factor!$AE$4:$AE$13, 1),5))</f>
        <v>100.80000000000001</v>
      </c>
      <c r="Y354" s="17" cm="1">
        <f t="array" ref="Y354">P354*VLOOKUP($I354, Factor!$B$4:$G$8, 6, 0)*VLOOKUP($J354, Factor!$B$12:$G$13, 6, 0)*VLOOKUP($K354, Factor!$B$17:$G$18, 6, 0)*VLOOKUP($H354, Factor!$J$4:$O$7, 2, 0)*VLOOKUP($F354, Factor!$Q$4:$V$15, 6, 0)*IF(MOD($G354,10)=0, 10, MOD($G354, 10))*((INDEX(Factor!$X$4:$AC$13, _xlfn.XMATCH($G354, Factor!$X$4:$X$13, 1),6)*IF(MOD(G354, 10) = 0, 10, MOD(G354, 10)))+INDEX(Factor!$AE$4:$AJ$13, _xlfn.XMATCH(MonsterData!$G354, Factor!$AE$4:$AE$13, 1),6))</f>
        <v>504</v>
      </c>
      <c r="Z354" s="17">
        <f>$Q354*VLOOKUP($J354, Factor!$B$12:$H$13, 7, 0)</f>
        <v>1</v>
      </c>
      <c r="AA354" s="17">
        <v>1</v>
      </c>
      <c r="AB354" s="17">
        <f t="shared" si="17"/>
        <v>0</v>
      </c>
      <c r="AC354" s="17" t="s">
        <v>139</v>
      </c>
      <c r="AD354" s="19" t="s">
        <v>387</v>
      </c>
    </row>
    <row r="355" spans="1:30" ht="15.75" customHeight="1">
      <c r="A355" s="13" t="str">
        <f>T355&amp;"_"&amp;F355&amp;VLOOKUP($C355, Factor!$AM$4:$AY$30, 7, 0)&amp;IF(COUNTIFS($C$4:C354, C355, $F$4:F354, F355)+1&gt;=100, COUNTIFS($C$4:C354, C355, $F$4:F354, F355)+1,IF(COUNTIFS($C$4:C354, C355, $F$4:F354, F355)+1&gt;=10, "0"&amp;COUNTIFS($C$4:C354, C355, $F$4:F354, F355)+1, "00"&amp;COUNTIFS($C$4:C354, C355, $F$4:F354, F355)+1))</f>
        <v>enpc_F06_B_Kobold_001</v>
      </c>
      <c r="B355" s="13"/>
      <c r="C355" s="13" t="s">
        <v>359</v>
      </c>
      <c r="D355" s="21" t="str">
        <f t="shared" si="16"/>
        <v>코볼트</v>
      </c>
      <c r="E355" s="21" t="str">
        <f>VLOOKUP($C355, Factor!$AM$4:$AY$30, 8, 0)</f>
        <v>M</v>
      </c>
      <c r="F355" s="21" t="s">
        <v>114</v>
      </c>
      <c r="G355" s="22">
        <v>83</v>
      </c>
      <c r="H355" s="13" t="s">
        <v>56</v>
      </c>
      <c r="I355" s="21" t="str">
        <f>VLOOKUP($C355, Factor!$AM$4:$AY$30, 11, 0)</f>
        <v>B</v>
      </c>
      <c r="J355" s="21" t="str">
        <f>VLOOKUP($C355, Factor!$AM$4:$AY$30, 12, 0)</f>
        <v>ml</v>
      </c>
      <c r="K355" s="21" t="str">
        <f>VLOOKUP($C355, Factor!$AM$4:$AY$30, 13, 0)</f>
        <v>L</v>
      </c>
      <c r="L355" s="13">
        <v>1</v>
      </c>
      <c r="M355" s="13">
        <v>1</v>
      </c>
      <c r="N355" s="13">
        <v>1</v>
      </c>
      <c r="O355" s="13">
        <v>1</v>
      </c>
      <c r="P355" s="13">
        <v>1</v>
      </c>
      <c r="Q355" s="13">
        <v>1</v>
      </c>
      <c r="R355" s="21" t="str">
        <f>VLOOKUP($C355, Factor!$AM$4:$AY$30, 9, 0)</f>
        <v>Small</v>
      </c>
      <c r="S355" s="13" t="s">
        <v>406</v>
      </c>
      <c r="T355" s="21" t="str">
        <f>VLOOKUP($C355, Factor!$AM$4:$AY$30, 10, 0)</f>
        <v>enpc</v>
      </c>
      <c r="U355" s="21" cm="1">
        <f t="array" ref="U355">L355*VLOOKUP($I355, Factor!$B$4:$G$8, 2, 0)*VLOOKUP($J355, Factor!$B$12:$G$13, 2, 0)*VLOOKUP($K355, Factor!$B$17:$G$18, 2, 0)*VLOOKUP($H355, Factor!$J$4:$O$7, 2, 0)*VLOOKUP($F355, Factor!$Q$4:$V$15, 2, 0)*IF(MOD($G355,10)=0, 10, MOD($G355, 10))*((INDEX(Factor!$X$4:$AC$13, _xlfn.XMATCH($G355, Factor!$X$4:$X$13, 1),2)*IF(MOD(G355, 10) = 0, 10, MOD(G355, 10)))+INDEX(Factor!$AE$4:$AJ$13, _xlfn.XMATCH(MonsterData!$G355, Factor!$AE$4:$AE$13, 1),2))</f>
        <v>174150</v>
      </c>
      <c r="V355" s="21" cm="1">
        <f t="array" ref="V355">M355*VLOOKUP($I355, Factor!$B$4:$G$8, 3, 0)*VLOOKUP($J355, Factor!$B$12:$G$13, 3, 0)*VLOOKUP($K355, Factor!$B$17:$G$18, 3, 0)*VLOOKUP($H355, Factor!$J$4:$O$7, 3, 0)*VLOOKUP($F355, Factor!$Q$4:$V$15, 3, 0)*IF(MOD($G355,10)=0, 10, MOD($G355, 10))*((INDEX(Factor!$X$4:$AC$13, _xlfn.XMATCH($G355, Factor!$X$4:$X$13, 1),3)*IF(MOD(G355, 10) = 0, 10, MOD(G355, 10)))+INDEX(Factor!$AE$4:$AJ$13, _xlfn.XMATCH(MonsterData!$G355, Factor!$AE$4:$AE$13, 1),3))</f>
        <v>8707.5</v>
      </c>
      <c r="W355" s="21" cm="1">
        <f t="array" ref="W355">N355*VLOOKUP($I355, Factor!$B$4:$G$8, 4, 0)*VLOOKUP($J355, Factor!$B$12:$G$13, 4, 0)*VLOOKUP($K355, Factor!$B$17:$G$18, 4, 0)*VLOOKUP($H355, Factor!$J$4:$O$7, 4, 0)*VLOOKUP($F355, Factor!$Q$4:$V$15, 4, 0)*IF(MOD($G355,10)=0, 10, MOD($G355, 10))*((INDEX(Factor!$X$4:$AC$13, _xlfn.XMATCH($G355, Factor!$X$4:$X$13, 1),4)*IF(MOD(G355, 10) = 0, 10, MOD(G355, 10)))+INDEX(Factor!$AE$4:$AJ$13, _xlfn.XMATCH(MonsterData!$G355, Factor!$AE$4:$AE$13, 1),4))</f>
        <v>17415</v>
      </c>
      <c r="X355" s="21" cm="1">
        <f t="array" ref="X355">O355*VLOOKUP($I355, Factor!$B$4:$G$8, 5, 0)*VLOOKUP($J355, Factor!$B$12:$G$13, 5, 0)*VLOOKUP($K355, Factor!$B$17:$G$18, 5, 0)*VLOOKUP($H355, Factor!$J$4:$O$7, 5, 0)*VLOOKUP($F355, Factor!$Q$4:$V$15, 5, 0)*IF(MOD($G355,10)=0, 10, MOD($G355, 10))*((INDEX(Factor!$X$4:$AC$13, _xlfn.XMATCH($G355, Factor!$X$4:$X$13, 1),5)*IF(MOD(G355, 10) = 0, 10, MOD(G355, 10)))+INDEX(Factor!$AE$4:$AJ$13, _xlfn.XMATCH(MonsterData!$G355, Factor!$AE$4:$AE$13, 1),5))</f>
        <v>417.96000000000004</v>
      </c>
      <c r="Y355" s="21" cm="1">
        <f t="array" ref="Y355">P355*VLOOKUP($I355, Factor!$B$4:$G$8, 6, 0)*VLOOKUP($J355, Factor!$B$12:$G$13, 6, 0)*VLOOKUP($K355, Factor!$B$17:$G$18, 6, 0)*VLOOKUP($H355, Factor!$J$4:$O$7, 2, 0)*VLOOKUP($F355, Factor!$Q$4:$V$15, 6, 0)*IF(MOD($G355,10)=0, 10, MOD($G355, 10))*((INDEX(Factor!$X$4:$AC$13, _xlfn.XMATCH($G355, Factor!$X$4:$X$13, 1),6)*IF(MOD(G355, 10) = 0, 10, MOD(G355, 10)))+INDEX(Factor!$AE$4:$AJ$13, _xlfn.XMATCH(MonsterData!$G355, Factor!$AE$4:$AE$13, 1),6))</f>
        <v>928.80000000000007</v>
      </c>
      <c r="Z355" s="21">
        <f>$Q355*VLOOKUP($J355, Factor!$B$12:$H$13, 7, 0)</f>
        <v>1</v>
      </c>
      <c r="AA355" s="13">
        <v>1</v>
      </c>
      <c r="AB355" s="21">
        <f t="shared" si="17"/>
        <v>0</v>
      </c>
      <c r="AC355" s="13" t="s">
        <v>393</v>
      </c>
      <c r="AD355" s="15" t="s">
        <v>388</v>
      </c>
    </row>
    <row r="356" spans="1:30" ht="15.75" customHeight="1">
      <c r="A356" s="16" t="str">
        <f>T356&amp;"_"&amp;F356&amp;VLOOKUP($C356, Factor!$AM$4:$AY$30, 7, 0)&amp;IF(COUNTIFS($C$4:C355, C356, $F$4:F355, F356)+1&gt;=100, COUNTIFS($C$4:C355, C356, $F$4:F355, F356)+1,IF(COUNTIFS($C$4:C355, C356, $F$4:F355, F356)+1&gt;=10, "0"&amp;COUNTIFS($C$4:C355, C356, $F$4:F355, F356)+1, "00"&amp;COUNTIFS($C$4:C355, C356, $F$4:F355, F356)+1))</f>
        <v>enpc_F06_B_Ghoul_001</v>
      </c>
      <c r="B356" s="16"/>
      <c r="C356" s="16" t="s">
        <v>361</v>
      </c>
      <c r="D356" s="17" t="str">
        <f t="shared" si="16"/>
        <v>구울</v>
      </c>
      <c r="E356" s="17" t="str">
        <f>VLOOKUP($C356, Factor!$AM$4:$AY$30, 8, 0)</f>
        <v>M</v>
      </c>
      <c r="F356" s="17" t="s">
        <v>114</v>
      </c>
      <c r="G356" s="20">
        <v>83</v>
      </c>
      <c r="H356" s="16" t="s">
        <v>55</v>
      </c>
      <c r="I356" s="17" t="str">
        <f>VLOOKUP($C356, Factor!$AM$4:$AY$30, 11, 0)</f>
        <v>B</v>
      </c>
      <c r="J356" s="17" t="str">
        <f>VLOOKUP($C356, Factor!$AM$4:$AY$30, 12, 0)</f>
        <v>ml</v>
      </c>
      <c r="K356" s="17" t="str">
        <f>VLOOKUP($C356, Factor!$AM$4:$AY$30, 13, 0)</f>
        <v>L</v>
      </c>
      <c r="L356" s="17">
        <v>1</v>
      </c>
      <c r="M356" s="17">
        <v>1</v>
      </c>
      <c r="N356" s="17">
        <v>1</v>
      </c>
      <c r="O356" s="17">
        <v>1</v>
      </c>
      <c r="P356" s="17">
        <v>1</v>
      </c>
      <c r="Q356" s="17">
        <v>1</v>
      </c>
      <c r="R356" s="17" t="str">
        <f>VLOOKUP($C356, Factor!$AM$4:$AY$30, 9, 0)</f>
        <v>Midium</v>
      </c>
      <c r="S356" s="17" t="s">
        <v>401</v>
      </c>
      <c r="T356" s="17" t="str">
        <f>VLOOKUP($C356, Factor!$AM$4:$AY$30, 10, 0)</f>
        <v>enpc</v>
      </c>
      <c r="U356" s="17" cm="1">
        <f t="array" ref="U356">L356*VLOOKUP($I356, Factor!$B$4:$G$8, 2, 0)*VLOOKUP($J356, Factor!$B$12:$G$13, 2, 0)*VLOOKUP($K356, Factor!$B$17:$G$18, 2, 0)*VLOOKUP($H356, Factor!$J$4:$O$7, 2, 0)*VLOOKUP($F356, Factor!$Q$4:$V$15, 2, 0)*IF(MOD($G356,10)=0, 10, MOD($G356, 10))*((INDEX(Factor!$X$4:$AC$13, _xlfn.XMATCH($G356, Factor!$X$4:$X$13, 1),2)*IF(MOD(G356, 10) = 0, 10, MOD(G356, 10)))+INDEX(Factor!$AE$4:$AJ$13, _xlfn.XMATCH(MonsterData!$G356, Factor!$AE$4:$AE$13, 1),2))</f>
        <v>174150</v>
      </c>
      <c r="V356" s="17" cm="1">
        <f t="array" ref="V356">M356*VLOOKUP($I356, Factor!$B$4:$G$8, 3, 0)*VLOOKUP($J356, Factor!$B$12:$G$13, 3, 0)*VLOOKUP($K356, Factor!$B$17:$G$18, 3, 0)*VLOOKUP($H356, Factor!$J$4:$O$7, 3, 0)*VLOOKUP($F356, Factor!$Q$4:$V$15, 3, 0)*IF(MOD($G356,10)=0, 10, MOD($G356, 10))*((INDEX(Factor!$X$4:$AC$13, _xlfn.XMATCH($G356, Factor!$X$4:$X$13, 1),3)*IF(MOD(G356, 10) = 0, 10, MOD(G356, 10)))+INDEX(Factor!$AE$4:$AJ$13, _xlfn.XMATCH(MonsterData!$G356, Factor!$AE$4:$AE$13, 1),3))</f>
        <v>8707.5</v>
      </c>
      <c r="W356" s="17" cm="1">
        <f t="array" ref="W356">N356*VLOOKUP($I356, Factor!$B$4:$G$8, 4, 0)*VLOOKUP($J356, Factor!$B$12:$G$13, 4, 0)*VLOOKUP($K356, Factor!$B$17:$G$18, 4, 0)*VLOOKUP($H356, Factor!$J$4:$O$7, 4, 0)*VLOOKUP($F356, Factor!$Q$4:$V$15, 4, 0)*IF(MOD($G356,10)=0, 10, MOD($G356, 10))*((INDEX(Factor!$X$4:$AC$13, _xlfn.XMATCH($G356, Factor!$X$4:$X$13, 1),4)*IF(MOD(G356, 10) = 0, 10, MOD(G356, 10)))+INDEX(Factor!$AE$4:$AJ$13, _xlfn.XMATCH(MonsterData!$G356, Factor!$AE$4:$AE$13, 1),4))</f>
        <v>8707.5</v>
      </c>
      <c r="X356" s="17" cm="1">
        <f t="array" ref="X356">O356*VLOOKUP($I356, Factor!$B$4:$G$8, 5, 0)*VLOOKUP($J356, Factor!$B$12:$G$13, 5, 0)*VLOOKUP($K356, Factor!$B$17:$G$18, 5, 0)*VLOOKUP($H356, Factor!$J$4:$O$7, 5, 0)*VLOOKUP($F356, Factor!$Q$4:$V$15, 5, 0)*IF(MOD($G356,10)=0, 10, MOD($G356, 10))*((INDEX(Factor!$X$4:$AC$13, _xlfn.XMATCH($G356, Factor!$X$4:$X$13, 1),5)*IF(MOD(G356, 10) = 0, 10, MOD(G356, 10)))+INDEX(Factor!$AE$4:$AJ$13, _xlfn.XMATCH(MonsterData!$G356, Factor!$AE$4:$AE$13, 1),5))</f>
        <v>464.40000000000003</v>
      </c>
      <c r="Y356" s="17" cm="1">
        <f t="array" ref="Y356">P356*VLOOKUP($I356, Factor!$B$4:$G$8, 6, 0)*VLOOKUP($J356, Factor!$B$12:$G$13, 6, 0)*VLOOKUP($K356, Factor!$B$17:$G$18, 6, 0)*VLOOKUP($H356, Factor!$J$4:$O$7, 2, 0)*VLOOKUP($F356, Factor!$Q$4:$V$15, 6, 0)*IF(MOD($G356,10)=0, 10, MOD($G356, 10))*((INDEX(Factor!$X$4:$AC$13, _xlfn.XMATCH($G356, Factor!$X$4:$X$13, 1),6)*IF(MOD(G356, 10) = 0, 10, MOD(G356, 10)))+INDEX(Factor!$AE$4:$AJ$13, _xlfn.XMATCH(MonsterData!$G356, Factor!$AE$4:$AE$13, 1),6))</f>
        <v>928.80000000000007</v>
      </c>
      <c r="Z356" s="17">
        <f>$Q356*VLOOKUP($J356, Factor!$B$12:$H$13, 7, 0)</f>
        <v>1</v>
      </c>
      <c r="AA356" s="17">
        <v>1</v>
      </c>
      <c r="AB356" s="17">
        <f t="shared" si="17"/>
        <v>0</v>
      </c>
      <c r="AC356" s="17" t="s">
        <v>394</v>
      </c>
      <c r="AD356" s="19" t="s">
        <v>389</v>
      </c>
    </row>
    <row r="357" spans="1:30" ht="15.75" customHeight="1">
      <c r="A357" s="13" t="str">
        <f>T357&amp;"_"&amp;F357&amp;VLOOKUP($C357, Factor!$AM$4:$AY$30, 7, 0)&amp;IF(COUNTIFS($C$4:C356, C357, $F$4:F356, F357)+1&gt;=100, COUNTIFS($C$4:C356, C357, $F$4:F356, F357)+1,IF(COUNTIFS($C$4:C356, C357, $F$4:F356, F357)+1&gt;=10, "0"&amp;COUNTIFS($C$4:C356, C357, $F$4:F356, F357)+1, "00"&amp;COUNTIFS($C$4:C356, C357, $F$4:F356, F357)+1))</f>
        <v>enpc_F06_B_Gorgon_001</v>
      </c>
      <c r="B357" s="13"/>
      <c r="C357" s="13" t="s">
        <v>363</v>
      </c>
      <c r="D357" s="21" t="str">
        <f t="shared" si="16"/>
        <v>고르곤</v>
      </c>
      <c r="E357" s="21" t="str">
        <f>VLOOKUP($C357, Factor!$AM$4:$AY$30, 8, 0)</f>
        <v>B</v>
      </c>
      <c r="F357" s="21" t="s">
        <v>114</v>
      </c>
      <c r="G357" s="22">
        <v>83</v>
      </c>
      <c r="H357" s="13" t="s">
        <v>56</v>
      </c>
      <c r="I357" s="21" t="str">
        <f>VLOOKUP($C357, Factor!$AM$4:$AY$30, 11, 0)</f>
        <v>B</v>
      </c>
      <c r="J357" s="21" t="str">
        <f>VLOOKUP($C357, Factor!$AM$4:$AY$30, 12, 0)</f>
        <v>ml</v>
      </c>
      <c r="K357" s="21" t="str">
        <f>VLOOKUP($C357, Factor!$AM$4:$AY$30, 13, 0)</f>
        <v>L</v>
      </c>
      <c r="L357" s="13">
        <v>1</v>
      </c>
      <c r="M357" s="13">
        <v>1</v>
      </c>
      <c r="N357" s="13">
        <v>1</v>
      </c>
      <c r="O357" s="13">
        <v>1</v>
      </c>
      <c r="P357" s="13">
        <v>1</v>
      </c>
      <c r="Q357" s="13">
        <v>1</v>
      </c>
      <c r="R357" s="21" t="str">
        <f>VLOOKUP($C357, Factor!$AM$4:$AY$30, 9, 0)</f>
        <v>Midium</v>
      </c>
      <c r="S357" s="13" t="s">
        <v>407</v>
      </c>
      <c r="T357" s="21" t="str">
        <f>VLOOKUP($C357, Factor!$AM$4:$AY$30, 10, 0)</f>
        <v>enpc</v>
      </c>
      <c r="U357" s="21" cm="1">
        <f t="array" ref="U357">L357*VLOOKUP($I357, Factor!$B$4:$G$8, 2, 0)*VLOOKUP($J357, Factor!$B$12:$G$13, 2, 0)*VLOOKUP($K357, Factor!$B$17:$G$18, 2, 0)*VLOOKUP($H357, Factor!$J$4:$O$7, 2, 0)*VLOOKUP($F357, Factor!$Q$4:$V$15, 2, 0)*IF(MOD($G357,10)=0, 10, MOD($G357, 10))*((INDEX(Factor!$X$4:$AC$13, _xlfn.XMATCH($G357, Factor!$X$4:$X$13, 1),2)*IF(MOD(G357, 10) = 0, 10, MOD(G357, 10)))+INDEX(Factor!$AE$4:$AJ$13, _xlfn.XMATCH(MonsterData!$G357, Factor!$AE$4:$AE$13, 1),2))</f>
        <v>174150</v>
      </c>
      <c r="V357" s="21" cm="1">
        <f t="array" ref="V357">M357*VLOOKUP($I357, Factor!$B$4:$G$8, 3, 0)*VLOOKUP($J357, Factor!$B$12:$G$13, 3, 0)*VLOOKUP($K357, Factor!$B$17:$G$18, 3, 0)*VLOOKUP($H357, Factor!$J$4:$O$7, 3, 0)*VLOOKUP($F357, Factor!$Q$4:$V$15, 3, 0)*IF(MOD($G357,10)=0, 10, MOD($G357, 10))*((INDEX(Factor!$X$4:$AC$13, _xlfn.XMATCH($G357, Factor!$X$4:$X$13, 1),3)*IF(MOD(G357, 10) = 0, 10, MOD(G357, 10)))+INDEX(Factor!$AE$4:$AJ$13, _xlfn.XMATCH(MonsterData!$G357, Factor!$AE$4:$AE$13, 1),3))</f>
        <v>8707.5</v>
      </c>
      <c r="W357" s="21" cm="1">
        <f t="array" ref="W357">N357*VLOOKUP($I357, Factor!$B$4:$G$8, 4, 0)*VLOOKUP($J357, Factor!$B$12:$G$13, 4, 0)*VLOOKUP($K357, Factor!$B$17:$G$18, 4, 0)*VLOOKUP($H357, Factor!$J$4:$O$7, 4, 0)*VLOOKUP($F357, Factor!$Q$4:$V$15, 4, 0)*IF(MOD($G357,10)=0, 10, MOD($G357, 10))*((INDEX(Factor!$X$4:$AC$13, _xlfn.XMATCH($G357, Factor!$X$4:$X$13, 1),4)*IF(MOD(G357, 10) = 0, 10, MOD(G357, 10)))+INDEX(Factor!$AE$4:$AJ$13, _xlfn.XMATCH(MonsterData!$G357, Factor!$AE$4:$AE$13, 1),4))</f>
        <v>17415</v>
      </c>
      <c r="X357" s="21" cm="1">
        <f t="array" ref="X357">O357*VLOOKUP($I357, Factor!$B$4:$G$8, 5, 0)*VLOOKUP($J357, Factor!$B$12:$G$13, 5, 0)*VLOOKUP($K357, Factor!$B$17:$G$18, 5, 0)*VLOOKUP($H357, Factor!$J$4:$O$7, 5, 0)*VLOOKUP($F357, Factor!$Q$4:$V$15, 5, 0)*IF(MOD($G357,10)=0, 10, MOD($G357, 10))*((INDEX(Factor!$X$4:$AC$13, _xlfn.XMATCH($G357, Factor!$X$4:$X$13, 1),5)*IF(MOD(G357, 10) = 0, 10, MOD(G357, 10)))+INDEX(Factor!$AE$4:$AJ$13, _xlfn.XMATCH(MonsterData!$G357, Factor!$AE$4:$AE$13, 1),5))</f>
        <v>417.96000000000004</v>
      </c>
      <c r="Y357" s="21" cm="1">
        <f t="array" ref="Y357">P357*VLOOKUP($I357, Factor!$B$4:$G$8, 6, 0)*VLOOKUP($J357, Factor!$B$12:$G$13, 6, 0)*VLOOKUP($K357, Factor!$B$17:$G$18, 6, 0)*VLOOKUP($H357, Factor!$J$4:$O$7, 2, 0)*VLOOKUP($F357, Factor!$Q$4:$V$15, 6, 0)*IF(MOD($G357,10)=0, 10, MOD($G357, 10))*((INDEX(Factor!$X$4:$AC$13, _xlfn.XMATCH($G357, Factor!$X$4:$X$13, 1),6)*IF(MOD(G357, 10) = 0, 10, MOD(G357, 10)))+INDEX(Factor!$AE$4:$AJ$13, _xlfn.XMATCH(MonsterData!$G357, Factor!$AE$4:$AE$13, 1),6))</f>
        <v>928.80000000000007</v>
      </c>
      <c r="Z357" s="21">
        <f>$Q357*VLOOKUP($J357, Factor!$B$12:$H$13, 7, 0)</f>
        <v>1</v>
      </c>
      <c r="AA357" s="13">
        <v>1</v>
      </c>
      <c r="AB357" s="21">
        <f t="shared" si="17"/>
        <v>0</v>
      </c>
      <c r="AC357" s="13" t="s">
        <v>395</v>
      </c>
      <c r="AD357" s="15" t="s">
        <v>390</v>
      </c>
    </row>
    <row r="358" spans="1:30" ht="15.75" customHeight="1">
      <c r="A358" s="16" t="str">
        <f>T358&amp;"_"&amp;F358&amp;VLOOKUP($C358, Factor!$AM$4:$AY$30, 7, 0)&amp;IF(COUNTIFS($C$4:C357, C358, $F$4:F357, F358)+1&gt;=100, COUNTIFS($C$4:C357, C358, $F$4:F357, F358)+1,IF(COUNTIFS($C$4:C357, C358, $F$4:F357, F358)+1&gt;=10, "0"&amp;COUNTIFS($C$4:C357, C358, $F$4:F357, F358)+1, "00"&amp;COUNTIFS($C$4:C357, C358, $F$4:F357, F358)+1))</f>
        <v>enpc_F06_B_Gargoyle_001</v>
      </c>
      <c r="B358" s="16"/>
      <c r="C358" s="16" t="s">
        <v>365</v>
      </c>
      <c r="D358" s="17" t="str">
        <f t="shared" si="16"/>
        <v>가고일</v>
      </c>
      <c r="E358" s="17" t="str">
        <f>VLOOKUP($C358, Factor!$AM$4:$AY$30, 8, 0)</f>
        <v>B</v>
      </c>
      <c r="F358" s="17" t="s">
        <v>114</v>
      </c>
      <c r="G358" s="20">
        <v>83</v>
      </c>
      <c r="H358" s="16" t="s">
        <v>55</v>
      </c>
      <c r="I358" s="17" t="str">
        <f>VLOOKUP($C358, Factor!$AM$4:$AY$30, 11, 0)</f>
        <v>B</v>
      </c>
      <c r="J358" s="17" t="str">
        <f>VLOOKUP($C358, Factor!$AM$4:$AY$30, 12, 0)</f>
        <v>ml</v>
      </c>
      <c r="K358" s="17" t="str">
        <f>VLOOKUP($C358, Factor!$AM$4:$AY$30, 13, 0)</f>
        <v>F</v>
      </c>
      <c r="L358" s="17">
        <v>1</v>
      </c>
      <c r="M358" s="17">
        <v>1</v>
      </c>
      <c r="N358" s="17">
        <v>1</v>
      </c>
      <c r="O358" s="17">
        <v>1</v>
      </c>
      <c r="P358" s="17">
        <v>1</v>
      </c>
      <c r="Q358" s="17">
        <v>1</v>
      </c>
      <c r="R358" s="17" t="str">
        <f>VLOOKUP($C358, Factor!$AM$4:$AY$30, 9, 0)</f>
        <v>Big</v>
      </c>
      <c r="S358" s="17" t="s">
        <v>402</v>
      </c>
      <c r="T358" s="17" t="str">
        <f>VLOOKUP($C358, Factor!$AM$4:$AY$30, 10, 0)</f>
        <v>enpc</v>
      </c>
      <c r="U358" s="17" cm="1">
        <f t="array" ref="U358">L358*VLOOKUP($I358, Factor!$B$4:$G$8, 2, 0)*VLOOKUP($J358, Factor!$B$12:$G$13, 2, 0)*VLOOKUP($K358, Factor!$B$17:$G$18, 2, 0)*VLOOKUP($H358, Factor!$J$4:$O$7, 2, 0)*VLOOKUP($F358, Factor!$Q$4:$V$15, 2, 0)*IF(MOD($G358,10)=0, 10, MOD($G358, 10))*((INDEX(Factor!$X$4:$AC$13, _xlfn.XMATCH($G358, Factor!$X$4:$X$13, 1),2)*IF(MOD(G358, 10) = 0, 10, MOD(G358, 10)))+INDEX(Factor!$AE$4:$AJ$13, _xlfn.XMATCH(MonsterData!$G358, Factor!$AE$4:$AE$13, 1),2))</f>
        <v>116100.00000000001</v>
      </c>
      <c r="V358" s="17" cm="1">
        <f t="array" ref="V358">M358*VLOOKUP($I358, Factor!$B$4:$G$8, 3, 0)*VLOOKUP($J358, Factor!$B$12:$G$13, 3, 0)*VLOOKUP($K358, Factor!$B$17:$G$18, 3, 0)*VLOOKUP($H358, Factor!$J$4:$O$7, 3, 0)*VLOOKUP($F358, Factor!$Q$4:$V$15, 3, 0)*IF(MOD($G358,10)=0, 10, MOD($G358, 10))*((INDEX(Factor!$X$4:$AC$13, _xlfn.XMATCH($G358, Factor!$X$4:$X$13, 1),3)*IF(MOD(G358, 10) = 0, 10, MOD(G358, 10)))+INDEX(Factor!$AE$4:$AJ$13, _xlfn.XMATCH(MonsterData!$G358, Factor!$AE$4:$AE$13, 1),3))</f>
        <v>5805</v>
      </c>
      <c r="W358" s="17" cm="1">
        <f t="array" ref="W358">N358*VLOOKUP($I358, Factor!$B$4:$G$8, 4, 0)*VLOOKUP($J358, Factor!$B$12:$G$13, 4, 0)*VLOOKUP($K358, Factor!$B$17:$G$18, 4, 0)*VLOOKUP($H358, Factor!$J$4:$O$7, 4, 0)*VLOOKUP($F358, Factor!$Q$4:$V$15, 4, 0)*IF(MOD($G358,10)=0, 10, MOD($G358, 10))*((INDEX(Factor!$X$4:$AC$13, _xlfn.XMATCH($G358, Factor!$X$4:$X$13, 1),4)*IF(MOD(G358, 10) = 0, 10, MOD(G358, 10)))+INDEX(Factor!$AE$4:$AJ$13, _xlfn.XMATCH(MonsterData!$G358, Factor!$AE$4:$AE$13, 1),4))</f>
        <v>5805</v>
      </c>
      <c r="X358" s="17" cm="1">
        <f t="array" ref="X358">O358*VLOOKUP($I358, Factor!$B$4:$G$8, 5, 0)*VLOOKUP($J358, Factor!$B$12:$G$13, 5, 0)*VLOOKUP($K358, Factor!$B$17:$G$18, 5, 0)*VLOOKUP($H358, Factor!$J$4:$O$7, 5, 0)*VLOOKUP($F358, Factor!$Q$4:$V$15, 5, 0)*IF(MOD($G358,10)=0, 10, MOD($G358, 10))*((INDEX(Factor!$X$4:$AC$13, _xlfn.XMATCH($G358, Factor!$X$4:$X$13, 1),5)*IF(MOD(G358, 10) = 0, 10, MOD(G358, 10)))+INDEX(Factor!$AE$4:$AJ$13, _xlfn.XMATCH(MonsterData!$G358, Factor!$AE$4:$AE$13, 1),5))</f>
        <v>464.40000000000003</v>
      </c>
      <c r="Y358" s="17" cm="1">
        <f t="array" ref="Y358">P358*VLOOKUP($I358, Factor!$B$4:$G$8, 6, 0)*VLOOKUP($J358, Factor!$B$12:$G$13, 6, 0)*VLOOKUP($K358, Factor!$B$17:$G$18, 6, 0)*VLOOKUP($H358, Factor!$J$4:$O$7, 2, 0)*VLOOKUP($F358, Factor!$Q$4:$V$15, 6, 0)*IF(MOD($G358,10)=0, 10, MOD($G358, 10))*((INDEX(Factor!$X$4:$AC$13, _xlfn.XMATCH($G358, Factor!$X$4:$X$13, 1),6)*IF(MOD(G358, 10) = 0, 10, MOD(G358, 10)))+INDEX(Factor!$AE$4:$AJ$13, _xlfn.XMATCH(MonsterData!$G358, Factor!$AE$4:$AE$13, 1),6))</f>
        <v>2786.4</v>
      </c>
      <c r="Z358" s="17">
        <f>$Q358*VLOOKUP($J358, Factor!$B$12:$H$13, 7, 0)</f>
        <v>1</v>
      </c>
      <c r="AA358" s="17">
        <v>1</v>
      </c>
      <c r="AB358" s="17">
        <f t="shared" si="17"/>
        <v>0</v>
      </c>
      <c r="AC358" s="17" t="s">
        <v>396</v>
      </c>
      <c r="AD358" s="19" t="s">
        <v>391</v>
      </c>
    </row>
    <row r="359" spans="1:30" ht="15.75" customHeight="1">
      <c r="A359" s="13" t="str">
        <f>T359&amp;"_"&amp;F359&amp;VLOOKUP($C359, Factor!$AM$4:$AY$30, 7, 0)&amp;IF(COUNTIFS($C$4:C358, C359, $F$4:F358, F359)+1&gt;=100, COUNTIFS($C$4:C358, C359, $F$4:F358, F359)+1,IF(COUNTIFS($C$4:C358, C359, $F$4:F358, F359)+1&gt;=10, "0"&amp;COUNTIFS($C$4:C358, C359, $F$4:F358, F359)+1, "00"&amp;COUNTIFS($C$4:C358, C359, $F$4:F358, F359)+1))</f>
        <v>enpc_F06_A_Lava_002</v>
      </c>
      <c r="B359" s="13"/>
      <c r="C359" s="13" t="s">
        <v>35</v>
      </c>
      <c r="D359" s="21" t="str">
        <f t="shared" si="16"/>
        <v>라바</v>
      </c>
      <c r="E359" s="21" t="str">
        <f>VLOOKUP($C359, Factor!$AM$4:$AY$30, 8, 0)</f>
        <v>S</v>
      </c>
      <c r="F359" s="21" t="s">
        <v>114</v>
      </c>
      <c r="G359" s="22">
        <v>55</v>
      </c>
      <c r="H359" s="13" t="s">
        <v>54</v>
      </c>
      <c r="I359" s="21" t="str">
        <f>VLOOKUP($C359, Factor!$AM$4:$AY$30, 11, 0)</f>
        <v>A</v>
      </c>
      <c r="J359" s="21" t="str">
        <f>VLOOKUP($C359, Factor!$AM$4:$AY$30, 12, 0)</f>
        <v>ml</v>
      </c>
      <c r="K359" s="21" t="str">
        <f>VLOOKUP($C359, Factor!$AM$4:$AY$30, 13, 0)</f>
        <v>L</v>
      </c>
      <c r="L359" s="13">
        <v>1</v>
      </c>
      <c r="M359" s="13">
        <v>1</v>
      </c>
      <c r="N359" s="13">
        <v>1</v>
      </c>
      <c r="O359" s="13">
        <v>1</v>
      </c>
      <c r="P359" s="13">
        <v>1</v>
      </c>
      <c r="Q359" s="13">
        <v>1</v>
      </c>
      <c r="R359" s="21" t="str">
        <f>VLOOKUP($C359, Factor!$AM$4:$AY$30, 9, 0)</f>
        <v>Small</v>
      </c>
      <c r="S359" s="13" t="s">
        <v>88</v>
      </c>
      <c r="T359" s="21" t="str">
        <f>VLOOKUP($C359, Factor!$AM$4:$AY$30, 10, 0)</f>
        <v>enpc</v>
      </c>
      <c r="U359" s="21" cm="1">
        <f t="array" ref="U359">L359*VLOOKUP($I359, Factor!$B$4:$G$8, 2, 0)*VLOOKUP($J359, Factor!$B$12:$G$13, 2, 0)*VLOOKUP($K359, Factor!$B$17:$G$18, 2, 0)*VLOOKUP($H359, Factor!$J$4:$O$7, 2, 0)*VLOOKUP($F359, Factor!$Q$4:$V$15, 2, 0)*IF(MOD($G359,10)=0, 10, MOD($G359, 10))*((INDEX(Factor!$X$4:$AC$13, _xlfn.XMATCH($G359, Factor!$X$4:$X$13, 1),2)*IF(MOD(G359, 10) = 0, 10, MOD(G359, 10)))+INDEX(Factor!$AE$4:$AJ$13, _xlfn.XMATCH(MonsterData!$G359, Factor!$AE$4:$AE$13, 1),2))</f>
        <v>21600</v>
      </c>
      <c r="V359" s="21" cm="1">
        <f t="array" ref="V359">M359*VLOOKUP($I359, Factor!$B$4:$G$8, 3, 0)*VLOOKUP($J359, Factor!$B$12:$G$13, 3, 0)*VLOOKUP($K359, Factor!$B$17:$G$18, 3, 0)*VLOOKUP($H359, Factor!$J$4:$O$7, 3, 0)*VLOOKUP($F359, Factor!$Q$4:$V$15, 3, 0)*IF(MOD($G359,10)=0, 10, MOD($G359, 10))*((INDEX(Factor!$X$4:$AC$13, _xlfn.XMATCH($G359, Factor!$X$4:$X$13, 1),3)*IF(MOD(G359, 10) = 0, 10, MOD(G359, 10)))+INDEX(Factor!$AE$4:$AJ$13, _xlfn.XMATCH(MonsterData!$G359, Factor!$AE$4:$AE$13, 1),3))</f>
        <v>1080</v>
      </c>
      <c r="W359" s="21" cm="1">
        <f t="array" ref="W359">N359*VLOOKUP($I359, Factor!$B$4:$G$8, 4, 0)*VLOOKUP($J359, Factor!$B$12:$G$13, 4, 0)*VLOOKUP($K359, Factor!$B$17:$G$18, 4, 0)*VLOOKUP($H359, Factor!$J$4:$O$7, 4, 0)*VLOOKUP($F359, Factor!$Q$4:$V$15, 4, 0)*IF(MOD($G359,10)=0, 10, MOD($G359, 10))*((INDEX(Factor!$X$4:$AC$13, _xlfn.XMATCH($G359, Factor!$X$4:$X$13, 1),4)*IF(MOD(G359, 10) = 0, 10, MOD(G359, 10)))+INDEX(Factor!$AE$4:$AJ$13, _xlfn.XMATCH(MonsterData!$G359, Factor!$AE$4:$AE$13, 1),4))</f>
        <v>648</v>
      </c>
      <c r="X359" s="21" cm="1">
        <f t="array" ref="X359">O359*VLOOKUP($I359, Factor!$B$4:$G$8, 5, 0)*VLOOKUP($J359, Factor!$B$12:$G$13, 5, 0)*VLOOKUP($K359, Factor!$B$17:$G$18, 5, 0)*VLOOKUP($H359, Factor!$J$4:$O$7, 5, 0)*VLOOKUP($F359, Factor!$Q$4:$V$15, 5, 0)*IF(MOD($G359,10)=0, 10, MOD($G359, 10))*((INDEX(Factor!$X$4:$AC$13, _xlfn.XMATCH($G359, Factor!$X$4:$X$13, 1),5)*IF(MOD(G359, 10) = 0, 10, MOD(G359, 10)))+INDEX(Factor!$AE$4:$AJ$13, _xlfn.XMATCH(MonsterData!$G359, Factor!$AE$4:$AE$13, 1),5))</f>
        <v>180</v>
      </c>
      <c r="Y359" s="21" cm="1">
        <f t="array" ref="Y359">P359*VLOOKUP($I359, Factor!$B$4:$G$8, 6, 0)*VLOOKUP($J359, Factor!$B$12:$G$13, 6, 0)*VLOOKUP($K359, Factor!$B$17:$G$18, 6, 0)*VLOOKUP($H359, Factor!$J$4:$O$7, 2, 0)*VLOOKUP($F359, Factor!$Q$4:$V$15, 6, 0)*IF(MOD($G359,10)=0, 10, MOD($G359, 10))*((INDEX(Factor!$X$4:$AC$13, _xlfn.XMATCH($G359, Factor!$X$4:$X$13, 1),6)*IF(MOD(G359, 10) = 0, 10, MOD(G359, 10)))+INDEX(Factor!$AE$4:$AJ$13, _xlfn.XMATCH(MonsterData!$G359, Factor!$AE$4:$AE$13, 1),6))</f>
        <v>720</v>
      </c>
      <c r="Z359" s="21">
        <f>$Q359*VLOOKUP($J359, Factor!$B$12:$H$13, 7, 0)</f>
        <v>1</v>
      </c>
      <c r="AA359" s="13">
        <v>1</v>
      </c>
      <c r="AB359" s="21">
        <f t="shared" si="17"/>
        <v>0</v>
      </c>
      <c r="AC359" s="13" t="s">
        <v>139</v>
      </c>
      <c r="AD359" s="15" t="s">
        <v>142</v>
      </c>
    </row>
    <row r="360" spans="1:30" ht="15.75" customHeight="1">
      <c r="A360" s="16" t="str">
        <f>T360&amp;"_"&amp;F360&amp;VLOOKUP($C360, Factor!$AM$4:$AY$30, 7, 0)&amp;IF(COUNTIFS($C$4:C359, C360, $F$4:F359, F360)+1&gt;=100, COUNTIFS($C$4:C359, C360, $F$4:F359, F360)+1,IF(COUNTIFS($C$4:C359, C360, $F$4:F359, F360)+1&gt;=10, "0"&amp;COUNTIFS($C$4:C359, C360, $F$4:F359, F360)+1, "00"&amp;COUNTIFS($C$4:C359, C360, $F$4:F359, F360)+1))</f>
        <v>enpc_F06_A_Cocoon_002</v>
      </c>
      <c r="B360" s="16"/>
      <c r="C360" s="16" t="s">
        <v>270</v>
      </c>
      <c r="D360" s="17" t="str">
        <f t="shared" si="16"/>
        <v>코쿤</v>
      </c>
      <c r="E360" s="17" t="str">
        <f>VLOOKUP($C360, Factor!$AM$4:$AY$30, 8, 0)</f>
        <v>M</v>
      </c>
      <c r="F360" s="17" t="s">
        <v>114</v>
      </c>
      <c r="G360" s="20">
        <v>55</v>
      </c>
      <c r="H360" s="16" t="s">
        <v>55</v>
      </c>
      <c r="I360" s="17" t="str">
        <f>VLOOKUP($C360, Factor!$AM$4:$AY$30, 11, 0)</f>
        <v>A</v>
      </c>
      <c r="J360" s="17" t="str">
        <f>VLOOKUP($C360, Factor!$AM$4:$AY$30, 12, 0)</f>
        <v>ml</v>
      </c>
      <c r="K360" s="17" t="str">
        <f>VLOOKUP($C360, Factor!$AM$4:$AY$30, 13, 0)</f>
        <v>L</v>
      </c>
      <c r="L360" s="17">
        <v>1</v>
      </c>
      <c r="M360" s="17">
        <v>1</v>
      </c>
      <c r="N360" s="17">
        <v>1</v>
      </c>
      <c r="O360" s="17">
        <v>1</v>
      </c>
      <c r="P360" s="17">
        <v>1</v>
      </c>
      <c r="Q360" s="17">
        <v>1</v>
      </c>
      <c r="R360" s="17" t="str">
        <f>VLOOKUP($C360, Factor!$AM$4:$AY$30, 9, 0)</f>
        <v>Midium</v>
      </c>
      <c r="S360" s="17" t="s">
        <v>196</v>
      </c>
      <c r="T360" s="17" t="str">
        <f>VLOOKUP($C360, Factor!$AM$4:$AY$30, 10, 0)</f>
        <v>enpc</v>
      </c>
      <c r="U360" s="17" cm="1">
        <f t="array" ref="U360">L360*VLOOKUP($I360, Factor!$B$4:$G$8, 2, 0)*VLOOKUP($J360, Factor!$B$12:$G$13, 2, 0)*VLOOKUP($K360, Factor!$B$17:$G$18, 2, 0)*VLOOKUP($H360, Factor!$J$4:$O$7, 2, 0)*VLOOKUP($F360, Factor!$Q$4:$V$15, 2, 0)*IF(MOD($G360,10)=0, 10, MOD($G360, 10))*((INDEX(Factor!$X$4:$AC$13, _xlfn.XMATCH($G360, Factor!$X$4:$X$13, 1),2)*IF(MOD(G360, 10) = 0, 10, MOD(G360, 10)))+INDEX(Factor!$AE$4:$AJ$13, _xlfn.XMATCH(MonsterData!$G360, Factor!$AE$4:$AE$13, 1),2))</f>
        <v>27000</v>
      </c>
      <c r="V360" s="17" cm="1">
        <f t="array" ref="V360">M360*VLOOKUP($I360, Factor!$B$4:$G$8, 3, 0)*VLOOKUP($J360, Factor!$B$12:$G$13, 3, 0)*VLOOKUP($K360, Factor!$B$17:$G$18, 3, 0)*VLOOKUP($H360, Factor!$J$4:$O$7, 3, 0)*VLOOKUP($F360, Factor!$Q$4:$V$15, 3, 0)*IF(MOD($G360,10)=0, 10, MOD($G360, 10))*((INDEX(Factor!$X$4:$AC$13, _xlfn.XMATCH($G360, Factor!$X$4:$X$13, 1),3)*IF(MOD(G360, 10) = 0, 10, MOD(G360, 10)))+INDEX(Factor!$AE$4:$AJ$13, _xlfn.XMATCH(MonsterData!$G360, Factor!$AE$4:$AE$13, 1),3))</f>
        <v>1350</v>
      </c>
      <c r="W360" s="17" cm="1">
        <f t="array" ref="W360">N360*VLOOKUP($I360, Factor!$B$4:$G$8, 4, 0)*VLOOKUP($J360, Factor!$B$12:$G$13, 4, 0)*VLOOKUP($K360, Factor!$B$17:$G$18, 4, 0)*VLOOKUP($H360, Factor!$J$4:$O$7, 4, 0)*VLOOKUP($F360, Factor!$Q$4:$V$15, 4, 0)*IF(MOD($G360,10)=0, 10, MOD($G360, 10))*((INDEX(Factor!$X$4:$AC$13, _xlfn.XMATCH($G360, Factor!$X$4:$X$13, 1),4)*IF(MOD(G360, 10) = 0, 10, MOD(G360, 10)))+INDEX(Factor!$AE$4:$AJ$13, _xlfn.XMATCH(MonsterData!$G360, Factor!$AE$4:$AE$13, 1),4))</f>
        <v>810</v>
      </c>
      <c r="X360" s="17" cm="1">
        <f t="array" ref="X360">O360*VLOOKUP($I360, Factor!$B$4:$G$8, 5, 0)*VLOOKUP($J360, Factor!$B$12:$G$13, 5, 0)*VLOOKUP($K360, Factor!$B$17:$G$18, 5, 0)*VLOOKUP($H360, Factor!$J$4:$O$7, 5, 0)*VLOOKUP($F360, Factor!$Q$4:$V$15, 5, 0)*IF(MOD($G360,10)=0, 10, MOD($G360, 10))*((INDEX(Factor!$X$4:$AC$13, _xlfn.XMATCH($G360, Factor!$X$4:$X$13, 1),5)*IF(MOD(G360, 10) = 0, 10, MOD(G360, 10)))+INDEX(Factor!$AE$4:$AJ$13, _xlfn.XMATCH(MonsterData!$G360, Factor!$AE$4:$AE$13, 1),5))</f>
        <v>180</v>
      </c>
      <c r="Y360" s="17" cm="1">
        <f t="array" ref="Y360">P360*VLOOKUP($I360, Factor!$B$4:$G$8, 6, 0)*VLOOKUP($J360, Factor!$B$12:$G$13, 6, 0)*VLOOKUP($K360, Factor!$B$17:$G$18, 6, 0)*VLOOKUP($H360, Factor!$J$4:$O$7, 2, 0)*VLOOKUP($F360, Factor!$Q$4:$V$15, 6, 0)*IF(MOD($G360,10)=0, 10, MOD($G360, 10))*((INDEX(Factor!$X$4:$AC$13, _xlfn.XMATCH($G360, Factor!$X$4:$X$13, 1),6)*IF(MOD(G360, 10) = 0, 10, MOD(G360, 10)))+INDEX(Factor!$AE$4:$AJ$13, _xlfn.XMATCH(MonsterData!$G360, Factor!$AE$4:$AE$13, 1),6))</f>
        <v>900</v>
      </c>
      <c r="Z360" s="17">
        <f>$Q360*VLOOKUP($J360, Factor!$B$12:$H$13, 7, 0)</f>
        <v>1</v>
      </c>
      <c r="AA360" s="17">
        <v>1</v>
      </c>
      <c r="AB360" s="17">
        <f t="shared" si="17"/>
        <v>0</v>
      </c>
      <c r="AC360" s="17" t="s">
        <v>139</v>
      </c>
      <c r="AD360" s="19" t="s">
        <v>142</v>
      </c>
    </row>
    <row r="361" spans="1:30" ht="15.75" customHeight="1">
      <c r="A361" s="13" t="str">
        <f>T361&amp;"_"&amp;F361&amp;VLOOKUP($C361, Factor!$AM$4:$AY$30, 7, 0)&amp;IF(COUNTIFS($C$4:C360, C361, $F$4:F360, F361)+1&gt;=100, COUNTIFS($C$4:C360, C361, $F$4:F360, F361)+1,IF(COUNTIFS($C$4:C360, C361, $F$4:F360, F361)+1&gt;=10, "0"&amp;COUNTIFS($C$4:C360, C361, $F$4:F360, F361)+1, "00"&amp;COUNTIFS($C$4:C360, C361, $F$4:F360, F361)+1))</f>
        <v>enpc_F06_A_Antlion_002</v>
      </c>
      <c r="B361" s="13"/>
      <c r="C361" s="13" t="s">
        <v>38</v>
      </c>
      <c r="D361" s="21" t="str">
        <f t="shared" si="16"/>
        <v>앤틸리온</v>
      </c>
      <c r="E361" s="21" t="str">
        <f>VLOOKUP($C361, Factor!$AM$4:$AY$30, 8, 0)</f>
        <v>M</v>
      </c>
      <c r="F361" s="21" t="s">
        <v>114</v>
      </c>
      <c r="G361" s="22">
        <v>55</v>
      </c>
      <c r="H361" s="13" t="s">
        <v>55</v>
      </c>
      <c r="I361" s="21" t="str">
        <f>VLOOKUP($C361, Factor!$AM$4:$AY$30, 11, 0)</f>
        <v>A</v>
      </c>
      <c r="J361" s="21" t="str">
        <f>VLOOKUP($C361, Factor!$AM$4:$AY$30, 12, 0)</f>
        <v>ra</v>
      </c>
      <c r="K361" s="21" t="str">
        <f>VLOOKUP($C361, Factor!$AM$4:$AY$30, 13, 0)</f>
        <v>L</v>
      </c>
      <c r="L361" s="13">
        <v>1</v>
      </c>
      <c r="M361" s="13">
        <v>1</v>
      </c>
      <c r="N361" s="13">
        <v>1</v>
      </c>
      <c r="O361" s="13">
        <v>1</v>
      </c>
      <c r="P361" s="13">
        <v>1</v>
      </c>
      <c r="Q361" s="13">
        <v>1</v>
      </c>
      <c r="R361" s="21" t="str">
        <f>VLOOKUP($C361, Factor!$AM$4:$AY$30, 9, 0)</f>
        <v>Midium</v>
      </c>
      <c r="S361" s="13" t="s">
        <v>397</v>
      </c>
      <c r="T361" s="21" t="str">
        <f>VLOOKUP($C361, Factor!$AM$4:$AY$30, 10, 0)</f>
        <v>enpc</v>
      </c>
      <c r="U361" s="21" cm="1">
        <f t="array" ref="U361">L361*VLOOKUP($I361, Factor!$B$4:$G$8, 2, 0)*VLOOKUP($J361, Factor!$B$12:$G$13, 2, 0)*VLOOKUP($K361, Factor!$B$17:$G$18, 2, 0)*VLOOKUP($H361, Factor!$J$4:$O$7, 2, 0)*VLOOKUP($F361, Factor!$Q$4:$V$15, 2, 0)*IF(MOD($G361,10)=0, 10, MOD($G361, 10))*((INDEX(Factor!$X$4:$AC$13, _xlfn.XMATCH($G361, Factor!$X$4:$X$13, 1),2)*IF(MOD(G361, 10) = 0, 10, MOD(G361, 10)))+INDEX(Factor!$AE$4:$AJ$13, _xlfn.XMATCH(MonsterData!$G361, Factor!$AE$4:$AE$13, 1),2))</f>
        <v>21600</v>
      </c>
      <c r="V361" s="21" cm="1">
        <f t="array" ref="V361">M361*VLOOKUP($I361, Factor!$B$4:$G$8, 3, 0)*VLOOKUP($J361, Factor!$B$12:$G$13, 3, 0)*VLOOKUP($K361, Factor!$B$17:$G$18, 3, 0)*VLOOKUP($H361, Factor!$J$4:$O$7, 3, 0)*VLOOKUP($F361, Factor!$Q$4:$V$15, 3, 0)*IF(MOD($G361,10)=0, 10, MOD($G361, 10))*((INDEX(Factor!$X$4:$AC$13, _xlfn.XMATCH($G361, Factor!$X$4:$X$13, 1),3)*IF(MOD(G361, 10) = 0, 10, MOD(G361, 10)))+INDEX(Factor!$AE$4:$AJ$13, _xlfn.XMATCH(MonsterData!$G361, Factor!$AE$4:$AE$13, 1),3))</f>
        <v>1080</v>
      </c>
      <c r="W361" s="21" cm="1">
        <f t="array" ref="W361">N361*VLOOKUP($I361, Factor!$B$4:$G$8, 4, 0)*VLOOKUP($J361, Factor!$B$12:$G$13, 4, 0)*VLOOKUP($K361, Factor!$B$17:$G$18, 4, 0)*VLOOKUP($H361, Factor!$J$4:$O$7, 4, 0)*VLOOKUP($F361, Factor!$Q$4:$V$15, 4, 0)*IF(MOD($G361,10)=0, 10, MOD($G361, 10))*((INDEX(Factor!$X$4:$AC$13, _xlfn.XMATCH($G361, Factor!$X$4:$X$13, 1),4)*IF(MOD(G361, 10) = 0, 10, MOD(G361, 10)))+INDEX(Factor!$AE$4:$AJ$13, _xlfn.XMATCH(MonsterData!$G361, Factor!$AE$4:$AE$13, 1),4))</f>
        <v>971.99999999999989</v>
      </c>
      <c r="X361" s="21" cm="1">
        <f t="array" ref="X361">O361*VLOOKUP($I361, Factor!$B$4:$G$8, 5, 0)*VLOOKUP($J361, Factor!$B$12:$G$13, 5, 0)*VLOOKUP($K361, Factor!$B$17:$G$18, 5, 0)*VLOOKUP($H361, Factor!$J$4:$O$7, 5, 0)*VLOOKUP($F361, Factor!$Q$4:$V$15, 5, 0)*IF(MOD($G361,10)=0, 10, MOD($G361, 10))*((INDEX(Factor!$X$4:$AC$13, _xlfn.XMATCH($G361, Factor!$X$4:$X$13, 1),5)*IF(MOD(G361, 10) = 0, 10, MOD(G361, 10)))+INDEX(Factor!$AE$4:$AJ$13, _xlfn.XMATCH(MonsterData!$G361, Factor!$AE$4:$AE$13, 1),5))</f>
        <v>270</v>
      </c>
      <c r="Y361" s="21" cm="1">
        <f t="array" ref="Y361">P361*VLOOKUP($I361, Factor!$B$4:$G$8, 6, 0)*VLOOKUP($J361, Factor!$B$12:$G$13, 6, 0)*VLOOKUP($K361, Factor!$B$17:$G$18, 6, 0)*VLOOKUP($H361, Factor!$J$4:$O$7, 2, 0)*VLOOKUP($F361, Factor!$Q$4:$V$15, 6, 0)*IF(MOD($G361,10)=0, 10, MOD($G361, 10))*((INDEX(Factor!$X$4:$AC$13, _xlfn.XMATCH($G361, Factor!$X$4:$X$13, 1),6)*IF(MOD(G361, 10) = 0, 10, MOD(G361, 10)))+INDEX(Factor!$AE$4:$AJ$13, _xlfn.XMATCH(MonsterData!$G361, Factor!$AE$4:$AE$13, 1),6))</f>
        <v>900</v>
      </c>
      <c r="Z361" s="21">
        <f>$Q361*VLOOKUP($J361, Factor!$B$12:$H$13, 7, 0)</f>
        <v>4</v>
      </c>
      <c r="AA361" s="13">
        <v>1</v>
      </c>
      <c r="AB361" s="21">
        <f t="shared" si="17"/>
        <v>4</v>
      </c>
      <c r="AC361" s="13" t="s">
        <v>139</v>
      </c>
      <c r="AD361" s="15" t="s">
        <v>142</v>
      </c>
    </row>
    <row r="362" spans="1:30" ht="15.75" customHeight="1">
      <c r="A362" s="16" t="str">
        <f>T362&amp;"_"&amp;F362&amp;VLOOKUP($C362, Factor!$AM$4:$AY$30, 7, 0)&amp;IF(COUNTIFS($C$4:C361, C362, $F$4:F361, F362)+1&gt;=100, COUNTIFS($C$4:C361, C362, $F$4:F361, F362)+1,IF(COUNTIFS($C$4:C361, C362, $F$4:F361, F362)+1&gt;=10, "0"&amp;COUNTIFS($C$4:C361, C362, $F$4:F361, F362)+1, "00"&amp;COUNTIFS($C$4:C361, C362, $F$4:F361, F362)+1))</f>
        <v>enpc_F06_A_Nymphe_002</v>
      </c>
      <c r="B362" s="16"/>
      <c r="C362" s="16" t="s">
        <v>39</v>
      </c>
      <c r="D362" s="17" t="str">
        <f t="shared" si="16"/>
        <v>님프</v>
      </c>
      <c r="E362" s="17" t="str">
        <f>VLOOKUP($C362, Factor!$AM$4:$AY$30, 8, 0)</f>
        <v>S</v>
      </c>
      <c r="F362" s="17" t="s">
        <v>114</v>
      </c>
      <c r="G362" s="20">
        <v>55</v>
      </c>
      <c r="H362" s="16" t="s">
        <v>55</v>
      </c>
      <c r="I362" s="17" t="str">
        <f>VLOOKUP($C362, Factor!$AM$4:$AY$30, 11, 0)</f>
        <v>A</v>
      </c>
      <c r="J362" s="17" t="str">
        <f>VLOOKUP($C362, Factor!$AM$4:$AY$30, 12, 0)</f>
        <v>ml</v>
      </c>
      <c r="K362" s="17" t="str">
        <f>VLOOKUP($C362, Factor!$AM$4:$AY$30, 13, 0)</f>
        <v>F</v>
      </c>
      <c r="L362" s="17">
        <v>1</v>
      </c>
      <c r="M362" s="17">
        <v>1</v>
      </c>
      <c r="N362" s="17">
        <v>1</v>
      </c>
      <c r="O362" s="17">
        <v>1</v>
      </c>
      <c r="P362" s="17">
        <v>1</v>
      </c>
      <c r="Q362" s="17">
        <v>1</v>
      </c>
      <c r="R362" s="17" t="str">
        <f>VLOOKUP($C362, Factor!$AM$4:$AY$30, 9, 0)</f>
        <v>Small</v>
      </c>
      <c r="S362" s="17" t="s">
        <v>197</v>
      </c>
      <c r="T362" s="17" t="str">
        <f>VLOOKUP($C362, Factor!$AM$4:$AY$30, 10, 0)</f>
        <v>enpc</v>
      </c>
      <c r="U362" s="17" cm="1">
        <f t="array" ref="U362">L362*VLOOKUP($I362, Factor!$B$4:$G$8, 2, 0)*VLOOKUP($J362, Factor!$B$12:$G$13, 2, 0)*VLOOKUP($K362, Factor!$B$17:$G$18, 2, 0)*VLOOKUP($H362, Factor!$J$4:$O$7, 2, 0)*VLOOKUP($F362, Factor!$Q$4:$V$15, 2, 0)*IF(MOD($G362,10)=0, 10, MOD($G362, 10))*((INDEX(Factor!$X$4:$AC$13, _xlfn.XMATCH($G362, Factor!$X$4:$X$13, 1),2)*IF(MOD(G362, 10) = 0, 10, MOD(G362, 10)))+INDEX(Factor!$AE$4:$AJ$13, _xlfn.XMATCH(MonsterData!$G362, Factor!$AE$4:$AE$13, 1),2))</f>
        <v>18000</v>
      </c>
      <c r="V362" s="17" cm="1">
        <f t="array" ref="V362">M362*VLOOKUP($I362, Factor!$B$4:$G$8, 3, 0)*VLOOKUP($J362, Factor!$B$12:$G$13, 3, 0)*VLOOKUP($K362, Factor!$B$17:$G$18, 3, 0)*VLOOKUP($H362, Factor!$J$4:$O$7, 3, 0)*VLOOKUP($F362, Factor!$Q$4:$V$15, 3, 0)*IF(MOD($G362,10)=0, 10, MOD($G362, 10))*((INDEX(Factor!$X$4:$AC$13, _xlfn.XMATCH($G362, Factor!$X$4:$X$13, 1),3)*IF(MOD(G362, 10) = 0, 10, MOD(G362, 10)))+INDEX(Factor!$AE$4:$AJ$13, _xlfn.XMATCH(MonsterData!$G362, Factor!$AE$4:$AE$13, 1),3))</f>
        <v>900</v>
      </c>
      <c r="W362" s="17" cm="1">
        <f t="array" ref="W362">N362*VLOOKUP($I362, Factor!$B$4:$G$8, 4, 0)*VLOOKUP($J362, Factor!$B$12:$G$13, 4, 0)*VLOOKUP($K362, Factor!$B$17:$G$18, 4, 0)*VLOOKUP($H362, Factor!$J$4:$O$7, 4, 0)*VLOOKUP($F362, Factor!$Q$4:$V$15, 4, 0)*IF(MOD($G362,10)=0, 10, MOD($G362, 10))*((INDEX(Factor!$X$4:$AC$13, _xlfn.XMATCH($G362, Factor!$X$4:$X$13, 1),4)*IF(MOD(G362, 10) = 0, 10, MOD(G362, 10)))+INDEX(Factor!$AE$4:$AJ$13, _xlfn.XMATCH(MonsterData!$G362, Factor!$AE$4:$AE$13, 1),4))</f>
        <v>540</v>
      </c>
      <c r="X362" s="17" cm="1">
        <f t="array" ref="X362">O362*VLOOKUP($I362, Factor!$B$4:$G$8, 5, 0)*VLOOKUP($J362, Factor!$B$12:$G$13, 5, 0)*VLOOKUP($K362, Factor!$B$17:$G$18, 5, 0)*VLOOKUP($H362, Factor!$J$4:$O$7, 5, 0)*VLOOKUP($F362, Factor!$Q$4:$V$15, 5, 0)*IF(MOD($G362,10)=0, 10, MOD($G362, 10))*((INDEX(Factor!$X$4:$AC$13, _xlfn.XMATCH($G362, Factor!$X$4:$X$13, 1),5)*IF(MOD(G362, 10) = 0, 10, MOD(G362, 10)))+INDEX(Factor!$AE$4:$AJ$13, _xlfn.XMATCH(MonsterData!$G362, Factor!$AE$4:$AE$13, 1),5))</f>
        <v>180</v>
      </c>
      <c r="Y362" s="17" cm="1">
        <f t="array" ref="Y362">P362*VLOOKUP($I362, Factor!$B$4:$G$8, 6, 0)*VLOOKUP($J362, Factor!$B$12:$G$13, 6, 0)*VLOOKUP($K362, Factor!$B$17:$G$18, 6, 0)*VLOOKUP($H362, Factor!$J$4:$O$7, 2, 0)*VLOOKUP($F362, Factor!$Q$4:$V$15, 6, 0)*IF(MOD($G362,10)=0, 10, MOD($G362, 10))*((INDEX(Factor!$X$4:$AC$13, _xlfn.XMATCH($G362, Factor!$X$4:$X$13, 1),6)*IF(MOD(G362, 10) = 0, 10, MOD(G362, 10)))+INDEX(Factor!$AE$4:$AJ$13, _xlfn.XMATCH(MonsterData!$G362, Factor!$AE$4:$AE$13, 1),6))</f>
        <v>2700</v>
      </c>
      <c r="Z362" s="17">
        <f>$Q362*VLOOKUP($J362, Factor!$B$12:$H$13, 7, 0)</f>
        <v>1</v>
      </c>
      <c r="AA362" s="17">
        <v>1</v>
      </c>
      <c r="AB362" s="17">
        <f t="shared" si="17"/>
        <v>0</v>
      </c>
      <c r="AC362" s="17" t="s">
        <v>139</v>
      </c>
      <c r="AD362" s="19" t="s">
        <v>142</v>
      </c>
    </row>
    <row r="363" spans="1:30" ht="15.75" customHeight="1">
      <c r="A363" s="13" t="str">
        <f>T363&amp;"_"&amp;F363&amp;VLOOKUP($C363, Factor!$AM$4:$AY$30, 7, 0)&amp;IF(COUNTIFS($C$4:C362, C363, $F$4:F362, F363)+1&gt;=100, COUNTIFS($C$4:C362, C363, $F$4:F362, F363)+1,IF(COUNTIFS($C$4:C362, C363, $F$4:F362, F363)+1&gt;=10, "0"&amp;COUNTIFS($C$4:C362, C363, $F$4:F362, F363)+1, "00"&amp;COUNTIFS($C$4:C362, C363, $F$4:F362, F363)+1))</f>
        <v>enpc_F06_B_Golem_002</v>
      </c>
      <c r="B363" s="13"/>
      <c r="C363" s="13" t="s">
        <v>40</v>
      </c>
      <c r="D363" s="21" t="str">
        <f t="shared" si="16"/>
        <v>골렘</v>
      </c>
      <c r="E363" s="21" t="str">
        <f>VLOOKUP($C363, Factor!$AM$4:$AY$30, 8, 0)</f>
        <v>B</v>
      </c>
      <c r="F363" s="21" t="s">
        <v>114</v>
      </c>
      <c r="G363" s="22">
        <v>86</v>
      </c>
      <c r="H363" s="13" t="s">
        <v>57</v>
      </c>
      <c r="I363" s="21" t="str">
        <f>VLOOKUP($C363, Factor!$AM$4:$AY$30, 11, 0)</f>
        <v>B</v>
      </c>
      <c r="J363" s="21" t="str">
        <f>VLOOKUP($C363, Factor!$AM$4:$AY$30, 12, 0)</f>
        <v>ml</v>
      </c>
      <c r="K363" s="21" t="str">
        <f>VLOOKUP($C363, Factor!$AM$4:$AY$30, 13, 0)</f>
        <v>L</v>
      </c>
      <c r="L363" s="13">
        <v>1</v>
      </c>
      <c r="M363" s="13">
        <v>1</v>
      </c>
      <c r="N363" s="13">
        <v>1</v>
      </c>
      <c r="O363" s="13">
        <v>1</v>
      </c>
      <c r="P363" s="13">
        <v>1</v>
      </c>
      <c r="Q363" s="13">
        <v>1</v>
      </c>
      <c r="R363" s="21" t="str">
        <f>VLOOKUP($C363, Factor!$AM$4:$AY$30, 9, 0)</f>
        <v>Big</v>
      </c>
      <c r="S363" s="13" t="s">
        <v>398</v>
      </c>
      <c r="T363" s="21" t="str">
        <f>VLOOKUP($C363, Factor!$AM$4:$AY$30, 10, 0)</f>
        <v>enpc</v>
      </c>
      <c r="U363" s="21" cm="1">
        <f t="array" ref="U363">L363*VLOOKUP($I363, Factor!$B$4:$G$8, 2, 0)*VLOOKUP($J363, Factor!$B$12:$G$13, 2, 0)*VLOOKUP($K363, Factor!$B$17:$G$18, 2, 0)*VLOOKUP($H363, Factor!$J$4:$O$7, 2, 0)*VLOOKUP($F363, Factor!$Q$4:$V$15, 2, 0)*IF(MOD($G363,10)=0, 10, MOD($G363, 10))*((INDEX(Factor!$X$4:$AC$13, _xlfn.XMATCH($G363, Factor!$X$4:$X$13, 1),2)*IF(MOD(G363, 10) = 0, 10, MOD(G363, 10)))+INDEX(Factor!$AE$4:$AJ$13, _xlfn.XMATCH(MonsterData!$G363, Factor!$AE$4:$AE$13, 1),2))</f>
        <v>745200</v>
      </c>
      <c r="V363" s="21" cm="1">
        <f t="array" ref="V363">M363*VLOOKUP($I363, Factor!$B$4:$G$8, 3, 0)*VLOOKUP($J363, Factor!$B$12:$G$13, 3, 0)*VLOOKUP($K363, Factor!$B$17:$G$18, 3, 0)*VLOOKUP($H363, Factor!$J$4:$O$7, 3, 0)*VLOOKUP($F363, Factor!$Q$4:$V$15, 3, 0)*IF(MOD($G363,10)=0, 10, MOD($G363, 10))*((INDEX(Factor!$X$4:$AC$13, _xlfn.XMATCH($G363, Factor!$X$4:$X$13, 1),3)*IF(MOD(G363, 10) = 0, 10, MOD(G363, 10)))+INDEX(Factor!$AE$4:$AJ$13, _xlfn.XMATCH(MonsterData!$G363, Factor!$AE$4:$AE$13, 1),3))</f>
        <v>37260</v>
      </c>
      <c r="W363" s="21" cm="1">
        <f t="array" ref="W363">N363*VLOOKUP($I363, Factor!$B$4:$G$8, 4, 0)*VLOOKUP($J363, Factor!$B$12:$G$13, 4, 0)*VLOOKUP($K363, Factor!$B$17:$G$18, 4, 0)*VLOOKUP($H363, Factor!$J$4:$O$7, 4, 0)*VLOOKUP($F363, Factor!$Q$4:$V$15, 4, 0)*IF(MOD($G363,10)=0, 10, MOD($G363, 10))*((INDEX(Factor!$X$4:$AC$13, _xlfn.XMATCH($G363, Factor!$X$4:$X$13, 1),4)*IF(MOD(G363, 10) = 0, 10, MOD(G363, 10)))+INDEX(Factor!$AE$4:$AJ$13, _xlfn.XMATCH(MonsterData!$G363, Factor!$AE$4:$AE$13, 1),4))</f>
        <v>1863</v>
      </c>
      <c r="X363" s="21" cm="1">
        <f t="array" ref="X363">O363*VLOOKUP($I363, Factor!$B$4:$G$8, 5, 0)*VLOOKUP($J363, Factor!$B$12:$G$13, 5, 0)*VLOOKUP($K363, Factor!$B$17:$G$18, 5, 0)*VLOOKUP($H363, Factor!$J$4:$O$7, 5, 0)*VLOOKUP($F363, Factor!$Q$4:$V$15, 5, 0)*IF(MOD($G363,10)=0, 10, MOD($G363, 10))*((INDEX(Factor!$X$4:$AC$13, _xlfn.XMATCH($G363, Factor!$X$4:$X$13, 1),5)*IF(MOD(G363, 10) = 0, 10, MOD(G363, 10)))+INDEX(Factor!$AE$4:$AJ$13, _xlfn.XMATCH(MonsterData!$G363, Factor!$AE$4:$AE$13, 1),5))</f>
        <v>1987.1999999999998</v>
      </c>
      <c r="Y363" s="21" cm="1">
        <f t="array" ref="Y363">P363*VLOOKUP($I363, Factor!$B$4:$G$8, 6, 0)*VLOOKUP($J363, Factor!$B$12:$G$13, 6, 0)*VLOOKUP($K363, Factor!$B$17:$G$18, 6, 0)*VLOOKUP($H363, Factor!$J$4:$O$7, 2, 0)*VLOOKUP($F363, Factor!$Q$4:$V$15, 6, 0)*IF(MOD($G363,10)=0, 10, MOD($G363, 10))*((INDEX(Factor!$X$4:$AC$13, _xlfn.XMATCH($G363, Factor!$X$4:$X$13, 1),6)*IF(MOD(G363, 10) = 0, 10, MOD(G363, 10)))+INDEX(Factor!$AE$4:$AJ$13, _xlfn.XMATCH(MonsterData!$G363, Factor!$AE$4:$AE$13, 1),6))</f>
        <v>3974.3999999999996</v>
      </c>
      <c r="Z363" s="21">
        <f>$Q363*VLOOKUP($J363, Factor!$B$12:$H$13, 7, 0)</f>
        <v>1</v>
      </c>
      <c r="AA363" s="13">
        <v>1</v>
      </c>
      <c r="AB363" s="21">
        <f t="shared" si="17"/>
        <v>0</v>
      </c>
      <c r="AC363" s="13" t="s">
        <v>140</v>
      </c>
      <c r="AD363" s="15" t="s">
        <v>143</v>
      </c>
    </row>
    <row r="364" spans="1:30" ht="15.75" customHeight="1">
      <c r="A364" s="16" t="str">
        <f>T364&amp;"_"&amp;F364&amp;VLOOKUP($C364, Factor!$AM$4:$AY$30, 7, 0)&amp;IF(COUNTIFS($C$4:C363, C364, $F$4:F363, F364)+1&gt;=100, COUNTIFS($C$4:C363, C364, $F$4:F363, F364)+1,IF(COUNTIFS($C$4:C363, C364, $F$4:F363, F364)+1&gt;=10, "0"&amp;COUNTIFS($C$4:C363, C364, $F$4:F363, F364)+1, "00"&amp;COUNTIFS($C$4:C363, C364, $F$4:F363, F364)+1))</f>
        <v>enpc_F06_B_Banshee_002</v>
      </c>
      <c r="B364" s="16"/>
      <c r="C364" s="16" t="s">
        <v>42</v>
      </c>
      <c r="D364" s="17" t="str">
        <f t="shared" si="16"/>
        <v>밴시</v>
      </c>
      <c r="E364" s="17" t="str">
        <f>VLOOKUP($C364, Factor!$AM$4:$AY$30, 8, 0)</f>
        <v>S</v>
      </c>
      <c r="F364" s="17" t="s">
        <v>114</v>
      </c>
      <c r="G364" s="20">
        <v>86</v>
      </c>
      <c r="H364" s="16" t="s">
        <v>56</v>
      </c>
      <c r="I364" s="17" t="str">
        <f>VLOOKUP($C364, Factor!$AM$4:$AY$30, 11, 0)</f>
        <v>B</v>
      </c>
      <c r="J364" s="17" t="str">
        <f>VLOOKUP($C364, Factor!$AM$4:$AY$30, 12, 0)</f>
        <v>ra</v>
      </c>
      <c r="K364" s="17" t="str">
        <f>VLOOKUP($C364, Factor!$AM$4:$AY$30, 13, 0)</f>
        <v>L</v>
      </c>
      <c r="L364" s="17">
        <v>1</v>
      </c>
      <c r="M364" s="17">
        <v>1</v>
      </c>
      <c r="N364" s="17">
        <v>1</v>
      </c>
      <c r="O364" s="17">
        <v>1</v>
      </c>
      <c r="P364" s="17">
        <v>1</v>
      </c>
      <c r="Q364" s="17">
        <v>1</v>
      </c>
      <c r="R364" s="17" t="str">
        <f>VLOOKUP($C364, Factor!$AM$4:$AY$30, 9, 0)</f>
        <v>Midium</v>
      </c>
      <c r="S364" s="17" t="s">
        <v>198</v>
      </c>
      <c r="T364" s="17" t="str">
        <f>VLOOKUP($C364, Factor!$AM$4:$AY$30, 10, 0)</f>
        <v>enpc</v>
      </c>
      <c r="U364" s="17" cm="1">
        <f t="array" ref="U364">L364*VLOOKUP($I364, Factor!$B$4:$G$8, 2, 0)*VLOOKUP($J364, Factor!$B$12:$G$13, 2, 0)*VLOOKUP($K364, Factor!$B$17:$G$18, 2, 0)*VLOOKUP($H364, Factor!$J$4:$O$7, 2, 0)*VLOOKUP($F364, Factor!$Q$4:$V$15, 2, 0)*IF(MOD($G364,10)=0, 10, MOD($G364, 10))*((INDEX(Factor!$X$4:$AC$13, _xlfn.XMATCH($G364, Factor!$X$4:$X$13, 1),2)*IF(MOD(G364, 10) = 0, 10, MOD(G364, 10)))+INDEX(Factor!$AE$4:$AJ$13, _xlfn.XMATCH(MonsterData!$G364, Factor!$AE$4:$AE$13, 1),2))</f>
        <v>298080</v>
      </c>
      <c r="V364" s="17" cm="1">
        <f t="array" ref="V364">M364*VLOOKUP($I364, Factor!$B$4:$G$8, 3, 0)*VLOOKUP($J364, Factor!$B$12:$G$13, 3, 0)*VLOOKUP($K364, Factor!$B$17:$G$18, 3, 0)*VLOOKUP($H364, Factor!$J$4:$O$7, 3, 0)*VLOOKUP($F364, Factor!$Q$4:$V$15, 3, 0)*IF(MOD($G364,10)=0, 10, MOD($G364, 10))*((INDEX(Factor!$X$4:$AC$13, _xlfn.XMATCH($G364, Factor!$X$4:$X$13, 1),3)*IF(MOD(G364, 10) = 0, 10, MOD(G364, 10)))+INDEX(Factor!$AE$4:$AJ$13, _xlfn.XMATCH(MonsterData!$G364, Factor!$AE$4:$AE$13, 1),3))</f>
        <v>14904</v>
      </c>
      <c r="W364" s="17" cm="1">
        <f t="array" ref="W364">N364*VLOOKUP($I364, Factor!$B$4:$G$8, 4, 0)*VLOOKUP($J364, Factor!$B$12:$G$13, 4, 0)*VLOOKUP($K364, Factor!$B$17:$G$18, 4, 0)*VLOOKUP($H364, Factor!$J$4:$O$7, 4, 0)*VLOOKUP($F364, Factor!$Q$4:$V$15, 4, 0)*IF(MOD($G364,10)=0, 10, MOD($G364, 10))*((INDEX(Factor!$X$4:$AC$13, _xlfn.XMATCH($G364, Factor!$X$4:$X$13, 1),4)*IF(MOD(G364, 10) = 0, 10, MOD(G364, 10)))+INDEX(Factor!$AE$4:$AJ$13, _xlfn.XMATCH(MonsterData!$G364, Factor!$AE$4:$AE$13, 1),4))</f>
        <v>44712</v>
      </c>
      <c r="X364" s="17" cm="1">
        <f t="array" ref="X364">O364*VLOOKUP($I364, Factor!$B$4:$G$8, 5, 0)*VLOOKUP($J364, Factor!$B$12:$G$13, 5, 0)*VLOOKUP($K364, Factor!$B$17:$G$18, 5, 0)*VLOOKUP($H364, Factor!$J$4:$O$7, 5, 0)*VLOOKUP($F364, Factor!$Q$4:$V$15, 5, 0)*IF(MOD($G364,10)=0, 10, MOD($G364, 10))*((INDEX(Factor!$X$4:$AC$13, _xlfn.XMATCH($G364, Factor!$X$4:$X$13, 1),5)*IF(MOD(G364, 10) = 0, 10, MOD(G364, 10)))+INDEX(Factor!$AE$4:$AJ$13, _xlfn.XMATCH(MonsterData!$G364, Factor!$AE$4:$AE$13, 1),5))</f>
        <v>1341.3600000000001</v>
      </c>
      <c r="Y364" s="17" cm="1">
        <f t="array" ref="Y364">P364*VLOOKUP($I364, Factor!$B$4:$G$8, 6, 0)*VLOOKUP($J364, Factor!$B$12:$G$13, 6, 0)*VLOOKUP($K364, Factor!$B$17:$G$18, 6, 0)*VLOOKUP($H364, Factor!$J$4:$O$7, 2, 0)*VLOOKUP($F364, Factor!$Q$4:$V$15, 6, 0)*IF(MOD($G364,10)=0, 10, MOD($G364, 10))*((INDEX(Factor!$X$4:$AC$13, _xlfn.XMATCH($G364, Factor!$X$4:$X$13, 1),6)*IF(MOD(G364, 10) = 0, 10, MOD(G364, 10)))+INDEX(Factor!$AE$4:$AJ$13, _xlfn.XMATCH(MonsterData!$G364, Factor!$AE$4:$AE$13, 1),6))</f>
        <v>1987.1999999999998</v>
      </c>
      <c r="Z364" s="17">
        <f>$Q364*VLOOKUP($J364, Factor!$B$12:$H$13, 7, 0)</f>
        <v>4</v>
      </c>
      <c r="AA364" s="17">
        <v>1</v>
      </c>
      <c r="AB364" s="17">
        <f t="shared" si="17"/>
        <v>4</v>
      </c>
      <c r="AC364" s="17" t="s">
        <v>141</v>
      </c>
      <c r="AD364" s="19" t="s">
        <v>144</v>
      </c>
    </row>
    <row r="365" spans="1:30" ht="15.75" customHeight="1">
      <c r="A365" s="13" t="str">
        <f>T365&amp;"_"&amp;F365&amp;VLOOKUP($C365, Factor!$AM$4:$AY$30, 7, 0)&amp;IF(COUNTIFS($C$4:C364, C365, $F$4:F364, F365)+1&gt;=100, COUNTIFS($C$4:C364, C365, $F$4:F364, F365)+1,IF(COUNTIFS($C$4:C364, C365, $F$4:F364, F365)+1&gt;=10, "0"&amp;COUNTIFS($C$4:C364, C365, $F$4:F364, F365)+1, "00"&amp;COUNTIFS($C$4:C364, C365, $F$4:F364, F365)+1))</f>
        <v>enpc_F06_A_Scarab_002</v>
      </c>
      <c r="B365" s="13"/>
      <c r="C365" s="13" t="s">
        <v>353</v>
      </c>
      <c r="D365" s="21" t="str">
        <f t="shared" si="16"/>
        <v>스캐럽</v>
      </c>
      <c r="E365" s="21" t="str">
        <f>VLOOKUP($C365, Factor!$AM$4:$AY$30, 8, 0)</f>
        <v>S</v>
      </c>
      <c r="F365" s="21" t="s">
        <v>114</v>
      </c>
      <c r="G365" s="22">
        <v>55</v>
      </c>
      <c r="H365" s="13" t="s">
        <v>55</v>
      </c>
      <c r="I365" s="21" t="str">
        <f>VLOOKUP($C365, Factor!$AM$4:$AY$30, 11, 0)</f>
        <v>A</v>
      </c>
      <c r="J365" s="21" t="str">
        <f>VLOOKUP($C365, Factor!$AM$4:$AY$30, 12, 0)</f>
        <v>ml</v>
      </c>
      <c r="K365" s="21" t="str">
        <f>VLOOKUP($C365, Factor!$AM$4:$AY$30, 13, 0)</f>
        <v>L</v>
      </c>
      <c r="L365" s="13">
        <v>1</v>
      </c>
      <c r="M365" s="13">
        <v>1</v>
      </c>
      <c r="N365" s="13">
        <v>1</v>
      </c>
      <c r="O365" s="13">
        <v>1</v>
      </c>
      <c r="P365" s="13">
        <v>1</v>
      </c>
      <c r="Q365" s="13">
        <v>1</v>
      </c>
      <c r="R365" s="21" t="str">
        <f>VLOOKUP($C365, Factor!$AM$4:$AY$30, 9, 0)</f>
        <v>Midium</v>
      </c>
      <c r="S365" s="13" t="s">
        <v>399</v>
      </c>
      <c r="T365" s="21" t="str">
        <f>VLOOKUP($C365, Factor!$AM$4:$AY$30, 10, 0)</f>
        <v>enpc</v>
      </c>
      <c r="U365" s="21" cm="1">
        <f t="array" ref="U365">L365*VLOOKUP($I365, Factor!$B$4:$G$8, 2, 0)*VLOOKUP($J365, Factor!$B$12:$G$13, 2, 0)*VLOOKUP($K365, Factor!$B$17:$G$18, 2, 0)*VLOOKUP($H365, Factor!$J$4:$O$7, 2, 0)*VLOOKUP($F365, Factor!$Q$4:$V$15, 2, 0)*IF(MOD($G365,10)=0, 10, MOD($G365, 10))*((INDEX(Factor!$X$4:$AC$13, _xlfn.XMATCH($G365, Factor!$X$4:$X$13, 1),2)*IF(MOD(G365, 10) = 0, 10, MOD(G365, 10)))+INDEX(Factor!$AE$4:$AJ$13, _xlfn.XMATCH(MonsterData!$G365, Factor!$AE$4:$AE$13, 1),2))</f>
        <v>27000</v>
      </c>
      <c r="V365" s="21" cm="1">
        <f t="array" ref="V365">M365*VLOOKUP($I365, Factor!$B$4:$G$8, 3, 0)*VLOOKUP($J365, Factor!$B$12:$G$13, 3, 0)*VLOOKUP($K365, Factor!$B$17:$G$18, 3, 0)*VLOOKUP($H365, Factor!$J$4:$O$7, 3, 0)*VLOOKUP($F365, Factor!$Q$4:$V$15, 3, 0)*IF(MOD($G365,10)=0, 10, MOD($G365, 10))*((INDEX(Factor!$X$4:$AC$13, _xlfn.XMATCH($G365, Factor!$X$4:$X$13, 1),3)*IF(MOD(G365, 10) = 0, 10, MOD(G365, 10)))+INDEX(Factor!$AE$4:$AJ$13, _xlfn.XMATCH(MonsterData!$G365, Factor!$AE$4:$AE$13, 1),3))</f>
        <v>1350</v>
      </c>
      <c r="W365" s="21" cm="1">
        <f t="array" ref="W365">N365*VLOOKUP($I365, Factor!$B$4:$G$8, 4, 0)*VLOOKUP($J365, Factor!$B$12:$G$13, 4, 0)*VLOOKUP($K365, Factor!$B$17:$G$18, 4, 0)*VLOOKUP($H365, Factor!$J$4:$O$7, 4, 0)*VLOOKUP($F365, Factor!$Q$4:$V$15, 4, 0)*IF(MOD($G365,10)=0, 10, MOD($G365, 10))*((INDEX(Factor!$X$4:$AC$13, _xlfn.XMATCH($G365, Factor!$X$4:$X$13, 1),4)*IF(MOD(G365, 10) = 0, 10, MOD(G365, 10)))+INDEX(Factor!$AE$4:$AJ$13, _xlfn.XMATCH(MonsterData!$G365, Factor!$AE$4:$AE$13, 1),4))</f>
        <v>810</v>
      </c>
      <c r="X365" s="21" cm="1">
        <f t="array" ref="X365">O365*VLOOKUP($I365, Factor!$B$4:$G$8, 5, 0)*VLOOKUP($J365, Factor!$B$12:$G$13, 5, 0)*VLOOKUP($K365, Factor!$B$17:$G$18, 5, 0)*VLOOKUP($H365, Factor!$J$4:$O$7, 5, 0)*VLOOKUP($F365, Factor!$Q$4:$V$15, 5, 0)*IF(MOD($G365,10)=0, 10, MOD($G365, 10))*((INDEX(Factor!$X$4:$AC$13, _xlfn.XMATCH($G365, Factor!$X$4:$X$13, 1),5)*IF(MOD(G365, 10) = 0, 10, MOD(G365, 10)))+INDEX(Factor!$AE$4:$AJ$13, _xlfn.XMATCH(MonsterData!$G365, Factor!$AE$4:$AE$13, 1),5))</f>
        <v>180</v>
      </c>
      <c r="Y365" s="21" cm="1">
        <f t="array" ref="Y365">P365*VLOOKUP($I365, Factor!$B$4:$G$8, 6, 0)*VLOOKUP($J365, Factor!$B$12:$G$13, 6, 0)*VLOOKUP($K365, Factor!$B$17:$G$18, 6, 0)*VLOOKUP($H365, Factor!$J$4:$O$7, 2, 0)*VLOOKUP($F365, Factor!$Q$4:$V$15, 6, 0)*IF(MOD($G365,10)=0, 10, MOD($G365, 10))*((INDEX(Factor!$X$4:$AC$13, _xlfn.XMATCH($G365, Factor!$X$4:$X$13, 1),6)*IF(MOD(G365, 10) = 0, 10, MOD(G365, 10)))+INDEX(Factor!$AE$4:$AJ$13, _xlfn.XMATCH(MonsterData!$G365, Factor!$AE$4:$AE$13, 1),6))</f>
        <v>900</v>
      </c>
      <c r="Z365" s="21">
        <f>$Q365*VLOOKUP($J365, Factor!$B$12:$H$13, 7, 0)</f>
        <v>1</v>
      </c>
      <c r="AA365" s="13">
        <v>1</v>
      </c>
      <c r="AB365" s="21">
        <f t="shared" si="17"/>
        <v>0</v>
      </c>
      <c r="AC365" s="13" t="s">
        <v>139</v>
      </c>
      <c r="AD365" s="15" t="s">
        <v>387</v>
      </c>
    </row>
    <row r="366" spans="1:30" ht="15.75" customHeight="1">
      <c r="A366" s="16" t="str">
        <f>T366&amp;"_"&amp;F366&amp;VLOOKUP($C366, Factor!$AM$4:$AY$30, 7, 0)&amp;IF(COUNTIFS($C$4:C365, C366, $F$4:F365, F366)+1&gt;=100, COUNTIFS($C$4:C365, C366, $F$4:F365, F366)+1,IF(COUNTIFS($C$4:C365, C366, $F$4:F365, F366)+1&gt;=10, "0"&amp;COUNTIFS($C$4:C365, C366, $F$4:F365, F366)+1, "00"&amp;COUNTIFS($C$4:C365, C366, $F$4:F365, F366)+1))</f>
        <v>enpc_F06_A_Swarmlet_002</v>
      </c>
      <c r="B366" s="16"/>
      <c r="C366" s="16" t="s">
        <v>355</v>
      </c>
      <c r="D366" s="17" t="str">
        <f t="shared" si="16"/>
        <v>스웜렛</v>
      </c>
      <c r="E366" s="17" t="str">
        <f>VLOOKUP($C366, Factor!$AM$4:$AY$30, 8, 0)</f>
        <v>B</v>
      </c>
      <c r="F366" s="17" t="s">
        <v>114</v>
      </c>
      <c r="G366" s="20">
        <v>55</v>
      </c>
      <c r="H366" s="16" t="s">
        <v>56</v>
      </c>
      <c r="I366" s="17" t="str">
        <f>VLOOKUP($C366, Factor!$AM$4:$AY$30, 11, 0)</f>
        <v>A</v>
      </c>
      <c r="J366" s="17" t="str">
        <f>VLOOKUP($C366, Factor!$AM$4:$AY$30, 12, 0)</f>
        <v>ml</v>
      </c>
      <c r="K366" s="17" t="str">
        <f>VLOOKUP($C366, Factor!$AM$4:$AY$30, 13, 0)</f>
        <v>L</v>
      </c>
      <c r="L366" s="17">
        <v>1</v>
      </c>
      <c r="M366" s="17">
        <v>1</v>
      </c>
      <c r="N366" s="17">
        <v>1</v>
      </c>
      <c r="O366" s="17">
        <v>1</v>
      </c>
      <c r="P366" s="17">
        <v>1</v>
      </c>
      <c r="Q366" s="17">
        <v>1</v>
      </c>
      <c r="R366" s="17" t="str">
        <f>VLOOKUP($C366, Factor!$AM$4:$AY$30, 9, 0)</f>
        <v>Small</v>
      </c>
      <c r="S366" s="17" t="s">
        <v>376</v>
      </c>
      <c r="T366" s="17" t="str">
        <f>VLOOKUP($C366, Factor!$AM$4:$AY$30, 10, 0)</f>
        <v>enpc</v>
      </c>
      <c r="U366" s="17" cm="1">
        <f t="array" ref="U366">L366*VLOOKUP($I366, Factor!$B$4:$G$8, 2, 0)*VLOOKUP($J366, Factor!$B$12:$G$13, 2, 0)*VLOOKUP($K366, Factor!$B$17:$G$18, 2, 0)*VLOOKUP($H366, Factor!$J$4:$O$7, 2, 0)*VLOOKUP($F366, Factor!$Q$4:$V$15, 2, 0)*IF(MOD($G366,10)=0, 10, MOD($G366, 10))*((INDEX(Factor!$X$4:$AC$13, _xlfn.XMATCH($G366, Factor!$X$4:$X$13, 1),2)*IF(MOD(G366, 10) = 0, 10, MOD(G366, 10)))+INDEX(Factor!$AE$4:$AJ$13, _xlfn.XMATCH(MonsterData!$G366, Factor!$AE$4:$AE$13, 1),2))</f>
        <v>27000</v>
      </c>
      <c r="V366" s="17" cm="1">
        <f t="array" ref="V366">M366*VLOOKUP($I366, Factor!$B$4:$G$8, 3, 0)*VLOOKUP($J366, Factor!$B$12:$G$13, 3, 0)*VLOOKUP($K366, Factor!$B$17:$G$18, 3, 0)*VLOOKUP($H366, Factor!$J$4:$O$7, 3, 0)*VLOOKUP($F366, Factor!$Q$4:$V$15, 3, 0)*IF(MOD($G366,10)=0, 10, MOD($G366, 10))*((INDEX(Factor!$X$4:$AC$13, _xlfn.XMATCH($G366, Factor!$X$4:$X$13, 1),3)*IF(MOD(G366, 10) = 0, 10, MOD(G366, 10)))+INDEX(Factor!$AE$4:$AJ$13, _xlfn.XMATCH(MonsterData!$G366, Factor!$AE$4:$AE$13, 1),3))</f>
        <v>1350</v>
      </c>
      <c r="W366" s="17" cm="1">
        <f t="array" ref="W366">N366*VLOOKUP($I366, Factor!$B$4:$G$8, 4, 0)*VLOOKUP($J366, Factor!$B$12:$G$13, 4, 0)*VLOOKUP($K366, Factor!$B$17:$G$18, 4, 0)*VLOOKUP($H366, Factor!$J$4:$O$7, 4, 0)*VLOOKUP($F366, Factor!$Q$4:$V$15, 4, 0)*IF(MOD($G366,10)=0, 10, MOD($G366, 10))*((INDEX(Factor!$X$4:$AC$13, _xlfn.XMATCH($G366, Factor!$X$4:$X$13, 1),4)*IF(MOD(G366, 10) = 0, 10, MOD(G366, 10)))+INDEX(Factor!$AE$4:$AJ$13, _xlfn.XMATCH(MonsterData!$G366, Factor!$AE$4:$AE$13, 1),4))</f>
        <v>1620</v>
      </c>
      <c r="X366" s="17" cm="1">
        <f t="array" ref="X366">O366*VLOOKUP($I366, Factor!$B$4:$G$8, 5, 0)*VLOOKUP($J366, Factor!$B$12:$G$13, 5, 0)*VLOOKUP($K366, Factor!$B$17:$G$18, 5, 0)*VLOOKUP($H366, Factor!$J$4:$O$7, 5, 0)*VLOOKUP($F366, Factor!$Q$4:$V$15, 5, 0)*IF(MOD($G366,10)=0, 10, MOD($G366, 10))*((INDEX(Factor!$X$4:$AC$13, _xlfn.XMATCH($G366, Factor!$X$4:$X$13, 1),5)*IF(MOD(G366, 10) = 0, 10, MOD(G366, 10)))+INDEX(Factor!$AE$4:$AJ$13, _xlfn.XMATCH(MonsterData!$G366, Factor!$AE$4:$AE$13, 1),5))</f>
        <v>162</v>
      </c>
      <c r="Y366" s="17" cm="1">
        <f t="array" ref="Y366">P366*VLOOKUP($I366, Factor!$B$4:$G$8, 6, 0)*VLOOKUP($J366, Factor!$B$12:$G$13, 6, 0)*VLOOKUP($K366, Factor!$B$17:$G$18, 6, 0)*VLOOKUP($H366, Factor!$J$4:$O$7, 2, 0)*VLOOKUP($F366, Factor!$Q$4:$V$15, 6, 0)*IF(MOD($G366,10)=0, 10, MOD($G366, 10))*((INDEX(Factor!$X$4:$AC$13, _xlfn.XMATCH($G366, Factor!$X$4:$X$13, 1),6)*IF(MOD(G366, 10) = 0, 10, MOD(G366, 10)))+INDEX(Factor!$AE$4:$AJ$13, _xlfn.XMATCH(MonsterData!$G366, Factor!$AE$4:$AE$13, 1),6))</f>
        <v>900</v>
      </c>
      <c r="Z366" s="17">
        <f>$Q366*VLOOKUP($J366, Factor!$B$12:$H$13, 7, 0)</f>
        <v>1</v>
      </c>
      <c r="AA366" s="17">
        <v>1</v>
      </c>
      <c r="AB366" s="17">
        <f t="shared" si="17"/>
        <v>0</v>
      </c>
      <c r="AC366" s="17" t="s">
        <v>139</v>
      </c>
      <c r="AD366" s="19" t="s">
        <v>387</v>
      </c>
    </row>
    <row r="367" spans="1:30" ht="15.75" customHeight="1">
      <c r="A367" s="13" t="str">
        <f>T367&amp;"_"&amp;F367&amp;VLOOKUP($C367, Factor!$AM$4:$AY$30, 7, 0)&amp;IF(COUNTIFS($C$4:C366, C367, $F$4:F366, F367)+1&gt;=100, COUNTIFS($C$4:C366, C367, $F$4:F366, F367)+1,IF(COUNTIFS($C$4:C366, C367, $F$4:F366, F367)+1&gt;=10, "0"&amp;COUNTIFS($C$4:C366, C367, $F$4:F366, F367)+1, "00"&amp;COUNTIFS($C$4:C366, C367, $F$4:F366, F367)+1))</f>
        <v>enpc_F06_A_Mantis_002</v>
      </c>
      <c r="B367" s="13"/>
      <c r="C367" s="13" t="s">
        <v>357</v>
      </c>
      <c r="D367" s="21" t="str">
        <f t="shared" si="16"/>
        <v>맨티스</v>
      </c>
      <c r="E367" s="21" t="str">
        <f>VLOOKUP($C367, Factor!$AM$4:$AY$30, 8, 0)</f>
        <v>S</v>
      </c>
      <c r="F367" s="21" t="s">
        <v>114</v>
      </c>
      <c r="G367" s="22">
        <v>55</v>
      </c>
      <c r="H367" s="13" t="s">
        <v>55</v>
      </c>
      <c r="I367" s="21" t="str">
        <f>VLOOKUP($C367, Factor!$AM$4:$AY$30, 11, 0)</f>
        <v>A</v>
      </c>
      <c r="J367" s="21" t="str">
        <f>VLOOKUP($C367, Factor!$AM$4:$AY$30, 12, 0)</f>
        <v>ml</v>
      </c>
      <c r="K367" s="21" t="str">
        <f>VLOOKUP($C367, Factor!$AM$4:$AY$30, 13, 0)</f>
        <v>L</v>
      </c>
      <c r="L367" s="13">
        <v>1</v>
      </c>
      <c r="M367" s="13">
        <v>1</v>
      </c>
      <c r="N367" s="13">
        <v>1</v>
      </c>
      <c r="O367" s="13">
        <v>1</v>
      </c>
      <c r="P367" s="13">
        <v>1</v>
      </c>
      <c r="Q367" s="13">
        <v>1</v>
      </c>
      <c r="R367" s="21" t="str">
        <f>VLOOKUP($C367, Factor!$AM$4:$AY$30, 9, 0)</f>
        <v>Small</v>
      </c>
      <c r="S367" s="13" t="s">
        <v>400</v>
      </c>
      <c r="T367" s="21" t="str">
        <f>VLOOKUP($C367, Factor!$AM$4:$AY$30, 10, 0)</f>
        <v>enpc</v>
      </c>
      <c r="U367" s="21" cm="1">
        <f t="array" ref="U367">L367*VLOOKUP($I367, Factor!$B$4:$G$8, 2, 0)*VLOOKUP($J367, Factor!$B$12:$G$13, 2, 0)*VLOOKUP($K367, Factor!$B$17:$G$18, 2, 0)*VLOOKUP($H367, Factor!$J$4:$O$7, 2, 0)*VLOOKUP($F367, Factor!$Q$4:$V$15, 2, 0)*IF(MOD($G367,10)=0, 10, MOD($G367, 10))*((INDEX(Factor!$X$4:$AC$13, _xlfn.XMATCH($G367, Factor!$X$4:$X$13, 1),2)*IF(MOD(G367, 10) = 0, 10, MOD(G367, 10)))+INDEX(Factor!$AE$4:$AJ$13, _xlfn.XMATCH(MonsterData!$G367, Factor!$AE$4:$AE$13, 1),2))</f>
        <v>27000</v>
      </c>
      <c r="V367" s="21" cm="1">
        <f t="array" ref="V367">M367*VLOOKUP($I367, Factor!$B$4:$G$8, 3, 0)*VLOOKUP($J367, Factor!$B$12:$G$13, 3, 0)*VLOOKUP($K367, Factor!$B$17:$G$18, 3, 0)*VLOOKUP($H367, Factor!$J$4:$O$7, 3, 0)*VLOOKUP($F367, Factor!$Q$4:$V$15, 3, 0)*IF(MOD($G367,10)=0, 10, MOD($G367, 10))*((INDEX(Factor!$X$4:$AC$13, _xlfn.XMATCH($G367, Factor!$X$4:$X$13, 1),3)*IF(MOD(G367, 10) = 0, 10, MOD(G367, 10)))+INDEX(Factor!$AE$4:$AJ$13, _xlfn.XMATCH(MonsterData!$G367, Factor!$AE$4:$AE$13, 1),3))</f>
        <v>1350</v>
      </c>
      <c r="W367" s="21" cm="1">
        <f t="array" ref="W367">N367*VLOOKUP($I367, Factor!$B$4:$G$8, 4, 0)*VLOOKUP($J367, Factor!$B$12:$G$13, 4, 0)*VLOOKUP($K367, Factor!$B$17:$G$18, 4, 0)*VLOOKUP($H367, Factor!$J$4:$O$7, 4, 0)*VLOOKUP($F367, Factor!$Q$4:$V$15, 4, 0)*IF(MOD($G367,10)=0, 10, MOD($G367, 10))*((INDEX(Factor!$X$4:$AC$13, _xlfn.XMATCH($G367, Factor!$X$4:$X$13, 1),4)*IF(MOD(G367, 10) = 0, 10, MOD(G367, 10)))+INDEX(Factor!$AE$4:$AJ$13, _xlfn.XMATCH(MonsterData!$G367, Factor!$AE$4:$AE$13, 1),4))</f>
        <v>810</v>
      </c>
      <c r="X367" s="21" cm="1">
        <f t="array" ref="X367">O367*VLOOKUP($I367, Factor!$B$4:$G$8, 5, 0)*VLOOKUP($J367, Factor!$B$12:$G$13, 5, 0)*VLOOKUP($K367, Factor!$B$17:$G$18, 5, 0)*VLOOKUP($H367, Factor!$J$4:$O$7, 5, 0)*VLOOKUP($F367, Factor!$Q$4:$V$15, 5, 0)*IF(MOD($G367,10)=0, 10, MOD($G367, 10))*((INDEX(Factor!$X$4:$AC$13, _xlfn.XMATCH($G367, Factor!$X$4:$X$13, 1),5)*IF(MOD(G367, 10) = 0, 10, MOD(G367, 10)))+INDEX(Factor!$AE$4:$AJ$13, _xlfn.XMATCH(MonsterData!$G367, Factor!$AE$4:$AE$13, 1),5))</f>
        <v>180</v>
      </c>
      <c r="Y367" s="21" cm="1">
        <f t="array" ref="Y367">P367*VLOOKUP($I367, Factor!$B$4:$G$8, 6, 0)*VLOOKUP($J367, Factor!$B$12:$G$13, 6, 0)*VLOOKUP($K367, Factor!$B$17:$G$18, 6, 0)*VLOOKUP($H367, Factor!$J$4:$O$7, 2, 0)*VLOOKUP($F367, Factor!$Q$4:$V$15, 6, 0)*IF(MOD($G367,10)=0, 10, MOD($G367, 10))*((INDEX(Factor!$X$4:$AC$13, _xlfn.XMATCH($G367, Factor!$X$4:$X$13, 1),6)*IF(MOD(G367, 10) = 0, 10, MOD(G367, 10)))+INDEX(Factor!$AE$4:$AJ$13, _xlfn.XMATCH(MonsterData!$G367, Factor!$AE$4:$AE$13, 1),6))</f>
        <v>900</v>
      </c>
      <c r="Z367" s="21">
        <f>$Q367*VLOOKUP($J367, Factor!$B$12:$H$13, 7, 0)</f>
        <v>1</v>
      </c>
      <c r="AA367" s="13">
        <v>1</v>
      </c>
      <c r="AB367" s="21">
        <f t="shared" si="17"/>
        <v>0</v>
      </c>
      <c r="AC367" s="13" t="s">
        <v>139</v>
      </c>
      <c r="AD367" s="15" t="s">
        <v>387</v>
      </c>
    </row>
    <row r="368" spans="1:30" ht="15.75" customHeight="1">
      <c r="A368" s="16" t="str">
        <f>T368&amp;"_"&amp;F368&amp;VLOOKUP($C368, Factor!$AM$4:$AY$30, 7, 0)&amp;IF(COUNTIFS($C$4:C367, C368, $F$4:F367, F368)+1&gt;=100, COUNTIFS($C$4:C367, C368, $F$4:F367, F368)+1,IF(COUNTIFS($C$4:C367, C368, $F$4:F367, F368)+1&gt;=10, "0"&amp;COUNTIFS($C$4:C367, C368, $F$4:F367, F368)+1, "00"&amp;COUNTIFS($C$4:C367, C368, $F$4:F367, F368)+1))</f>
        <v>enpc_F06_B_Kobold_002</v>
      </c>
      <c r="B368" s="16"/>
      <c r="C368" s="16" t="s">
        <v>359</v>
      </c>
      <c r="D368" s="17" t="str">
        <f t="shared" si="16"/>
        <v>코볼트</v>
      </c>
      <c r="E368" s="17" t="str">
        <f>VLOOKUP($C368, Factor!$AM$4:$AY$30, 8, 0)</f>
        <v>M</v>
      </c>
      <c r="F368" s="17" t="s">
        <v>114</v>
      </c>
      <c r="G368" s="20">
        <v>86</v>
      </c>
      <c r="H368" s="16" t="s">
        <v>56</v>
      </c>
      <c r="I368" s="17" t="str">
        <f>VLOOKUP($C368, Factor!$AM$4:$AY$30, 11, 0)</f>
        <v>B</v>
      </c>
      <c r="J368" s="17" t="str">
        <f>VLOOKUP($C368, Factor!$AM$4:$AY$30, 12, 0)</f>
        <v>ml</v>
      </c>
      <c r="K368" s="17" t="str">
        <f>VLOOKUP($C368, Factor!$AM$4:$AY$30, 13, 0)</f>
        <v>L</v>
      </c>
      <c r="L368" s="17">
        <v>1</v>
      </c>
      <c r="M368" s="17">
        <v>1</v>
      </c>
      <c r="N368" s="17">
        <v>1</v>
      </c>
      <c r="O368" s="17">
        <v>1</v>
      </c>
      <c r="P368" s="17">
        <v>1</v>
      </c>
      <c r="Q368" s="17">
        <v>1</v>
      </c>
      <c r="R368" s="17" t="str">
        <f>VLOOKUP($C368, Factor!$AM$4:$AY$30, 9, 0)</f>
        <v>Small</v>
      </c>
      <c r="S368" s="17" t="s">
        <v>378</v>
      </c>
      <c r="T368" s="17" t="str">
        <f>VLOOKUP($C368, Factor!$AM$4:$AY$30, 10, 0)</f>
        <v>enpc</v>
      </c>
      <c r="U368" s="17" cm="1">
        <f t="array" ref="U368">L368*VLOOKUP($I368, Factor!$B$4:$G$8, 2, 0)*VLOOKUP($J368, Factor!$B$12:$G$13, 2, 0)*VLOOKUP($K368, Factor!$B$17:$G$18, 2, 0)*VLOOKUP($H368, Factor!$J$4:$O$7, 2, 0)*VLOOKUP($F368, Factor!$Q$4:$V$15, 2, 0)*IF(MOD($G368,10)=0, 10, MOD($G368, 10))*((INDEX(Factor!$X$4:$AC$13, _xlfn.XMATCH($G368, Factor!$X$4:$X$13, 1),2)*IF(MOD(G368, 10) = 0, 10, MOD(G368, 10)))+INDEX(Factor!$AE$4:$AJ$13, _xlfn.XMATCH(MonsterData!$G368, Factor!$AE$4:$AE$13, 1),2))</f>
        <v>372600</v>
      </c>
      <c r="V368" s="17" cm="1">
        <f t="array" ref="V368">M368*VLOOKUP($I368, Factor!$B$4:$G$8, 3, 0)*VLOOKUP($J368, Factor!$B$12:$G$13, 3, 0)*VLOOKUP($K368, Factor!$B$17:$G$18, 3, 0)*VLOOKUP($H368, Factor!$J$4:$O$7, 3, 0)*VLOOKUP($F368, Factor!$Q$4:$V$15, 3, 0)*IF(MOD($G368,10)=0, 10, MOD($G368, 10))*((INDEX(Factor!$X$4:$AC$13, _xlfn.XMATCH($G368, Factor!$X$4:$X$13, 1),3)*IF(MOD(G368, 10) = 0, 10, MOD(G368, 10)))+INDEX(Factor!$AE$4:$AJ$13, _xlfn.XMATCH(MonsterData!$G368, Factor!$AE$4:$AE$13, 1),3))</f>
        <v>18630</v>
      </c>
      <c r="W368" s="17" cm="1">
        <f t="array" ref="W368">N368*VLOOKUP($I368, Factor!$B$4:$G$8, 4, 0)*VLOOKUP($J368, Factor!$B$12:$G$13, 4, 0)*VLOOKUP($K368, Factor!$B$17:$G$18, 4, 0)*VLOOKUP($H368, Factor!$J$4:$O$7, 4, 0)*VLOOKUP($F368, Factor!$Q$4:$V$15, 4, 0)*IF(MOD($G368,10)=0, 10, MOD($G368, 10))*((INDEX(Factor!$X$4:$AC$13, _xlfn.XMATCH($G368, Factor!$X$4:$X$13, 1),4)*IF(MOD(G368, 10) = 0, 10, MOD(G368, 10)))+INDEX(Factor!$AE$4:$AJ$13, _xlfn.XMATCH(MonsterData!$G368, Factor!$AE$4:$AE$13, 1),4))</f>
        <v>37260</v>
      </c>
      <c r="X368" s="17" cm="1">
        <f t="array" ref="X368">O368*VLOOKUP($I368, Factor!$B$4:$G$8, 5, 0)*VLOOKUP($J368, Factor!$B$12:$G$13, 5, 0)*VLOOKUP($K368, Factor!$B$17:$G$18, 5, 0)*VLOOKUP($H368, Factor!$J$4:$O$7, 5, 0)*VLOOKUP($F368, Factor!$Q$4:$V$15, 5, 0)*IF(MOD($G368,10)=0, 10, MOD($G368, 10))*((INDEX(Factor!$X$4:$AC$13, _xlfn.XMATCH($G368, Factor!$X$4:$X$13, 1),5)*IF(MOD(G368, 10) = 0, 10, MOD(G368, 10)))+INDEX(Factor!$AE$4:$AJ$13, _xlfn.XMATCH(MonsterData!$G368, Factor!$AE$4:$AE$13, 1),5))</f>
        <v>894.24</v>
      </c>
      <c r="Y368" s="17" cm="1">
        <f t="array" ref="Y368">P368*VLOOKUP($I368, Factor!$B$4:$G$8, 6, 0)*VLOOKUP($J368, Factor!$B$12:$G$13, 6, 0)*VLOOKUP($K368, Factor!$B$17:$G$18, 6, 0)*VLOOKUP($H368, Factor!$J$4:$O$7, 2, 0)*VLOOKUP($F368, Factor!$Q$4:$V$15, 6, 0)*IF(MOD($G368,10)=0, 10, MOD($G368, 10))*((INDEX(Factor!$X$4:$AC$13, _xlfn.XMATCH($G368, Factor!$X$4:$X$13, 1),6)*IF(MOD(G368, 10) = 0, 10, MOD(G368, 10)))+INDEX(Factor!$AE$4:$AJ$13, _xlfn.XMATCH(MonsterData!$G368, Factor!$AE$4:$AE$13, 1),6))</f>
        <v>1987.1999999999998</v>
      </c>
      <c r="Z368" s="17">
        <f>$Q368*VLOOKUP($J368, Factor!$B$12:$H$13, 7, 0)</f>
        <v>1</v>
      </c>
      <c r="AA368" s="17">
        <v>1</v>
      </c>
      <c r="AB368" s="17">
        <f t="shared" si="17"/>
        <v>0</v>
      </c>
      <c r="AC368" s="17" t="s">
        <v>393</v>
      </c>
      <c r="AD368" s="19" t="s">
        <v>388</v>
      </c>
    </row>
    <row r="369" spans="1:30" ht="15.75" customHeight="1">
      <c r="A369" s="13" t="str">
        <f>T369&amp;"_"&amp;F369&amp;VLOOKUP($C369, Factor!$AM$4:$AY$30, 7, 0)&amp;IF(COUNTIFS($C$4:C368, C369, $F$4:F368, F369)+1&gt;=100, COUNTIFS($C$4:C368, C369, $F$4:F368, F369)+1,IF(COUNTIFS($C$4:C368, C369, $F$4:F368, F369)+1&gt;=10, "0"&amp;COUNTIFS($C$4:C368, C369, $F$4:F368, F369)+1, "00"&amp;COUNTIFS($C$4:C368, C369, $F$4:F368, F369)+1))</f>
        <v>enpc_F06_B_Ghoul_002</v>
      </c>
      <c r="B369" s="13"/>
      <c r="C369" s="13" t="s">
        <v>361</v>
      </c>
      <c r="D369" s="21" t="str">
        <f t="shared" si="16"/>
        <v>구울</v>
      </c>
      <c r="E369" s="21" t="str">
        <f>VLOOKUP($C369, Factor!$AM$4:$AY$30, 8, 0)</f>
        <v>M</v>
      </c>
      <c r="F369" s="21" t="s">
        <v>114</v>
      </c>
      <c r="G369" s="22">
        <v>86</v>
      </c>
      <c r="H369" s="13" t="s">
        <v>55</v>
      </c>
      <c r="I369" s="21" t="str">
        <f>VLOOKUP($C369, Factor!$AM$4:$AY$30, 11, 0)</f>
        <v>B</v>
      </c>
      <c r="J369" s="21" t="str">
        <f>VLOOKUP($C369, Factor!$AM$4:$AY$30, 12, 0)</f>
        <v>ml</v>
      </c>
      <c r="K369" s="21" t="str">
        <f>VLOOKUP($C369, Factor!$AM$4:$AY$30, 13, 0)</f>
        <v>L</v>
      </c>
      <c r="L369" s="13">
        <v>1</v>
      </c>
      <c r="M369" s="13">
        <v>1</v>
      </c>
      <c r="N369" s="13">
        <v>1</v>
      </c>
      <c r="O369" s="13">
        <v>1</v>
      </c>
      <c r="P369" s="13">
        <v>1</v>
      </c>
      <c r="Q369" s="13">
        <v>1</v>
      </c>
      <c r="R369" s="21" t="str">
        <f>VLOOKUP($C369, Factor!$AM$4:$AY$30, 9, 0)</f>
        <v>Midium</v>
      </c>
      <c r="S369" s="13" t="s">
        <v>401</v>
      </c>
      <c r="T369" s="21" t="str">
        <f>VLOOKUP($C369, Factor!$AM$4:$AY$30, 10, 0)</f>
        <v>enpc</v>
      </c>
      <c r="U369" s="21" cm="1">
        <f t="array" ref="U369">L369*VLOOKUP($I369, Factor!$B$4:$G$8, 2, 0)*VLOOKUP($J369, Factor!$B$12:$G$13, 2, 0)*VLOOKUP($K369, Factor!$B$17:$G$18, 2, 0)*VLOOKUP($H369, Factor!$J$4:$O$7, 2, 0)*VLOOKUP($F369, Factor!$Q$4:$V$15, 2, 0)*IF(MOD($G369,10)=0, 10, MOD($G369, 10))*((INDEX(Factor!$X$4:$AC$13, _xlfn.XMATCH($G369, Factor!$X$4:$X$13, 1),2)*IF(MOD(G369, 10) = 0, 10, MOD(G369, 10)))+INDEX(Factor!$AE$4:$AJ$13, _xlfn.XMATCH(MonsterData!$G369, Factor!$AE$4:$AE$13, 1),2))</f>
        <v>372600</v>
      </c>
      <c r="V369" s="21" cm="1">
        <f t="array" ref="V369">M369*VLOOKUP($I369, Factor!$B$4:$G$8, 3, 0)*VLOOKUP($J369, Factor!$B$12:$G$13, 3, 0)*VLOOKUP($K369, Factor!$B$17:$G$18, 3, 0)*VLOOKUP($H369, Factor!$J$4:$O$7, 3, 0)*VLOOKUP($F369, Factor!$Q$4:$V$15, 3, 0)*IF(MOD($G369,10)=0, 10, MOD($G369, 10))*((INDEX(Factor!$X$4:$AC$13, _xlfn.XMATCH($G369, Factor!$X$4:$X$13, 1),3)*IF(MOD(G369, 10) = 0, 10, MOD(G369, 10)))+INDEX(Factor!$AE$4:$AJ$13, _xlfn.XMATCH(MonsterData!$G369, Factor!$AE$4:$AE$13, 1),3))</f>
        <v>18630</v>
      </c>
      <c r="W369" s="21" cm="1">
        <f t="array" ref="W369">N369*VLOOKUP($I369, Factor!$B$4:$G$8, 4, 0)*VLOOKUP($J369, Factor!$B$12:$G$13, 4, 0)*VLOOKUP($K369, Factor!$B$17:$G$18, 4, 0)*VLOOKUP($H369, Factor!$J$4:$O$7, 4, 0)*VLOOKUP($F369, Factor!$Q$4:$V$15, 4, 0)*IF(MOD($G369,10)=0, 10, MOD($G369, 10))*((INDEX(Factor!$X$4:$AC$13, _xlfn.XMATCH($G369, Factor!$X$4:$X$13, 1),4)*IF(MOD(G369, 10) = 0, 10, MOD(G369, 10)))+INDEX(Factor!$AE$4:$AJ$13, _xlfn.XMATCH(MonsterData!$G369, Factor!$AE$4:$AE$13, 1),4))</f>
        <v>18630</v>
      </c>
      <c r="X369" s="21" cm="1">
        <f t="array" ref="X369">O369*VLOOKUP($I369, Factor!$B$4:$G$8, 5, 0)*VLOOKUP($J369, Factor!$B$12:$G$13, 5, 0)*VLOOKUP($K369, Factor!$B$17:$G$18, 5, 0)*VLOOKUP($H369, Factor!$J$4:$O$7, 5, 0)*VLOOKUP($F369, Factor!$Q$4:$V$15, 5, 0)*IF(MOD($G369,10)=0, 10, MOD($G369, 10))*((INDEX(Factor!$X$4:$AC$13, _xlfn.XMATCH($G369, Factor!$X$4:$X$13, 1),5)*IF(MOD(G369, 10) = 0, 10, MOD(G369, 10)))+INDEX(Factor!$AE$4:$AJ$13, _xlfn.XMATCH(MonsterData!$G369, Factor!$AE$4:$AE$13, 1),5))</f>
        <v>993.59999999999991</v>
      </c>
      <c r="Y369" s="21" cm="1">
        <f t="array" ref="Y369">P369*VLOOKUP($I369, Factor!$B$4:$G$8, 6, 0)*VLOOKUP($J369, Factor!$B$12:$G$13, 6, 0)*VLOOKUP($K369, Factor!$B$17:$G$18, 6, 0)*VLOOKUP($H369, Factor!$J$4:$O$7, 2, 0)*VLOOKUP($F369, Factor!$Q$4:$V$15, 6, 0)*IF(MOD($G369,10)=0, 10, MOD($G369, 10))*((INDEX(Factor!$X$4:$AC$13, _xlfn.XMATCH($G369, Factor!$X$4:$X$13, 1),6)*IF(MOD(G369, 10) = 0, 10, MOD(G369, 10)))+INDEX(Factor!$AE$4:$AJ$13, _xlfn.XMATCH(MonsterData!$G369, Factor!$AE$4:$AE$13, 1),6))</f>
        <v>1987.1999999999998</v>
      </c>
      <c r="Z369" s="21">
        <f>$Q369*VLOOKUP($J369, Factor!$B$12:$H$13, 7, 0)</f>
        <v>1</v>
      </c>
      <c r="AA369" s="13">
        <v>1</v>
      </c>
      <c r="AB369" s="21">
        <f t="shared" si="17"/>
        <v>0</v>
      </c>
      <c r="AC369" s="13" t="s">
        <v>394</v>
      </c>
      <c r="AD369" s="15" t="s">
        <v>389</v>
      </c>
    </row>
    <row r="370" spans="1:30" ht="15.75" customHeight="1">
      <c r="A370" s="16" t="str">
        <f>T370&amp;"_"&amp;F370&amp;VLOOKUP($C370, Factor!$AM$4:$AY$30, 7, 0)&amp;IF(COUNTIFS($C$4:C369, C370, $F$4:F369, F370)+1&gt;=100, COUNTIFS($C$4:C369, C370, $F$4:F369, F370)+1,IF(COUNTIFS($C$4:C369, C370, $F$4:F369, F370)+1&gt;=10, "0"&amp;COUNTIFS($C$4:C369, C370, $F$4:F369, F370)+1, "00"&amp;COUNTIFS($C$4:C369, C370, $F$4:F369, F370)+1))</f>
        <v>enpc_F06_B_Gorgon_002</v>
      </c>
      <c r="B370" s="16"/>
      <c r="C370" s="16" t="s">
        <v>363</v>
      </c>
      <c r="D370" s="17" t="str">
        <f t="shared" si="16"/>
        <v>고르곤</v>
      </c>
      <c r="E370" s="17" t="str">
        <f>VLOOKUP($C370, Factor!$AM$4:$AY$30, 8, 0)</f>
        <v>B</v>
      </c>
      <c r="F370" s="17" t="s">
        <v>114</v>
      </c>
      <c r="G370" s="20">
        <v>86</v>
      </c>
      <c r="H370" s="16" t="s">
        <v>56</v>
      </c>
      <c r="I370" s="17" t="str">
        <f>VLOOKUP($C370, Factor!$AM$4:$AY$30, 11, 0)</f>
        <v>B</v>
      </c>
      <c r="J370" s="17" t="str">
        <f>VLOOKUP($C370, Factor!$AM$4:$AY$30, 12, 0)</f>
        <v>ml</v>
      </c>
      <c r="K370" s="17" t="str">
        <f>VLOOKUP($C370, Factor!$AM$4:$AY$30, 13, 0)</f>
        <v>L</v>
      </c>
      <c r="L370" s="17">
        <v>1</v>
      </c>
      <c r="M370" s="17">
        <v>1</v>
      </c>
      <c r="N370" s="17">
        <v>1</v>
      </c>
      <c r="O370" s="17">
        <v>1</v>
      </c>
      <c r="P370" s="17">
        <v>1</v>
      </c>
      <c r="Q370" s="17">
        <v>1</v>
      </c>
      <c r="R370" s="17" t="str">
        <f>VLOOKUP($C370, Factor!$AM$4:$AY$30, 9, 0)</f>
        <v>Midium</v>
      </c>
      <c r="S370" s="17" t="s">
        <v>380</v>
      </c>
      <c r="T370" s="17" t="str">
        <f>VLOOKUP($C370, Factor!$AM$4:$AY$30, 10, 0)</f>
        <v>enpc</v>
      </c>
      <c r="U370" s="17" cm="1">
        <f t="array" ref="U370">L370*VLOOKUP($I370, Factor!$B$4:$G$8, 2, 0)*VLOOKUP($J370, Factor!$B$12:$G$13, 2, 0)*VLOOKUP($K370, Factor!$B$17:$G$18, 2, 0)*VLOOKUP($H370, Factor!$J$4:$O$7, 2, 0)*VLOOKUP($F370, Factor!$Q$4:$V$15, 2, 0)*IF(MOD($G370,10)=0, 10, MOD($G370, 10))*((INDEX(Factor!$X$4:$AC$13, _xlfn.XMATCH($G370, Factor!$X$4:$X$13, 1),2)*IF(MOD(G370, 10) = 0, 10, MOD(G370, 10)))+INDEX(Factor!$AE$4:$AJ$13, _xlfn.XMATCH(MonsterData!$G370, Factor!$AE$4:$AE$13, 1),2))</f>
        <v>372600</v>
      </c>
      <c r="V370" s="17" cm="1">
        <f t="array" ref="V370">M370*VLOOKUP($I370, Factor!$B$4:$G$8, 3, 0)*VLOOKUP($J370, Factor!$B$12:$G$13, 3, 0)*VLOOKUP($K370, Factor!$B$17:$G$18, 3, 0)*VLOOKUP($H370, Factor!$J$4:$O$7, 3, 0)*VLOOKUP($F370, Factor!$Q$4:$V$15, 3, 0)*IF(MOD($G370,10)=0, 10, MOD($G370, 10))*((INDEX(Factor!$X$4:$AC$13, _xlfn.XMATCH($G370, Factor!$X$4:$X$13, 1),3)*IF(MOD(G370, 10) = 0, 10, MOD(G370, 10)))+INDEX(Factor!$AE$4:$AJ$13, _xlfn.XMATCH(MonsterData!$G370, Factor!$AE$4:$AE$13, 1),3))</f>
        <v>18630</v>
      </c>
      <c r="W370" s="17" cm="1">
        <f t="array" ref="W370">N370*VLOOKUP($I370, Factor!$B$4:$G$8, 4, 0)*VLOOKUP($J370, Factor!$B$12:$G$13, 4, 0)*VLOOKUP($K370, Factor!$B$17:$G$18, 4, 0)*VLOOKUP($H370, Factor!$J$4:$O$7, 4, 0)*VLOOKUP($F370, Factor!$Q$4:$V$15, 4, 0)*IF(MOD($G370,10)=0, 10, MOD($G370, 10))*((INDEX(Factor!$X$4:$AC$13, _xlfn.XMATCH($G370, Factor!$X$4:$X$13, 1),4)*IF(MOD(G370, 10) = 0, 10, MOD(G370, 10)))+INDEX(Factor!$AE$4:$AJ$13, _xlfn.XMATCH(MonsterData!$G370, Factor!$AE$4:$AE$13, 1),4))</f>
        <v>37260</v>
      </c>
      <c r="X370" s="17" cm="1">
        <f t="array" ref="X370">O370*VLOOKUP($I370, Factor!$B$4:$G$8, 5, 0)*VLOOKUP($J370, Factor!$B$12:$G$13, 5, 0)*VLOOKUP($K370, Factor!$B$17:$G$18, 5, 0)*VLOOKUP($H370, Factor!$J$4:$O$7, 5, 0)*VLOOKUP($F370, Factor!$Q$4:$V$15, 5, 0)*IF(MOD($G370,10)=0, 10, MOD($G370, 10))*((INDEX(Factor!$X$4:$AC$13, _xlfn.XMATCH($G370, Factor!$X$4:$X$13, 1),5)*IF(MOD(G370, 10) = 0, 10, MOD(G370, 10)))+INDEX(Factor!$AE$4:$AJ$13, _xlfn.XMATCH(MonsterData!$G370, Factor!$AE$4:$AE$13, 1),5))</f>
        <v>894.24</v>
      </c>
      <c r="Y370" s="17" cm="1">
        <f t="array" ref="Y370">P370*VLOOKUP($I370, Factor!$B$4:$G$8, 6, 0)*VLOOKUP($J370, Factor!$B$12:$G$13, 6, 0)*VLOOKUP($K370, Factor!$B$17:$G$18, 6, 0)*VLOOKUP($H370, Factor!$J$4:$O$7, 2, 0)*VLOOKUP($F370, Factor!$Q$4:$V$15, 6, 0)*IF(MOD($G370,10)=0, 10, MOD($G370, 10))*((INDEX(Factor!$X$4:$AC$13, _xlfn.XMATCH($G370, Factor!$X$4:$X$13, 1),6)*IF(MOD(G370, 10) = 0, 10, MOD(G370, 10)))+INDEX(Factor!$AE$4:$AJ$13, _xlfn.XMATCH(MonsterData!$G370, Factor!$AE$4:$AE$13, 1),6))</f>
        <v>1987.1999999999998</v>
      </c>
      <c r="Z370" s="17">
        <f>$Q370*VLOOKUP($J370, Factor!$B$12:$H$13, 7, 0)</f>
        <v>1</v>
      </c>
      <c r="AA370" s="17">
        <v>1</v>
      </c>
      <c r="AB370" s="17">
        <f t="shared" si="17"/>
        <v>0</v>
      </c>
      <c r="AC370" s="17" t="s">
        <v>395</v>
      </c>
      <c r="AD370" s="19" t="s">
        <v>390</v>
      </c>
    </row>
    <row r="371" spans="1:30" ht="15.75" customHeight="1">
      <c r="A371" s="13" t="str">
        <f>T371&amp;"_"&amp;F371&amp;VLOOKUP($C371, Factor!$AM$4:$AY$30, 7, 0)&amp;IF(COUNTIFS($C$4:C370, C371, $F$4:F370, F371)+1&gt;=100, COUNTIFS($C$4:C370, C371, $F$4:F370, F371)+1,IF(COUNTIFS($C$4:C370, C371, $F$4:F370, F371)+1&gt;=10, "0"&amp;COUNTIFS($C$4:C370, C371, $F$4:F370, F371)+1, "00"&amp;COUNTIFS($C$4:C370, C371, $F$4:F370, F371)+1))</f>
        <v>enpc_F06_B_Gargoyle_002</v>
      </c>
      <c r="B371" s="13"/>
      <c r="C371" s="13" t="s">
        <v>365</v>
      </c>
      <c r="D371" s="21" t="str">
        <f t="shared" si="16"/>
        <v>가고일</v>
      </c>
      <c r="E371" s="21" t="str">
        <f>VLOOKUP($C371, Factor!$AM$4:$AY$30, 8, 0)</f>
        <v>B</v>
      </c>
      <c r="F371" s="21" t="s">
        <v>114</v>
      </c>
      <c r="G371" s="22">
        <v>86</v>
      </c>
      <c r="H371" s="13" t="s">
        <v>55</v>
      </c>
      <c r="I371" s="21" t="str">
        <f>VLOOKUP($C371, Factor!$AM$4:$AY$30, 11, 0)</f>
        <v>B</v>
      </c>
      <c r="J371" s="21" t="str">
        <f>VLOOKUP($C371, Factor!$AM$4:$AY$30, 12, 0)</f>
        <v>ml</v>
      </c>
      <c r="K371" s="21" t="str">
        <f>VLOOKUP($C371, Factor!$AM$4:$AY$30, 13, 0)</f>
        <v>F</v>
      </c>
      <c r="L371" s="13">
        <v>1</v>
      </c>
      <c r="M371" s="13">
        <v>1</v>
      </c>
      <c r="N371" s="13">
        <v>1</v>
      </c>
      <c r="O371" s="13">
        <v>1</v>
      </c>
      <c r="P371" s="13">
        <v>1</v>
      </c>
      <c r="Q371" s="13">
        <v>1</v>
      </c>
      <c r="R371" s="21" t="str">
        <f>VLOOKUP($C371, Factor!$AM$4:$AY$30, 9, 0)</f>
        <v>Big</v>
      </c>
      <c r="S371" s="13" t="s">
        <v>402</v>
      </c>
      <c r="T371" s="21" t="str">
        <f>VLOOKUP($C371, Factor!$AM$4:$AY$30, 10, 0)</f>
        <v>enpc</v>
      </c>
      <c r="U371" s="21" cm="1">
        <f t="array" ref="U371">L371*VLOOKUP($I371, Factor!$B$4:$G$8, 2, 0)*VLOOKUP($J371, Factor!$B$12:$G$13, 2, 0)*VLOOKUP($K371, Factor!$B$17:$G$18, 2, 0)*VLOOKUP($H371, Factor!$J$4:$O$7, 2, 0)*VLOOKUP($F371, Factor!$Q$4:$V$15, 2, 0)*IF(MOD($G371,10)=0, 10, MOD($G371, 10))*((INDEX(Factor!$X$4:$AC$13, _xlfn.XMATCH($G371, Factor!$X$4:$X$13, 1),2)*IF(MOD(G371, 10) = 0, 10, MOD(G371, 10)))+INDEX(Factor!$AE$4:$AJ$13, _xlfn.XMATCH(MonsterData!$G371, Factor!$AE$4:$AE$13, 1),2))</f>
        <v>248400</v>
      </c>
      <c r="V371" s="21" cm="1">
        <f t="array" ref="V371">M371*VLOOKUP($I371, Factor!$B$4:$G$8, 3, 0)*VLOOKUP($J371, Factor!$B$12:$G$13, 3, 0)*VLOOKUP($K371, Factor!$B$17:$G$18, 3, 0)*VLOOKUP($H371, Factor!$J$4:$O$7, 3, 0)*VLOOKUP($F371, Factor!$Q$4:$V$15, 3, 0)*IF(MOD($G371,10)=0, 10, MOD($G371, 10))*((INDEX(Factor!$X$4:$AC$13, _xlfn.XMATCH($G371, Factor!$X$4:$X$13, 1),3)*IF(MOD(G371, 10) = 0, 10, MOD(G371, 10)))+INDEX(Factor!$AE$4:$AJ$13, _xlfn.XMATCH(MonsterData!$G371, Factor!$AE$4:$AE$13, 1),3))</f>
        <v>12420</v>
      </c>
      <c r="W371" s="21" cm="1">
        <f t="array" ref="W371">N371*VLOOKUP($I371, Factor!$B$4:$G$8, 4, 0)*VLOOKUP($J371, Factor!$B$12:$G$13, 4, 0)*VLOOKUP($K371, Factor!$B$17:$G$18, 4, 0)*VLOOKUP($H371, Factor!$J$4:$O$7, 4, 0)*VLOOKUP($F371, Factor!$Q$4:$V$15, 4, 0)*IF(MOD($G371,10)=0, 10, MOD($G371, 10))*((INDEX(Factor!$X$4:$AC$13, _xlfn.XMATCH($G371, Factor!$X$4:$X$13, 1),4)*IF(MOD(G371, 10) = 0, 10, MOD(G371, 10)))+INDEX(Factor!$AE$4:$AJ$13, _xlfn.XMATCH(MonsterData!$G371, Factor!$AE$4:$AE$13, 1),4))</f>
        <v>12420</v>
      </c>
      <c r="X371" s="21" cm="1">
        <f t="array" ref="X371">O371*VLOOKUP($I371, Factor!$B$4:$G$8, 5, 0)*VLOOKUP($J371, Factor!$B$12:$G$13, 5, 0)*VLOOKUP($K371, Factor!$B$17:$G$18, 5, 0)*VLOOKUP($H371, Factor!$J$4:$O$7, 5, 0)*VLOOKUP($F371, Factor!$Q$4:$V$15, 5, 0)*IF(MOD($G371,10)=0, 10, MOD($G371, 10))*((INDEX(Factor!$X$4:$AC$13, _xlfn.XMATCH($G371, Factor!$X$4:$X$13, 1),5)*IF(MOD(G371, 10) = 0, 10, MOD(G371, 10)))+INDEX(Factor!$AE$4:$AJ$13, _xlfn.XMATCH(MonsterData!$G371, Factor!$AE$4:$AE$13, 1),5))</f>
        <v>993.59999999999991</v>
      </c>
      <c r="Y371" s="21" cm="1">
        <f t="array" ref="Y371">P371*VLOOKUP($I371, Factor!$B$4:$G$8, 6, 0)*VLOOKUP($J371, Factor!$B$12:$G$13, 6, 0)*VLOOKUP($K371, Factor!$B$17:$G$18, 6, 0)*VLOOKUP($H371, Factor!$J$4:$O$7, 2, 0)*VLOOKUP($F371, Factor!$Q$4:$V$15, 6, 0)*IF(MOD($G371,10)=0, 10, MOD($G371, 10))*((INDEX(Factor!$X$4:$AC$13, _xlfn.XMATCH($G371, Factor!$X$4:$X$13, 1),6)*IF(MOD(G371, 10) = 0, 10, MOD(G371, 10)))+INDEX(Factor!$AE$4:$AJ$13, _xlfn.XMATCH(MonsterData!$G371, Factor!$AE$4:$AE$13, 1),6))</f>
        <v>5961.5999999999995</v>
      </c>
      <c r="Z371" s="21">
        <f>$Q371*VLOOKUP($J371, Factor!$B$12:$H$13, 7, 0)</f>
        <v>1</v>
      </c>
      <c r="AA371" s="13">
        <v>1</v>
      </c>
      <c r="AB371" s="21">
        <f t="shared" si="17"/>
        <v>0</v>
      </c>
      <c r="AC371" s="13" t="s">
        <v>396</v>
      </c>
      <c r="AD371" s="15" t="s">
        <v>391</v>
      </c>
    </row>
  </sheetData>
  <mergeCells count="1">
    <mergeCell ref="A1:V1"/>
  </mergeCells>
  <phoneticPr fontId="3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C6561-FC30-4602-A6E2-001B39F39311}">
  <dimension ref="A1:F24"/>
  <sheetViews>
    <sheetView zoomScale="75" zoomScaleNormal="75" workbookViewId="0">
      <pane ySplit="4" topLeftCell="A5" activePane="bottomLeft" state="frozen"/>
      <selection pane="bottomLeft" activeCell="N31" sqref="N31"/>
    </sheetView>
  </sheetViews>
  <sheetFormatPr defaultRowHeight="12.75"/>
  <cols>
    <col min="1" max="1" width="31.5703125" style="1" customWidth="1"/>
    <col min="2" max="2" width="29.5703125" style="1" customWidth="1"/>
    <col min="3" max="3" width="30.7109375" style="1" customWidth="1"/>
    <col min="4" max="4" width="22.28515625" style="58" customWidth="1"/>
    <col min="5" max="5" width="20.85546875" style="58" customWidth="1"/>
    <col min="6" max="6" width="16.28515625" style="58" customWidth="1"/>
    <col min="7" max="16384" width="9.140625" style="1"/>
  </cols>
  <sheetData>
    <row r="1" spans="1:6" ht="129.94999999999999" customHeight="1">
      <c r="A1" s="84" t="s">
        <v>337</v>
      </c>
      <c r="B1" s="85"/>
      <c r="C1" s="85"/>
      <c r="D1" s="85"/>
      <c r="E1" s="85"/>
      <c r="F1" s="85"/>
    </row>
    <row r="2" spans="1:6">
      <c r="A2" s="25" t="s">
        <v>338</v>
      </c>
      <c r="B2" s="25" t="s">
        <v>339</v>
      </c>
      <c r="C2" s="25" t="s">
        <v>340</v>
      </c>
      <c r="D2" s="25" t="s">
        <v>341</v>
      </c>
      <c r="E2" s="25" t="s">
        <v>342</v>
      </c>
      <c r="F2" s="25" t="s">
        <v>343</v>
      </c>
    </row>
    <row r="3" spans="1:6">
      <c r="A3" s="27" t="s">
        <v>6</v>
      </c>
      <c r="B3" s="27" t="s">
        <v>6</v>
      </c>
      <c r="C3" s="27" t="s">
        <v>6</v>
      </c>
      <c r="D3" s="27" t="s">
        <v>6</v>
      </c>
      <c r="E3" s="27" t="s">
        <v>6</v>
      </c>
      <c r="F3" s="27" t="s">
        <v>147</v>
      </c>
    </row>
    <row r="4" spans="1:6">
      <c r="A4" s="6" t="s">
        <v>129</v>
      </c>
      <c r="B4" s="6" t="s">
        <v>130</v>
      </c>
      <c r="C4" s="6" t="s">
        <v>131</v>
      </c>
      <c r="D4" s="6" t="s">
        <v>132</v>
      </c>
      <c r="E4" s="6" t="s">
        <v>133</v>
      </c>
      <c r="F4" s="6" t="s">
        <v>153</v>
      </c>
    </row>
    <row r="5" spans="1:6">
      <c r="A5" s="50" t="s">
        <v>154</v>
      </c>
      <c r="B5" s="51" t="s">
        <v>155</v>
      </c>
      <c r="C5" s="51" t="s">
        <v>134</v>
      </c>
      <c r="D5" s="52">
        <f>IFERROR(Factor!$B$22*F5, "데이터 없음")</f>
        <v>340.90909090909088</v>
      </c>
      <c r="E5" s="52">
        <f>IFERROR(F5*Factor!$C$22, "데이터 없음")</f>
        <v>340.90909090909088</v>
      </c>
      <c r="F5" s="53">
        <f>IFERROR(SUMIF(SpawnData!$A:$A,$B5,SpawnData!$G:$G)/COUNTIF(SpawnData!$A:$A,$B5), "데이터 없음")</f>
        <v>1.3636363636363635</v>
      </c>
    </row>
    <row r="6" spans="1:6">
      <c r="A6" s="54" t="s">
        <v>156</v>
      </c>
      <c r="B6" s="55" t="s">
        <v>157</v>
      </c>
      <c r="C6" s="55" t="s">
        <v>134</v>
      </c>
      <c r="D6" s="56">
        <f>IFERROR(Factor!$B$22*F6, "데이터 없음")</f>
        <v>340.90909090909088</v>
      </c>
      <c r="E6" s="56">
        <f>IFERROR(F6*Factor!$C$22, "데이터 없음")</f>
        <v>340.90909090909088</v>
      </c>
      <c r="F6" s="57">
        <f>IFERROR(SUMIF(SpawnData!$A:$A,$B6,SpawnData!$G:$G)/COUNTIF(SpawnData!$A:$A,$B6), "데이터 없음")</f>
        <v>1.3636363636363635</v>
      </c>
    </row>
    <row r="7" spans="1:6">
      <c r="A7" s="50" t="s">
        <v>158</v>
      </c>
      <c r="B7" s="51" t="s">
        <v>159</v>
      </c>
      <c r="C7" s="51" t="s">
        <v>134</v>
      </c>
      <c r="D7" s="52">
        <f>IFERROR(Factor!$B$22*F7, "데이터 없음")</f>
        <v>340.90909090909088</v>
      </c>
      <c r="E7" s="52">
        <f>IFERROR(F7*Factor!$C$22, "데이터 없음")</f>
        <v>340.90909090909088</v>
      </c>
      <c r="F7" s="53">
        <f>IFERROR(SUMIF(SpawnData!$A:$A,$B7,SpawnData!$G:$G)/COUNTIF(SpawnData!$A:$A,$B7), "데이터 없음")</f>
        <v>1.3636363636363635</v>
      </c>
    </row>
    <row r="8" spans="1:6">
      <c r="A8" s="54" t="s">
        <v>160</v>
      </c>
      <c r="B8" s="55" t="s">
        <v>161</v>
      </c>
      <c r="C8" s="55" t="s">
        <v>134</v>
      </c>
      <c r="D8" s="56">
        <f>IFERROR(Factor!$B$22*F8, "데이터 없음")</f>
        <v>340.90909090909088</v>
      </c>
      <c r="E8" s="56">
        <f>IFERROR(F8*Factor!$C$22, "데이터 없음")</f>
        <v>340.90909090909088</v>
      </c>
      <c r="F8" s="57">
        <f>IFERROR(SUMIF(SpawnData!$A:$A,$B8,SpawnData!$G:$G)/COUNTIF(SpawnData!$A:$A,$B8), "데이터 없음")</f>
        <v>1.3636363636363635</v>
      </c>
    </row>
    <row r="9" spans="1:6">
      <c r="A9" s="50" t="s">
        <v>162</v>
      </c>
      <c r="B9" s="51" t="s">
        <v>163</v>
      </c>
      <c r="C9" s="51" t="s">
        <v>134</v>
      </c>
      <c r="D9" s="52">
        <f>IFERROR(Factor!$B$22*F9, "데이터 없음")</f>
        <v>340.90909090909088</v>
      </c>
      <c r="E9" s="52">
        <f>IFERROR(F9*Factor!$C$22, "데이터 없음")</f>
        <v>340.90909090909088</v>
      </c>
      <c r="F9" s="53">
        <f>IFERROR(SUMIF(SpawnData!$A:$A,$B9,SpawnData!$G:$G)/COUNTIF(SpawnData!$A:$A,$B9), "데이터 없음")</f>
        <v>1.3636363636363635</v>
      </c>
    </row>
    <row r="10" spans="1:6">
      <c r="A10" s="54" t="s">
        <v>164</v>
      </c>
      <c r="B10" s="55" t="s">
        <v>165</v>
      </c>
      <c r="C10" s="55" t="s">
        <v>134</v>
      </c>
      <c r="D10" s="56">
        <f>IFERROR(Factor!$B$22*F10, "데이터 없음")</f>
        <v>340.90909090909088</v>
      </c>
      <c r="E10" s="56">
        <f>IFERROR(F10*Factor!$C$22, "데이터 없음")</f>
        <v>340.90909090909088</v>
      </c>
      <c r="F10" s="57">
        <f>IFERROR(SUMIF(SpawnData!$A:$A,$B10,SpawnData!$G:$G)/COUNTIF(SpawnData!$A:$A,$B10), "데이터 없음")</f>
        <v>1.3636363636363635</v>
      </c>
    </row>
    <row r="11" spans="1:6">
      <c r="A11" s="50" t="s">
        <v>166</v>
      </c>
      <c r="B11" s="51" t="s">
        <v>167</v>
      </c>
      <c r="C11" s="51" t="s">
        <v>134</v>
      </c>
      <c r="D11" s="52">
        <f>IFERROR(Factor!$B$22*F11, "데이터 없음")</f>
        <v>340.90909090909088</v>
      </c>
      <c r="E11" s="52">
        <f>IFERROR(F11*Factor!$C$22, "데이터 없음")</f>
        <v>340.90909090909088</v>
      </c>
      <c r="F11" s="53">
        <f>IFERROR(SUMIF(SpawnData!$A:$A,$B11,SpawnData!$G:$G)/COUNTIF(SpawnData!$A:$A,$B11), "데이터 없음")</f>
        <v>1.3636363636363635</v>
      </c>
    </row>
    <row r="12" spans="1:6">
      <c r="A12" s="54" t="s">
        <v>168</v>
      </c>
      <c r="B12" s="55" t="s">
        <v>169</v>
      </c>
      <c r="C12" s="55" t="s">
        <v>134</v>
      </c>
      <c r="D12" s="56">
        <f>IFERROR(Factor!$B$22*F12, "데이터 없음")</f>
        <v>340.90909090909088</v>
      </c>
      <c r="E12" s="56">
        <f>IFERROR(F12*Factor!$C$22, "데이터 없음")</f>
        <v>340.90909090909088</v>
      </c>
      <c r="F12" s="57">
        <f>IFERROR(SUMIF(SpawnData!$A:$A,$B12,SpawnData!$G:$G)/COUNTIF(SpawnData!$A:$A,$B12), "데이터 없음")</f>
        <v>1.3636363636363635</v>
      </c>
    </row>
    <row r="13" spans="1:6">
      <c r="A13" s="50" t="s">
        <v>170</v>
      </c>
      <c r="B13" s="51" t="s">
        <v>171</v>
      </c>
      <c r="C13" s="51" t="s">
        <v>134</v>
      </c>
      <c r="D13" s="52">
        <f>IFERROR(Factor!$B$22*F13, "데이터 없음")</f>
        <v>340.90909090909088</v>
      </c>
      <c r="E13" s="52">
        <f>IFERROR(F13*Factor!$C$22, "데이터 없음")</f>
        <v>340.90909090909088</v>
      </c>
      <c r="F13" s="53">
        <f>IFERROR(SUMIF(SpawnData!$A:$A,$B13,SpawnData!$G:$G)/COUNTIF(SpawnData!$A:$A,$B13), "데이터 없음")</f>
        <v>1.3636363636363635</v>
      </c>
    </row>
    <row r="14" spans="1:6">
      <c r="A14" s="54" t="s">
        <v>172</v>
      </c>
      <c r="B14" s="55" t="s">
        <v>173</v>
      </c>
      <c r="C14" s="55" t="s">
        <v>134</v>
      </c>
      <c r="D14" s="56">
        <f>IFERROR(Factor!$B$22*F14, "데이터 없음")</f>
        <v>340.90909090909088</v>
      </c>
      <c r="E14" s="56">
        <f>IFERROR(F14*Factor!$C$22, "데이터 없음")</f>
        <v>340.90909090909088</v>
      </c>
      <c r="F14" s="57">
        <f>IFERROR(SUMIF(SpawnData!$A:$A,$B14,SpawnData!$G:$G)/COUNTIF(SpawnData!$A:$A,$B14), "데이터 없음")</f>
        <v>1.3636363636363635</v>
      </c>
    </row>
    <row r="15" spans="1:6">
      <c r="A15" s="50" t="s">
        <v>174</v>
      </c>
      <c r="B15" s="51" t="s">
        <v>175</v>
      </c>
      <c r="C15" s="51" t="s">
        <v>134</v>
      </c>
      <c r="D15" s="52">
        <f>IFERROR(Factor!$B$22*F15, "데이터 없음")</f>
        <v>340.90909090909088</v>
      </c>
      <c r="E15" s="52">
        <f>IFERROR(F15*Factor!$C$22, "데이터 없음")</f>
        <v>340.90909090909088</v>
      </c>
      <c r="F15" s="53">
        <f>IFERROR(SUMIF(SpawnData!$A:$A,$B15,SpawnData!$G:$G)/COUNTIF(SpawnData!$A:$A,$B15), "데이터 없음")</f>
        <v>1.3636363636363635</v>
      </c>
    </row>
    <row r="16" spans="1:6">
      <c r="A16" s="54" t="s">
        <v>176</v>
      </c>
      <c r="B16" s="55" t="s">
        <v>177</v>
      </c>
      <c r="C16" s="55" t="s">
        <v>134</v>
      </c>
      <c r="D16" s="56">
        <f>IFERROR(Factor!$B$22*F16, "데이터 없음")</f>
        <v>340.90909090909088</v>
      </c>
      <c r="E16" s="56">
        <f>IFERROR(F16*Factor!$C$22, "데이터 없음")</f>
        <v>340.90909090909088</v>
      </c>
      <c r="F16" s="57">
        <f>IFERROR(SUMIF(SpawnData!$A:$A,$B16,SpawnData!$G:$G)/COUNTIF(SpawnData!$A:$A,$B16), "데이터 없음")</f>
        <v>1.3636363636363635</v>
      </c>
    </row>
    <row r="17" spans="1:6">
      <c r="A17" s="50" t="s">
        <v>178</v>
      </c>
      <c r="B17" s="51" t="s">
        <v>179</v>
      </c>
      <c r="C17" s="51" t="s">
        <v>134</v>
      </c>
      <c r="D17" s="52">
        <f>IFERROR(Factor!$B$22*F17, "데이터 없음")</f>
        <v>340.90909090909088</v>
      </c>
      <c r="E17" s="52">
        <f>IFERROR(F17*Factor!$C$22, "데이터 없음")</f>
        <v>340.90909090909088</v>
      </c>
      <c r="F17" s="53">
        <f>IFERROR(SUMIF(SpawnData!$A:$A,$B17,SpawnData!$G:$G)/COUNTIF(SpawnData!$A:$A,$B17), "데이터 없음")</f>
        <v>1.3636363636363635</v>
      </c>
    </row>
    <row r="18" spans="1:6">
      <c r="A18" s="54" t="s">
        <v>180</v>
      </c>
      <c r="B18" s="55" t="s">
        <v>181</v>
      </c>
      <c r="C18" s="55" t="s">
        <v>134</v>
      </c>
      <c r="D18" s="56">
        <f>IFERROR(Factor!$B$22*F18, "데이터 없음")</f>
        <v>340.90909090909088</v>
      </c>
      <c r="E18" s="56">
        <f>IFERROR(F18*Factor!$C$22, "데이터 없음")</f>
        <v>340.90909090909088</v>
      </c>
      <c r="F18" s="57">
        <f>IFERROR(SUMIF(SpawnData!$A:$A,$B18,SpawnData!$G:$G)/COUNTIF(SpawnData!$A:$A,$B18), "데이터 없음")</f>
        <v>1.3636363636363635</v>
      </c>
    </row>
    <row r="19" spans="1:6">
      <c r="A19" s="50" t="s">
        <v>182</v>
      </c>
      <c r="B19" s="51" t="s">
        <v>183</v>
      </c>
      <c r="C19" s="51" t="s">
        <v>134</v>
      </c>
      <c r="D19" s="52">
        <f>IFERROR(Factor!$B$22*F19, "데이터 없음")</f>
        <v>340.90909090909088</v>
      </c>
      <c r="E19" s="52">
        <f>IFERROR(F19*Factor!$C$22, "데이터 없음")</f>
        <v>340.90909090909088</v>
      </c>
      <c r="F19" s="53">
        <f>IFERROR(SUMIF(SpawnData!$A:$A,$B19,SpawnData!$G:$G)/COUNTIF(SpawnData!$A:$A,$B19), "데이터 없음")</f>
        <v>1.3636363636363635</v>
      </c>
    </row>
    <row r="20" spans="1:6">
      <c r="A20" s="54" t="s">
        <v>184</v>
      </c>
      <c r="B20" s="55" t="s">
        <v>185</v>
      </c>
      <c r="C20" s="55" t="s">
        <v>134</v>
      </c>
      <c r="D20" s="56">
        <f>IFERROR(Factor!$B$22*F20, "데이터 없음")</f>
        <v>340.90909090909088</v>
      </c>
      <c r="E20" s="56">
        <f>IFERROR(F20*Factor!$C$22, "데이터 없음")</f>
        <v>340.90909090909088</v>
      </c>
      <c r="F20" s="57">
        <f>IFERROR(SUMIF(SpawnData!$A:$A,$B20,SpawnData!$G:$G)/COUNTIF(SpawnData!$A:$A,$B20), "데이터 없음")</f>
        <v>1.3636363636363635</v>
      </c>
    </row>
    <row r="21" spans="1:6">
      <c r="A21" s="50" t="s">
        <v>186</v>
      </c>
      <c r="B21" s="51" t="s">
        <v>187</v>
      </c>
      <c r="C21" s="51" t="s">
        <v>134</v>
      </c>
      <c r="D21" s="52">
        <f>IFERROR(Factor!$B$22*F21, "데이터 없음")</f>
        <v>340.90909090909088</v>
      </c>
      <c r="E21" s="52">
        <f>IFERROR(F21*Factor!$C$22, "데이터 없음")</f>
        <v>340.90909090909088</v>
      </c>
      <c r="F21" s="53">
        <f>IFERROR(SUMIF(SpawnData!$A:$A,$B21,SpawnData!$G:$G)/COUNTIF(SpawnData!$A:$A,$B21), "데이터 없음")</f>
        <v>1.3636363636363635</v>
      </c>
    </row>
    <row r="22" spans="1:6">
      <c r="A22" s="54" t="s">
        <v>188</v>
      </c>
      <c r="B22" s="55" t="s">
        <v>189</v>
      </c>
      <c r="C22" s="55" t="s">
        <v>134</v>
      </c>
      <c r="D22" s="56">
        <f>IFERROR(Factor!$B$22*F22, "데이터 없음")</f>
        <v>340.90909090909088</v>
      </c>
      <c r="E22" s="56">
        <f>IFERROR(F22*Factor!$C$22, "데이터 없음")</f>
        <v>340.90909090909088</v>
      </c>
      <c r="F22" s="57">
        <f>IFERROR(SUMIF(SpawnData!$A:$A,$B22,SpawnData!$G:$G)/COUNTIF(SpawnData!$A:$A,$B22), "데이터 없음")</f>
        <v>1.3636363636363635</v>
      </c>
    </row>
    <row r="23" spans="1:6">
      <c r="A23" s="50" t="s">
        <v>190</v>
      </c>
      <c r="B23" s="51" t="s">
        <v>191</v>
      </c>
      <c r="C23" s="51" t="s">
        <v>134</v>
      </c>
      <c r="D23" s="52">
        <f>IFERROR(Factor!$B$22*F23, "데이터 없음")</f>
        <v>340.90909090909088</v>
      </c>
      <c r="E23" s="52">
        <f>IFERROR(F23*Factor!$C$22, "데이터 없음")</f>
        <v>340.90909090909088</v>
      </c>
      <c r="F23" s="53">
        <f>IFERROR(SUMIF(SpawnData!$A:$A,$B23,SpawnData!$G:$G)/COUNTIF(SpawnData!$A:$A,$B23), "데이터 없음")</f>
        <v>1.3636363636363635</v>
      </c>
    </row>
    <row r="24" spans="1:6">
      <c r="A24" s="54" t="s">
        <v>192</v>
      </c>
      <c r="B24" s="55" t="s">
        <v>193</v>
      </c>
      <c r="C24" s="55" t="s">
        <v>134</v>
      </c>
      <c r="D24" s="56">
        <f>IFERROR(Factor!$B$22*F24, "데이터 없음")</f>
        <v>340.90909090909088</v>
      </c>
      <c r="E24" s="56">
        <f>IFERROR(F24*Factor!$C$22, "데이터 없음")</f>
        <v>340.90909090909088</v>
      </c>
      <c r="F24" s="57">
        <f>IFERROR(SUMIF(SpawnData!$A:$A,$B24,SpawnData!$G:$G)/COUNTIF(SpawnData!$A:$A,$B24), "데이터 없음")</f>
        <v>1.3636363636363635</v>
      </c>
    </row>
  </sheetData>
  <mergeCells count="1">
    <mergeCell ref="A1:F1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F0CCA9-790E-47DF-8634-3A2F97842053}">
  <dimension ref="A1:G444"/>
  <sheetViews>
    <sheetView zoomScale="75" zoomScaleNormal="75" workbookViewId="0">
      <pane ySplit="4" topLeftCell="A5" activePane="bottomLeft" state="frozen"/>
      <selection pane="bottomLeft" activeCell="L35" sqref="L35"/>
    </sheetView>
  </sheetViews>
  <sheetFormatPr defaultRowHeight="12.75"/>
  <cols>
    <col min="1" max="1" width="29.42578125" style="1" customWidth="1"/>
    <col min="2" max="2" width="22.85546875" style="1" customWidth="1"/>
    <col min="3" max="3" width="24.7109375" style="1" customWidth="1"/>
    <col min="4" max="4" width="22" style="1" customWidth="1"/>
    <col min="5" max="5" width="30.28515625" style="1" customWidth="1"/>
    <col min="6" max="6" width="26.85546875" style="1" customWidth="1"/>
    <col min="7" max="7" width="15.7109375" style="1" customWidth="1"/>
    <col min="8" max="16384" width="9.140625" style="1"/>
  </cols>
  <sheetData>
    <row r="1" spans="1:7" ht="129.94999999999999" customHeight="1">
      <c r="A1" s="84" t="s">
        <v>344</v>
      </c>
      <c r="B1" s="85"/>
      <c r="C1" s="85"/>
      <c r="D1" s="85"/>
      <c r="E1" s="85"/>
      <c r="F1" s="85"/>
      <c r="G1" s="85"/>
    </row>
    <row r="2" spans="1:7">
      <c r="A2" s="25" t="s">
        <v>345</v>
      </c>
      <c r="B2" s="25" t="s">
        <v>346</v>
      </c>
      <c r="C2" s="25" t="s">
        <v>347</v>
      </c>
      <c r="D2" s="25" t="s">
        <v>348</v>
      </c>
      <c r="E2" s="25" t="s">
        <v>349</v>
      </c>
      <c r="F2" s="25" t="s">
        <v>350</v>
      </c>
    </row>
    <row r="3" spans="1:7">
      <c r="A3" s="28" t="s">
        <v>6</v>
      </c>
      <c r="B3" s="28" t="s">
        <v>14</v>
      </c>
      <c r="C3" s="28" t="s">
        <v>6</v>
      </c>
      <c r="D3" s="28" t="s">
        <v>122</v>
      </c>
      <c r="E3" s="28" t="s">
        <v>6</v>
      </c>
      <c r="F3" s="28" t="s">
        <v>21</v>
      </c>
      <c r="G3" s="59" t="s">
        <v>351</v>
      </c>
    </row>
    <row r="4" spans="1:7">
      <c r="A4" s="7" t="s">
        <v>123</v>
      </c>
      <c r="B4" s="7" t="s">
        <v>124</v>
      </c>
      <c r="C4" s="7" t="s">
        <v>228</v>
      </c>
      <c r="D4" s="7" t="s">
        <v>126</v>
      </c>
      <c r="E4" s="7" t="s">
        <v>127</v>
      </c>
      <c r="F4" s="7" t="s">
        <v>128</v>
      </c>
      <c r="G4" s="7" t="s">
        <v>352</v>
      </c>
    </row>
    <row r="5" spans="1:7">
      <c r="A5" s="50" t="s">
        <v>155</v>
      </c>
      <c r="B5" s="51">
        <v>0</v>
      </c>
      <c r="C5" s="51" t="s">
        <v>203</v>
      </c>
      <c r="D5" s="51" t="s">
        <v>204</v>
      </c>
      <c r="E5" s="51" t="s">
        <v>205</v>
      </c>
      <c r="F5" s="51">
        <v>1</v>
      </c>
      <c r="G5" s="60">
        <f>VLOOKUP($E5, MonsterData!$A$5:$G$13, 7, 0)</f>
        <v>1</v>
      </c>
    </row>
    <row r="6" spans="1:7">
      <c r="A6" s="54" t="s">
        <v>202</v>
      </c>
      <c r="B6" s="55">
        <v>1</v>
      </c>
      <c r="C6" s="55" t="s">
        <v>203</v>
      </c>
      <c r="D6" s="55" t="s">
        <v>204</v>
      </c>
      <c r="E6" s="55" t="s">
        <v>206</v>
      </c>
      <c r="F6" s="55">
        <v>1</v>
      </c>
      <c r="G6" s="61">
        <f>VLOOKUP($E6, MonsterData!$A$5:$G$13, 7, 0)</f>
        <v>1</v>
      </c>
    </row>
    <row r="7" spans="1:7">
      <c r="A7" s="50" t="s">
        <v>155</v>
      </c>
      <c r="B7" s="51">
        <v>2</v>
      </c>
      <c r="C7" s="51" t="s">
        <v>203</v>
      </c>
      <c r="D7" s="51" t="s">
        <v>204</v>
      </c>
      <c r="E7" s="51" t="s">
        <v>207</v>
      </c>
      <c r="F7" s="51">
        <v>1</v>
      </c>
      <c r="G7" s="60">
        <f>VLOOKUP($E7, MonsterData!$A$5:$G$13, 7, 0)</f>
        <v>1</v>
      </c>
    </row>
    <row r="8" spans="1:7">
      <c r="A8" s="54" t="s">
        <v>202</v>
      </c>
      <c r="B8" s="55">
        <v>3</v>
      </c>
      <c r="C8" s="55" t="s">
        <v>203</v>
      </c>
      <c r="D8" s="55" t="s">
        <v>204</v>
      </c>
      <c r="E8" s="55" t="s">
        <v>208</v>
      </c>
      <c r="F8" s="55">
        <v>1</v>
      </c>
      <c r="G8" s="61">
        <f>VLOOKUP($E8, MonsterData!$A$5:$G$13, 7, 0)</f>
        <v>1</v>
      </c>
    </row>
    <row r="9" spans="1:7">
      <c r="A9" s="50" t="s">
        <v>155</v>
      </c>
      <c r="B9" s="51">
        <v>4</v>
      </c>
      <c r="C9" s="51" t="s">
        <v>203</v>
      </c>
      <c r="D9" s="51" t="s">
        <v>204</v>
      </c>
      <c r="E9" s="51" t="s">
        <v>206</v>
      </c>
      <c r="F9" s="51">
        <v>1</v>
      </c>
      <c r="G9" s="60">
        <f>VLOOKUP($E9, MonsterData!$A$5:$G$13, 7, 0)</f>
        <v>1</v>
      </c>
    </row>
    <row r="10" spans="1:7">
      <c r="A10" s="54" t="s">
        <v>202</v>
      </c>
      <c r="B10" s="55">
        <v>5</v>
      </c>
      <c r="C10" s="55" t="s">
        <v>203</v>
      </c>
      <c r="D10" s="55" t="s">
        <v>204</v>
      </c>
      <c r="E10" s="55" t="s">
        <v>205</v>
      </c>
      <c r="F10" s="55">
        <v>1</v>
      </c>
      <c r="G10" s="61">
        <f>VLOOKUP($E10, MonsterData!$A$5:$G$13, 7, 0)</f>
        <v>1</v>
      </c>
    </row>
    <row r="11" spans="1:7">
      <c r="A11" s="50" t="s">
        <v>155</v>
      </c>
      <c r="B11" s="51">
        <v>6</v>
      </c>
      <c r="C11" s="51" t="s">
        <v>203</v>
      </c>
      <c r="D11" s="51" t="s">
        <v>204</v>
      </c>
      <c r="E11" s="51" t="s">
        <v>206</v>
      </c>
      <c r="F11" s="51">
        <v>1</v>
      </c>
      <c r="G11" s="60">
        <f>VLOOKUP($E11, MonsterData!$A$5:$G$13, 7, 0)</f>
        <v>1</v>
      </c>
    </row>
    <row r="12" spans="1:7">
      <c r="A12" s="54" t="s">
        <v>202</v>
      </c>
      <c r="B12" s="55">
        <v>7</v>
      </c>
      <c r="C12" s="55" t="s">
        <v>203</v>
      </c>
      <c r="D12" s="55" t="s">
        <v>204</v>
      </c>
      <c r="E12" s="55" t="s">
        <v>207</v>
      </c>
      <c r="F12" s="55">
        <v>1</v>
      </c>
      <c r="G12" s="61">
        <f>VLOOKUP($E12, MonsterData!$A$5:$G$13, 7, 0)</f>
        <v>1</v>
      </c>
    </row>
    <row r="13" spans="1:7">
      <c r="A13" s="50" t="s">
        <v>155</v>
      </c>
      <c r="B13" s="51">
        <v>8</v>
      </c>
      <c r="C13" s="51" t="s">
        <v>203</v>
      </c>
      <c r="D13" s="51" t="s">
        <v>204</v>
      </c>
      <c r="E13" s="51" t="s">
        <v>208</v>
      </c>
      <c r="F13" s="51">
        <v>1</v>
      </c>
      <c r="G13" s="60">
        <f>VLOOKUP($E13, MonsterData!$A$5:$G$13, 7, 0)</f>
        <v>1</v>
      </c>
    </row>
    <row r="14" spans="1:7">
      <c r="A14" s="54" t="s">
        <v>202</v>
      </c>
      <c r="B14" s="55">
        <v>9</v>
      </c>
      <c r="C14" s="55" t="s">
        <v>203</v>
      </c>
      <c r="D14" s="55" t="s">
        <v>204</v>
      </c>
      <c r="E14" s="55" t="s">
        <v>206</v>
      </c>
      <c r="F14" s="55">
        <v>1</v>
      </c>
      <c r="G14" s="61">
        <f>VLOOKUP($E14, MonsterData!$A$5:$G$13, 7, 0)</f>
        <v>1</v>
      </c>
    </row>
    <row r="15" spans="1:7">
      <c r="A15" s="50" t="s">
        <v>155</v>
      </c>
      <c r="B15" s="51">
        <v>10</v>
      </c>
      <c r="C15" s="51" t="s">
        <v>203</v>
      </c>
      <c r="D15" s="51" t="s">
        <v>204</v>
      </c>
      <c r="E15" s="51" t="s">
        <v>268</v>
      </c>
      <c r="F15" s="51">
        <v>1</v>
      </c>
      <c r="G15" s="60">
        <f>VLOOKUP($E15, MonsterData!$A$5:$G$13, 7, 0)</f>
        <v>5</v>
      </c>
    </row>
    <row r="16" spans="1:7">
      <c r="A16" s="54" t="s">
        <v>202</v>
      </c>
      <c r="B16" s="55">
        <v>11</v>
      </c>
      <c r="C16" s="55" t="s">
        <v>203</v>
      </c>
      <c r="D16" s="55" t="s">
        <v>204</v>
      </c>
      <c r="E16" s="55" t="s">
        <v>205</v>
      </c>
      <c r="F16" s="55">
        <v>1</v>
      </c>
      <c r="G16" s="61">
        <f>VLOOKUP($E16, MonsterData!$A$5:$G$13, 7, 0)</f>
        <v>1</v>
      </c>
    </row>
    <row r="17" spans="1:7">
      <c r="A17" s="50" t="s">
        <v>155</v>
      </c>
      <c r="B17" s="51">
        <v>12</v>
      </c>
      <c r="C17" s="51" t="s">
        <v>203</v>
      </c>
      <c r="D17" s="51" t="s">
        <v>204</v>
      </c>
      <c r="E17" s="51" t="s">
        <v>206</v>
      </c>
      <c r="F17" s="51">
        <v>1</v>
      </c>
      <c r="G17" s="60">
        <f>VLOOKUP($E17, MonsterData!$A$5:$G$13, 7, 0)</f>
        <v>1</v>
      </c>
    </row>
    <row r="18" spans="1:7">
      <c r="A18" s="54" t="s">
        <v>202</v>
      </c>
      <c r="B18" s="55">
        <v>13</v>
      </c>
      <c r="C18" s="55" t="s">
        <v>203</v>
      </c>
      <c r="D18" s="55" t="s">
        <v>204</v>
      </c>
      <c r="E18" s="55" t="s">
        <v>207</v>
      </c>
      <c r="F18" s="55">
        <v>1</v>
      </c>
      <c r="G18" s="61">
        <f>VLOOKUP($E18, MonsterData!$A$5:$G$13, 7, 0)</f>
        <v>1</v>
      </c>
    </row>
    <row r="19" spans="1:7">
      <c r="A19" s="50" t="s">
        <v>155</v>
      </c>
      <c r="B19" s="51">
        <v>14</v>
      </c>
      <c r="C19" s="51" t="s">
        <v>203</v>
      </c>
      <c r="D19" s="51" t="s">
        <v>204</v>
      </c>
      <c r="E19" s="51" t="s">
        <v>208</v>
      </c>
      <c r="F19" s="51">
        <v>1</v>
      </c>
      <c r="G19" s="60">
        <f>VLOOKUP($E19, MonsterData!$A$5:$G$13, 7, 0)</f>
        <v>1</v>
      </c>
    </row>
    <row r="20" spans="1:7">
      <c r="A20" s="54" t="s">
        <v>202</v>
      </c>
      <c r="B20" s="55">
        <v>15</v>
      </c>
      <c r="C20" s="55" t="s">
        <v>203</v>
      </c>
      <c r="D20" s="55" t="s">
        <v>204</v>
      </c>
      <c r="E20" s="55" t="s">
        <v>206</v>
      </c>
      <c r="F20" s="55">
        <v>1</v>
      </c>
      <c r="G20" s="61">
        <f>VLOOKUP($E20, MonsterData!$A$5:$G$13, 7, 0)</f>
        <v>1</v>
      </c>
    </row>
    <row r="21" spans="1:7">
      <c r="A21" s="50" t="s">
        <v>155</v>
      </c>
      <c r="B21" s="51">
        <v>16</v>
      </c>
      <c r="C21" s="51" t="s">
        <v>203</v>
      </c>
      <c r="D21" s="51" t="s">
        <v>204</v>
      </c>
      <c r="E21" s="51" t="s">
        <v>205</v>
      </c>
      <c r="F21" s="51">
        <v>1</v>
      </c>
      <c r="G21" s="60">
        <f>VLOOKUP($E21, MonsterData!$A$5:$G$13, 7, 0)</f>
        <v>1</v>
      </c>
    </row>
    <row r="22" spans="1:7">
      <c r="A22" s="54" t="s">
        <v>202</v>
      </c>
      <c r="B22" s="55">
        <v>17</v>
      </c>
      <c r="C22" s="55" t="s">
        <v>203</v>
      </c>
      <c r="D22" s="55" t="s">
        <v>204</v>
      </c>
      <c r="E22" s="55" t="s">
        <v>206</v>
      </c>
      <c r="F22" s="55">
        <v>1</v>
      </c>
      <c r="G22" s="61">
        <f>VLOOKUP($E22, MonsterData!$A$5:$G$13, 7, 0)</f>
        <v>1</v>
      </c>
    </row>
    <row r="23" spans="1:7">
      <c r="A23" s="50" t="s">
        <v>155</v>
      </c>
      <c r="B23" s="51">
        <v>18</v>
      </c>
      <c r="C23" s="51" t="s">
        <v>203</v>
      </c>
      <c r="D23" s="51" t="s">
        <v>204</v>
      </c>
      <c r="E23" s="51" t="s">
        <v>207</v>
      </c>
      <c r="F23" s="51">
        <v>1</v>
      </c>
      <c r="G23" s="60">
        <f>VLOOKUP($E23, MonsterData!$A$5:$G$13, 7, 0)</f>
        <v>1</v>
      </c>
    </row>
    <row r="24" spans="1:7">
      <c r="A24" s="54" t="s">
        <v>202</v>
      </c>
      <c r="B24" s="55">
        <v>19</v>
      </c>
      <c r="C24" s="55" t="s">
        <v>203</v>
      </c>
      <c r="D24" s="55" t="s">
        <v>204</v>
      </c>
      <c r="E24" s="55" t="s">
        <v>208</v>
      </c>
      <c r="F24" s="55">
        <v>1</v>
      </c>
      <c r="G24" s="61">
        <f>VLOOKUP($E24, MonsterData!$A$5:$G$13, 7, 0)</f>
        <v>1</v>
      </c>
    </row>
    <row r="25" spans="1:7">
      <c r="A25" s="50" t="s">
        <v>155</v>
      </c>
      <c r="B25" s="51">
        <v>20</v>
      </c>
      <c r="C25" s="51" t="s">
        <v>203</v>
      </c>
      <c r="D25" s="51" t="s">
        <v>204</v>
      </c>
      <c r="E25" s="51" t="s">
        <v>206</v>
      </c>
      <c r="F25" s="51">
        <v>1</v>
      </c>
      <c r="G25" s="60">
        <f>VLOOKUP($E25, MonsterData!$A$5:$G$13, 7, 0)</f>
        <v>1</v>
      </c>
    </row>
    <row r="26" spans="1:7">
      <c r="A26" s="54" t="s">
        <v>202</v>
      </c>
      <c r="B26" s="55">
        <v>21</v>
      </c>
      <c r="C26" s="55" t="s">
        <v>203</v>
      </c>
      <c r="D26" s="55" t="s">
        <v>204</v>
      </c>
      <c r="E26" s="55" t="s">
        <v>269</v>
      </c>
      <c r="F26" s="55">
        <v>1</v>
      </c>
      <c r="G26" s="61">
        <f>VLOOKUP($E26, MonsterData!$A$5:$G$13, 7, 0)</f>
        <v>5</v>
      </c>
    </row>
    <row r="27" spans="1:7">
      <c r="A27" s="50" t="s">
        <v>209</v>
      </c>
      <c r="B27" s="51">
        <v>0</v>
      </c>
      <c r="C27" s="51" t="s">
        <v>203</v>
      </c>
      <c r="D27" s="51" t="s">
        <v>204</v>
      </c>
      <c r="E27" s="51" t="s">
        <v>207</v>
      </c>
      <c r="F27" s="51">
        <v>1</v>
      </c>
      <c r="G27" s="60">
        <f>VLOOKUP($E27, MonsterData!$A$5:$G$13, 7, 0)</f>
        <v>1</v>
      </c>
    </row>
    <row r="28" spans="1:7">
      <c r="A28" s="54" t="s">
        <v>157</v>
      </c>
      <c r="B28" s="55">
        <v>1</v>
      </c>
      <c r="C28" s="55" t="s">
        <v>203</v>
      </c>
      <c r="D28" s="55" t="s">
        <v>204</v>
      </c>
      <c r="E28" s="55" t="s">
        <v>208</v>
      </c>
      <c r="F28" s="55">
        <v>1</v>
      </c>
      <c r="G28" s="61">
        <f>VLOOKUP($E28, MonsterData!$A$5:$G$13, 7, 0)</f>
        <v>1</v>
      </c>
    </row>
    <row r="29" spans="1:7">
      <c r="A29" s="50" t="s">
        <v>209</v>
      </c>
      <c r="B29" s="51">
        <v>2</v>
      </c>
      <c r="C29" s="51" t="s">
        <v>203</v>
      </c>
      <c r="D29" s="51" t="s">
        <v>204</v>
      </c>
      <c r="E29" s="51" t="s">
        <v>206</v>
      </c>
      <c r="F29" s="51">
        <v>1</v>
      </c>
      <c r="G29" s="60">
        <f>VLOOKUP($E29, MonsterData!$A$5:$G$13, 7, 0)</f>
        <v>1</v>
      </c>
    </row>
    <row r="30" spans="1:7">
      <c r="A30" s="54" t="s">
        <v>157</v>
      </c>
      <c r="B30" s="55">
        <v>3</v>
      </c>
      <c r="C30" s="55" t="s">
        <v>203</v>
      </c>
      <c r="D30" s="55" t="s">
        <v>204</v>
      </c>
      <c r="E30" s="55" t="s">
        <v>205</v>
      </c>
      <c r="F30" s="55">
        <v>1</v>
      </c>
      <c r="G30" s="61">
        <f>VLOOKUP($E30, MonsterData!$A$5:$G$13, 7, 0)</f>
        <v>1</v>
      </c>
    </row>
    <row r="31" spans="1:7">
      <c r="A31" s="50" t="s">
        <v>209</v>
      </c>
      <c r="B31" s="51">
        <v>4</v>
      </c>
      <c r="C31" s="51" t="s">
        <v>203</v>
      </c>
      <c r="D31" s="51" t="s">
        <v>204</v>
      </c>
      <c r="E31" s="51" t="s">
        <v>206</v>
      </c>
      <c r="F31" s="51">
        <v>1</v>
      </c>
      <c r="G31" s="60">
        <f>VLOOKUP($E31, MonsterData!$A$5:$G$13, 7, 0)</f>
        <v>1</v>
      </c>
    </row>
    <row r="32" spans="1:7">
      <c r="A32" s="54" t="s">
        <v>157</v>
      </c>
      <c r="B32" s="55">
        <v>5</v>
      </c>
      <c r="C32" s="55" t="s">
        <v>203</v>
      </c>
      <c r="D32" s="55" t="s">
        <v>204</v>
      </c>
      <c r="E32" s="55" t="s">
        <v>207</v>
      </c>
      <c r="F32" s="55">
        <v>1</v>
      </c>
      <c r="G32" s="61">
        <f>VLOOKUP($E32, MonsterData!$A$5:$G$13, 7, 0)</f>
        <v>1</v>
      </c>
    </row>
    <row r="33" spans="1:7">
      <c r="A33" s="50" t="s">
        <v>209</v>
      </c>
      <c r="B33" s="51">
        <v>6</v>
      </c>
      <c r="C33" s="51" t="s">
        <v>203</v>
      </c>
      <c r="D33" s="51" t="s">
        <v>204</v>
      </c>
      <c r="E33" s="51" t="s">
        <v>208</v>
      </c>
      <c r="F33" s="51">
        <v>1</v>
      </c>
      <c r="G33" s="60">
        <f>VLOOKUP($E33, MonsterData!$A$5:$G$13, 7, 0)</f>
        <v>1</v>
      </c>
    </row>
    <row r="34" spans="1:7">
      <c r="A34" s="54" t="s">
        <v>157</v>
      </c>
      <c r="B34" s="55">
        <v>7</v>
      </c>
      <c r="C34" s="55" t="s">
        <v>203</v>
      </c>
      <c r="D34" s="55" t="s">
        <v>204</v>
      </c>
      <c r="E34" s="55" t="s">
        <v>206</v>
      </c>
      <c r="F34" s="55">
        <v>1</v>
      </c>
      <c r="G34" s="61">
        <f>VLOOKUP($E34, MonsterData!$A$5:$G$13, 7, 0)</f>
        <v>1</v>
      </c>
    </row>
    <row r="35" spans="1:7">
      <c r="A35" s="50" t="s">
        <v>209</v>
      </c>
      <c r="B35" s="51">
        <v>8</v>
      </c>
      <c r="C35" s="51" t="s">
        <v>203</v>
      </c>
      <c r="D35" s="51" t="s">
        <v>204</v>
      </c>
      <c r="E35" s="51" t="s">
        <v>205</v>
      </c>
      <c r="F35" s="51">
        <v>1</v>
      </c>
      <c r="G35" s="60">
        <f>VLOOKUP($E35, MonsterData!$A$5:$G$13, 7, 0)</f>
        <v>1</v>
      </c>
    </row>
    <row r="36" spans="1:7">
      <c r="A36" s="54" t="s">
        <v>157</v>
      </c>
      <c r="B36" s="55">
        <v>9</v>
      </c>
      <c r="C36" s="55" t="s">
        <v>203</v>
      </c>
      <c r="D36" s="55" t="s">
        <v>204</v>
      </c>
      <c r="E36" s="55" t="s">
        <v>206</v>
      </c>
      <c r="F36" s="55">
        <v>1</v>
      </c>
      <c r="G36" s="61">
        <f>VLOOKUP($E36, MonsterData!$A$5:$G$13, 7, 0)</f>
        <v>1</v>
      </c>
    </row>
    <row r="37" spans="1:7">
      <c r="A37" s="50" t="s">
        <v>209</v>
      </c>
      <c r="B37" s="51">
        <v>10</v>
      </c>
      <c r="C37" s="51" t="s">
        <v>203</v>
      </c>
      <c r="D37" s="51" t="s">
        <v>204</v>
      </c>
      <c r="E37" s="51" t="s">
        <v>276</v>
      </c>
      <c r="F37" s="51">
        <v>1</v>
      </c>
      <c r="G37" s="60">
        <f>VLOOKUP($E37, MonsterData!$A$5:$G$13, 7, 0)</f>
        <v>5</v>
      </c>
    </row>
    <row r="38" spans="1:7">
      <c r="A38" s="54" t="s">
        <v>157</v>
      </c>
      <c r="B38" s="55">
        <v>11</v>
      </c>
      <c r="C38" s="55" t="s">
        <v>203</v>
      </c>
      <c r="D38" s="55" t="s">
        <v>204</v>
      </c>
      <c r="E38" s="55" t="s">
        <v>207</v>
      </c>
      <c r="F38" s="55">
        <v>1</v>
      </c>
      <c r="G38" s="61">
        <f>VLOOKUP($E38, MonsterData!$A$5:$G$13, 7, 0)</f>
        <v>1</v>
      </c>
    </row>
    <row r="39" spans="1:7">
      <c r="A39" s="50" t="s">
        <v>209</v>
      </c>
      <c r="B39" s="51">
        <v>12</v>
      </c>
      <c r="C39" s="51" t="s">
        <v>203</v>
      </c>
      <c r="D39" s="51" t="s">
        <v>204</v>
      </c>
      <c r="E39" s="51" t="s">
        <v>208</v>
      </c>
      <c r="F39" s="51">
        <v>1</v>
      </c>
      <c r="G39" s="60">
        <f>VLOOKUP($E39, MonsterData!$A$5:$G$13, 7, 0)</f>
        <v>1</v>
      </c>
    </row>
    <row r="40" spans="1:7">
      <c r="A40" s="54" t="s">
        <v>157</v>
      </c>
      <c r="B40" s="55">
        <v>13</v>
      </c>
      <c r="C40" s="55" t="s">
        <v>203</v>
      </c>
      <c r="D40" s="55" t="s">
        <v>204</v>
      </c>
      <c r="E40" s="55" t="s">
        <v>206</v>
      </c>
      <c r="F40" s="55">
        <v>1</v>
      </c>
      <c r="G40" s="61">
        <f>VLOOKUP($E40, MonsterData!$A$5:$G$13, 7, 0)</f>
        <v>1</v>
      </c>
    </row>
    <row r="41" spans="1:7">
      <c r="A41" s="50" t="s">
        <v>209</v>
      </c>
      <c r="B41" s="51">
        <v>14</v>
      </c>
      <c r="C41" s="51" t="s">
        <v>203</v>
      </c>
      <c r="D41" s="51" t="s">
        <v>204</v>
      </c>
      <c r="E41" s="51" t="s">
        <v>205</v>
      </c>
      <c r="F41" s="51">
        <v>1</v>
      </c>
      <c r="G41" s="60">
        <f>VLOOKUP($E41, MonsterData!$A$5:$G$13, 7, 0)</f>
        <v>1</v>
      </c>
    </row>
    <row r="42" spans="1:7">
      <c r="A42" s="54" t="s">
        <v>157</v>
      </c>
      <c r="B42" s="55">
        <v>15</v>
      </c>
      <c r="C42" s="55" t="s">
        <v>203</v>
      </c>
      <c r="D42" s="55" t="s">
        <v>204</v>
      </c>
      <c r="E42" s="55" t="s">
        <v>206</v>
      </c>
      <c r="F42" s="55">
        <v>1</v>
      </c>
      <c r="G42" s="61">
        <f>VLOOKUP($E42, MonsterData!$A$5:$G$13, 7, 0)</f>
        <v>1</v>
      </c>
    </row>
    <row r="43" spans="1:7">
      <c r="A43" s="50" t="s">
        <v>209</v>
      </c>
      <c r="B43" s="51">
        <v>16</v>
      </c>
      <c r="C43" s="51" t="s">
        <v>203</v>
      </c>
      <c r="D43" s="51" t="s">
        <v>204</v>
      </c>
      <c r="E43" s="51" t="s">
        <v>207</v>
      </c>
      <c r="F43" s="51">
        <v>1</v>
      </c>
      <c r="G43" s="60">
        <f>VLOOKUP($E43, MonsterData!$A$5:$G$13, 7, 0)</f>
        <v>1</v>
      </c>
    </row>
    <row r="44" spans="1:7">
      <c r="A44" s="54" t="s">
        <v>157</v>
      </c>
      <c r="B44" s="55">
        <v>17</v>
      </c>
      <c r="C44" s="55" t="s">
        <v>203</v>
      </c>
      <c r="D44" s="55" t="s">
        <v>204</v>
      </c>
      <c r="E44" s="55" t="s">
        <v>208</v>
      </c>
      <c r="F44" s="55">
        <v>1</v>
      </c>
      <c r="G44" s="61">
        <f>VLOOKUP($E44, MonsterData!$A$5:$G$13, 7, 0)</f>
        <v>1</v>
      </c>
    </row>
    <row r="45" spans="1:7">
      <c r="A45" s="50" t="s">
        <v>209</v>
      </c>
      <c r="B45" s="51">
        <v>18</v>
      </c>
      <c r="C45" s="51" t="s">
        <v>203</v>
      </c>
      <c r="D45" s="51" t="s">
        <v>204</v>
      </c>
      <c r="E45" s="51" t="s">
        <v>206</v>
      </c>
      <c r="F45" s="51">
        <v>1</v>
      </c>
      <c r="G45" s="60">
        <f>VLOOKUP($E45, MonsterData!$A$5:$G$13, 7, 0)</f>
        <v>1</v>
      </c>
    </row>
    <row r="46" spans="1:7">
      <c r="A46" s="54" t="s">
        <v>157</v>
      </c>
      <c r="B46" s="55">
        <v>19</v>
      </c>
      <c r="C46" s="55" t="s">
        <v>203</v>
      </c>
      <c r="D46" s="55" t="s">
        <v>204</v>
      </c>
      <c r="E46" s="55" t="s">
        <v>205</v>
      </c>
      <c r="F46" s="55">
        <v>1</v>
      </c>
      <c r="G46" s="61">
        <f>VLOOKUP($E46, MonsterData!$A$5:$G$13, 7, 0)</f>
        <v>1</v>
      </c>
    </row>
    <row r="47" spans="1:7">
      <c r="A47" s="50" t="s">
        <v>209</v>
      </c>
      <c r="B47" s="51">
        <v>20</v>
      </c>
      <c r="C47" s="51" t="s">
        <v>203</v>
      </c>
      <c r="D47" s="51" t="s">
        <v>204</v>
      </c>
      <c r="E47" s="51" t="s">
        <v>206</v>
      </c>
      <c r="F47" s="51">
        <v>1</v>
      </c>
      <c r="G47" s="60">
        <f>VLOOKUP($E47, MonsterData!$A$5:$G$13, 7, 0)</f>
        <v>1</v>
      </c>
    </row>
    <row r="48" spans="1:7">
      <c r="A48" s="54" t="s">
        <v>157</v>
      </c>
      <c r="B48" s="55">
        <v>21</v>
      </c>
      <c r="C48" s="55" t="s">
        <v>203</v>
      </c>
      <c r="D48" s="55" t="s">
        <v>204</v>
      </c>
      <c r="E48" s="55" t="s">
        <v>275</v>
      </c>
      <c r="F48" s="55">
        <v>1</v>
      </c>
      <c r="G48" s="61">
        <f>VLOOKUP($E48, MonsterData!$A$5:$G$13, 7, 0)</f>
        <v>5</v>
      </c>
    </row>
    <row r="49" spans="1:7">
      <c r="A49" s="50" t="s">
        <v>210</v>
      </c>
      <c r="B49" s="51">
        <v>0</v>
      </c>
      <c r="C49" s="51" t="s">
        <v>203</v>
      </c>
      <c r="D49" s="51" t="s">
        <v>204</v>
      </c>
      <c r="E49" s="51" t="s">
        <v>206</v>
      </c>
      <c r="F49" s="51">
        <v>1</v>
      </c>
      <c r="G49" s="60">
        <f>VLOOKUP($E49, MonsterData!$A$5:$G$13, 7, 0)</f>
        <v>1</v>
      </c>
    </row>
    <row r="50" spans="1:7">
      <c r="A50" s="54" t="s">
        <v>159</v>
      </c>
      <c r="B50" s="55">
        <v>1</v>
      </c>
      <c r="C50" s="55" t="s">
        <v>203</v>
      </c>
      <c r="D50" s="55" t="s">
        <v>204</v>
      </c>
      <c r="E50" s="55" t="s">
        <v>205</v>
      </c>
      <c r="F50" s="55">
        <v>1</v>
      </c>
      <c r="G50" s="61">
        <f>VLOOKUP($E50, MonsterData!$A$5:$G$13, 7, 0)</f>
        <v>1</v>
      </c>
    </row>
    <row r="51" spans="1:7">
      <c r="A51" s="50" t="s">
        <v>210</v>
      </c>
      <c r="B51" s="51">
        <v>2</v>
      </c>
      <c r="C51" s="51" t="s">
        <v>203</v>
      </c>
      <c r="D51" s="51" t="s">
        <v>204</v>
      </c>
      <c r="E51" s="51" t="s">
        <v>206</v>
      </c>
      <c r="F51" s="51">
        <v>1</v>
      </c>
      <c r="G51" s="60">
        <f>VLOOKUP($E51, MonsterData!$A$5:$G$13, 7, 0)</f>
        <v>1</v>
      </c>
    </row>
    <row r="52" spans="1:7">
      <c r="A52" s="54" t="s">
        <v>159</v>
      </c>
      <c r="B52" s="55">
        <v>3</v>
      </c>
      <c r="C52" s="55" t="s">
        <v>203</v>
      </c>
      <c r="D52" s="55" t="s">
        <v>204</v>
      </c>
      <c r="E52" s="55" t="s">
        <v>207</v>
      </c>
      <c r="F52" s="55">
        <v>1</v>
      </c>
      <c r="G52" s="61">
        <f>VLOOKUP($E52, MonsterData!$A$5:$G$13, 7, 0)</f>
        <v>1</v>
      </c>
    </row>
    <row r="53" spans="1:7">
      <c r="A53" s="50" t="s">
        <v>210</v>
      </c>
      <c r="B53" s="51">
        <v>4</v>
      </c>
      <c r="C53" s="51" t="s">
        <v>203</v>
      </c>
      <c r="D53" s="51" t="s">
        <v>204</v>
      </c>
      <c r="E53" s="51" t="s">
        <v>208</v>
      </c>
      <c r="F53" s="51">
        <v>1</v>
      </c>
      <c r="G53" s="60">
        <f>VLOOKUP($E53, MonsterData!$A$5:$G$13, 7, 0)</f>
        <v>1</v>
      </c>
    </row>
    <row r="54" spans="1:7">
      <c r="A54" s="54" t="s">
        <v>159</v>
      </c>
      <c r="B54" s="55">
        <v>5</v>
      </c>
      <c r="C54" s="55" t="s">
        <v>203</v>
      </c>
      <c r="D54" s="55" t="s">
        <v>204</v>
      </c>
      <c r="E54" s="55" t="s">
        <v>206</v>
      </c>
      <c r="F54" s="55">
        <v>1</v>
      </c>
      <c r="G54" s="61">
        <f>VLOOKUP($E54, MonsterData!$A$5:$G$13, 7, 0)</f>
        <v>1</v>
      </c>
    </row>
    <row r="55" spans="1:7">
      <c r="A55" s="50" t="s">
        <v>210</v>
      </c>
      <c r="B55" s="51">
        <v>6</v>
      </c>
      <c r="C55" s="51" t="s">
        <v>203</v>
      </c>
      <c r="D55" s="51" t="s">
        <v>204</v>
      </c>
      <c r="E55" s="51" t="s">
        <v>205</v>
      </c>
      <c r="F55" s="51">
        <v>1</v>
      </c>
      <c r="G55" s="60">
        <f>VLOOKUP($E55, MonsterData!$A$5:$G$13, 7, 0)</f>
        <v>1</v>
      </c>
    </row>
    <row r="56" spans="1:7">
      <c r="A56" s="54" t="s">
        <v>159</v>
      </c>
      <c r="B56" s="55">
        <v>7</v>
      </c>
      <c r="C56" s="55" t="s">
        <v>203</v>
      </c>
      <c r="D56" s="55" t="s">
        <v>204</v>
      </c>
      <c r="E56" s="55" t="s">
        <v>206</v>
      </c>
      <c r="F56" s="55">
        <v>1</v>
      </c>
      <c r="G56" s="61">
        <f>VLOOKUP($E56, MonsterData!$A$5:$G$13, 7, 0)</f>
        <v>1</v>
      </c>
    </row>
    <row r="57" spans="1:7">
      <c r="A57" s="50" t="s">
        <v>210</v>
      </c>
      <c r="B57" s="51">
        <v>8</v>
      </c>
      <c r="C57" s="51" t="s">
        <v>203</v>
      </c>
      <c r="D57" s="51" t="s">
        <v>204</v>
      </c>
      <c r="E57" s="51" t="s">
        <v>207</v>
      </c>
      <c r="F57" s="51">
        <v>1</v>
      </c>
      <c r="G57" s="60">
        <f>VLOOKUP($E57, MonsterData!$A$5:$G$13, 7, 0)</f>
        <v>1</v>
      </c>
    </row>
    <row r="58" spans="1:7">
      <c r="A58" s="54" t="s">
        <v>159</v>
      </c>
      <c r="B58" s="55">
        <v>9</v>
      </c>
      <c r="C58" s="55" t="s">
        <v>203</v>
      </c>
      <c r="D58" s="55" t="s">
        <v>204</v>
      </c>
      <c r="E58" s="55" t="s">
        <v>208</v>
      </c>
      <c r="F58" s="55">
        <v>1</v>
      </c>
      <c r="G58" s="61">
        <f>VLOOKUP($E58, MonsterData!$A$5:$G$13, 7, 0)</f>
        <v>1</v>
      </c>
    </row>
    <row r="59" spans="1:7">
      <c r="A59" s="50" t="s">
        <v>210</v>
      </c>
      <c r="B59" s="51">
        <v>10</v>
      </c>
      <c r="C59" s="51" t="s">
        <v>203</v>
      </c>
      <c r="D59" s="51" t="s">
        <v>204</v>
      </c>
      <c r="E59" s="51" t="s">
        <v>275</v>
      </c>
      <c r="F59" s="51">
        <v>1</v>
      </c>
      <c r="G59" s="60">
        <f>VLOOKUP($E59, MonsterData!$A$5:$G$13, 7, 0)</f>
        <v>5</v>
      </c>
    </row>
    <row r="60" spans="1:7">
      <c r="A60" s="54" t="s">
        <v>159</v>
      </c>
      <c r="B60" s="55">
        <v>11</v>
      </c>
      <c r="C60" s="55" t="s">
        <v>203</v>
      </c>
      <c r="D60" s="55" t="s">
        <v>204</v>
      </c>
      <c r="E60" s="55" t="s">
        <v>206</v>
      </c>
      <c r="F60" s="55">
        <v>1</v>
      </c>
      <c r="G60" s="61">
        <f>VLOOKUP($E60, MonsterData!$A$5:$G$13, 7, 0)</f>
        <v>1</v>
      </c>
    </row>
    <row r="61" spans="1:7">
      <c r="A61" s="50" t="s">
        <v>210</v>
      </c>
      <c r="B61" s="51">
        <v>12</v>
      </c>
      <c r="C61" s="51" t="s">
        <v>203</v>
      </c>
      <c r="D61" s="51" t="s">
        <v>204</v>
      </c>
      <c r="E61" s="51" t="s">
        <v>205</v>
      </c>
      <c r="F61" s="51">
        <v>1</v>
      </c>
      <c r="G61" s="60">
        <f>VLOOKUP($E61, MonsterData!$A$5:$G$13, 7, 0)</f>
        <v>1</v>
      </c>
    </row>
    <row r="62" spans="1:7">
      <c r="A62" s="54" t="s">
        <v>159</v>
      </c>
      <c r="B62" s="55">
        <v>13</v>
      </c>
      <c r="C62" s="55" t="s">
        <v>203</v>
      </c>
      <c r="D62" s="55" t="s">
        <v>204</v>
      </c>
      <c r="E62" s="55" t="s">
        <v>206</v>
      </c>
      <c r="F62" s="55">
        <v>1</v>
      </c>
      <c r="G62" s="61">
        <f>VLOOKUP($E62, MonsterData!$A$5:$G$13, 7, 0)</f>
        <v>1</v>
      </c>
    </row>
    <row r="63" spans="1:7">
      <c r="A63" s="50" t="s">
        <v>210</v>
      </c>
      <c r="B63" s="51">
        <v>14</v>
      </c>
      <c r="C63" s="51" t="s">
        <v>203</v>
      </c>
      <c r="D63" s="51" t="s">
        <v>204</v>
      </c>
      <c r="E63" s="51" t="s">
        <v>207</v>
      </c>
      <c r="F63" s="51">
        <v>1</v>
      </c>
      <c r="G63" s="60">
        <f>VLOOKUP($E63, MonsterData!$A$5:$G$13, 7, 0)</f>
        <v>1</v>
      </c>
    </row>
    <row r="64" spans="1:7">
      <c r="A64" s="54" t="s">
        <v>159</v>
      </c>
      <c r="B64" s="55">
        <v>15</v>
      </c>
      <c r="C64" s="55" t="s">
        <v>203</v>
      </c>
      <c r="D64" s="55" t="s">
        <v>204</v>
      </c>
      <c r="E64" s="55" t="s">
        <v>208</v>
      </c>
      <c r="F64" s="55">
        <v>1</v>
      </c>
      <c r="G64" s="61">
        <f>VLOOKUP($E64, MonsterData!$A$5:$G$13, 7, 0)</f>
        <v>1</v>
      </c>
    </row>
    <row r="65" spans="1:7">
      <c r="A65" s="50" t="s">
        <v>210</v>
      </c>
      <c r="B65" s="51">
        <v>16</v>
      </c>
      <c r="C65" s="51" t="s">
        <v>203</v>
      </c>
      <c r="D65" s="51" t="s">
        <v>204</v>
      </c>
      <c r="E65" s="51" t="s">
        <v>206</v>
      </c>
      <c r="F65" s="51">
        <v>1</v>
      </c>
      <c r="G65" s="60">
        <f>VLOOKUP($E65, MonsterData!$A$5:$G$13, 7, 0)</f>
        <v>1</v>
      </c>
    </row>
    <row r="66" spans="1:7">
      <c r="A66" s="54" t="s">
        <v>159</v>
      </c>
      <c r="B66" s="55">
        <v>17</v>
      </c>
      <c r="C66" s="55" t="s">
        <v>203</v>
      </c>
      <c r="D66" s="55" t="s">
        <v>204</v>
      </c>
      <c r="E66" s="55" t="s">
        <v>205</v>
      </c>
      <c r="F66" s="55">
        <v>1</v>
      </c>
      <c r="G66" s="61">
        <f>VLOOKUP($E66, MonsterData!$A$5:$G$13, 7, 0)</f>
        <v>1</v>
      </c>
    </row>
    <row r="67" spans="1:7">
      <c r="A67" s="50" t="s">
        <v>210</v>
      </c>
      <c r="B67" s="51">
        <v>18</v>
      </c>
      <c r="C67" s="51" t="s">
        <v>203</v>
      </c>
      <c r="D67" s="51" t="s">
        <v>204</v>
      </c>
      <c r="E67" s="51" t="s">
        <v>206</v>
      </c>
      <c r="F67" s="51">
        <v>1</v>
      </c>
      <c r="G67" s="60">
        <f>VLOOKUP($E67, MonsterData!$A$5:$G$13, 7, 0)</f>
        <v>1</v>
      </c>
    </row>
    <row r="68" spans="1:7">
      <c r="A68" s="54" t="s">
        <v>159</v>
      </c>
      <c r="B68" s="55">
        <v>19</v>
      </c>
      <c r="C68" s="55" t="s">
        <v>203</v>
      </c>
      <c r="D68" s="55" t="s">
        <v>204</v>
      </c>
      <c r="E68" s="55" t="s">
        <v>207</v>
      </c>
      <c r="F68" s="55">
        <v>1</v>
      </c>
      <c r="G68" s="61">
        <f>VLOOKUP($E68, MonsterData!$A$5:$G$13, 7, 0)</f>
        <v>1</v>
      </c>
    </row>
    <row r="69" spans="1:7">
      <c r="A69" s="50" t="s">
        <v>210</v>
      </c>
      <c r="B69" s="51">
        <v>20</v>
      </c>
      <c r="C69" s="51" t="s">
        <v>203</v>
      </c>
      <c r="D69" s="51" t="s">
        <v>204</v>
      </c>
      <c r="E69" s="51" t="s">
        <v>208</v>
      </c>
      <c r="F69" s="51">
        <v>1</v>
      </c>
      <c r="G69" s="60">
        <f>VLOOKUP($E69, MonsterData!$A$5:$G$13, 7, 0)</f>
        <v>1</v>
      </c>
    </row>
    <row r="70" spans="1:7">
      <c r="A70" s="54" t="s">
        <v>159</v>
      </c>
      <c r="B70" s="55">
        <v>21</v>
      </c>
      <c r="C70" s="55" t="s">
        <v>203</v>
      </c>
      <c r="D70" s="55" t="s">
        <v>204</v>
      </c>
      <c r="E70" s="55" t="s">
        <v>276</v>
      </c>
      <c r="F70" s="55">
        <v>1</v>
      </c>
      <c r="G70" s="61">
        <f>VLOOKUP($E70, MonsterData!$A$5:$G$13, 7, 0)</f>
        <v>5</v>
      </c>
    </row>
    <row r="71" spans="1:7">
      <c r="A71" s="50" t="s">
        <v>211</v>
      </c>
      <c r="B71" s="51">
        <v>0</v>
      </c>
      <c r="C71" s="51" t="s">
        <v>203</v>
      </c>
      <c r="D71" s="51" t="s">
        <v>204</v>
      </c>
      <c r="E71" s="51" t="s">
        <v>206</v>
      </c>
      <c r="F71" s="51">
        <v>1</v>
      </c>
      <c r="G71" s="60">
        <f>VLOOKUP($E71, MonsterData!$A$5:$G$13, 7, 0)</f>
        <v>1</v>
      </c>
    </row>
    <row r="72" spans="1:7">
      <c r="A72" s="54" t="s">
        <v>161</v>
      </c>
      <c r="B72" s="55">
        <v>1</v>
      </c>
      <c r="C72" s="55" t="s">
        <v>203</v>
      </c>
      <c r="D72" s="55" t="s">
        <v>204</v>
      </c>
      <c r="E72" s="55" t="s">
        <v>207</v>
      </c>
      <c r="F72" s="55">
        <v>1</v>
      </c>
      <c r="G72" s="61">
        <f>VLOOKUP($E72, MonsterData!$A$5:$G$13, 7, 0)</f>
        <v>1</v>
      </c>
    </row>
    <row r="73" spans="1:7">
      <c r="A73" s="50" t="s">
        <v>211</v>
      </c>
      <c r="B73" s="51">
        <v>2</v>
      </c>
      <c r="C73" s="51" t="s">
        <v>203</v>
      </c>
      <c r="D73" s="51" t="s">
        <v>204</v>
      </c>
      <c r="E73" s="51" t="s">
        <v>208</v>
      </c>
      <c r="F73" s="51">
        <v>1</v>
      </c>
      <c r="G73" s="60">
        <f>VLOOKUP($E73, MonsterData!$A$5:$G$13, 7, 0)</f>
        <v>1</v>
      </c>
    </row>
    <row r="74" spans="1:7">
      <c r="A74" s="54" t="s">
        <v>161</v>
      </c>
      <c r="B74" s="55">
        <v>3</v>
      </c>
      <c r="C74" s="55" t="s">
        <v>203</v>
      </c>
      <c r="D74" s="55" t="s">
        <v>204</v>
      </c>
      <c r="E74" s="55" t="s">
        <v>206</v>
      </c>
      <c r="F74" s="55">
        <v>1</v>
      </c>
      <c r="G74" s="61">
        <f>VLOOKUP($E74, MonsterData!$A$5:$G$13, 7, 0)</f>
        <v>1</v>
      </c>
    </row>
    <row r="75" spans="1:7">
      <c r="A75" s="50" t="s">
        <v>211</v>
      </c>
      <c r="B75" s="51">
        <v>4</v>
      </c>
      <c r="C75" s="51" t="s">
        <v>203</v>
      </c>
      <c r="D75" s="51" t="s">
        <v>204</v>
      </c>
      <c r="E75" s="51" t="s">
        <v>205</v>
      </c>
      <c r="F75" s="51">
        <v>1</v>
      </c>
      <c r="G75" s="60">
        <f>VLOOKUP($E75, MonsterData!$A$5:$G$13, 7, 0)</f>
        <v>1</v>
      </c>
    </row>
    <row r="76" spans="1:7">
      <c r="A76" s="54" t="s">
        <v>161</v>
      </c>
      <c r="B76" s="55">
        <v>5</v>
      </c>
      <c r="C76" s="55" t="s">
        <v>203</v>
      </c>
      <c r="D76" s="55" t="s">
        <v>204</v>
      </c>
      <c r="E76" s="55" t="s">
        <v>206</v>
      </c>
      <c r="F76" s="55">
        <v>1</v>
      </c>
      <c r="G76" s="61">
        <f>VLOOKUP($E76, MonsterData!$A$5:$G$13, 7, 0)</f>
        <v>1</v>
      </c>
    </row>
    <row r="77" spans="1:7">
      <c r="A77" s="50" t="s">
        <v>211</v>
      </c>
      <c r="B77" s="51">
        <v>6</v>
      </c>
      <c r="C77" s="51" t="s">
        <v>203</v>
      </c>
      <c r="D77" s="51" t="s">
        <v>204</v>
      </c>
      <c r="E77" s="51" t="s">
        <v>207</v>
      </c>
      <c r="F77" s="51">
        <v>1</v>
      </c>
      <c r="G77" s="60">
        <f>VLOOKUP($E77, MonsterData!$A$5:$G$13, 7, 0)</f>
        <v>1</v>
      </c>
    </row>
    <row r="78" spans="1:7">
      <c r="A78" s="54" t="s">
        <v>161</v>
      </c>
      <c r="B78" s="55">
        <v>7</v>
      </c>
      <c r="C78" s="55" t="s">
        <v>203</v>
      </c>
      <c r="D78" s="55" t="s">
        <v>204</v>
      </c>
      <c r="E78" s="55" t="s">
        <v>208</v>
      </c>
      <c r="F78" s="55">
        <v>1</v>
      </c>
      <c r="G78" s="61">
        <f>VLOOKUP($E78, MonsterData!$A$5:$G$13, 7, 0)</f>
        <v>1</v>
      </c>
    </row>
    <row r="79" spans="1:7">
      <c r="A79" s="50" t="s">
        <v>211</v>
      </c>
      <c r="B79" s="51">
        <v>8</v>
      </c>
      <c r="C79" s="51" t="s">
        <v>203</v>
      </c>
      <c r="D79" s="51" t="s">
        <v>204</v>
      </c>
      <c r="E79" s="51" t="s">
        <v>206</v>
      </c>
      <c r="F79" s="51">
        <v>1</v>
      </c>
      <c r="G79" s="60">
        <f>VLOOKUP($E79, MonsterData!$A$5:$G$13, 7, 0)</f>
        <v>1</v>
      </c>
    </row>
    <row r="80" spans="1:7">
      <c r="A80" s="54" t="s">
        <v>161</v>
      </c>
      <c r="B80" s="55">
        <v>9</v>
      </c>
      <c r="C80" s="55" t="s">
        <v>203</v>
      </c>
      <c r="D80" s="55" t="s">
        <v>204</v>
      </c>
      <c r="E80" s="55" t="s">
        <v>205</v>
      </c>
      <c r="F80" s="55">
        <v>1</v>
      </c>
      <c r="G80" s="61">
        <f>VLOOKUP($E80, MonsterData!$A$5:$G$13, 7, 0)</f>
        <v>1</v>
      </c>
    </row>
    <row r="81" spans="1:7">
      <c r="A81" s="50" t="s">
        <v>211</v>
      </c>
      <c r="B81" s="51">
        <v>10</v>
      </c>
      <c r="C81" s="51" t="s">
        <v>203</v>
      </c>
      <c r="D81" s="51" t="s">
        <v>204</v>
      </c>
      <c r="E81" s="51" t="s">
        <v>276</v>
      </c>
      <c r="F81" s="51">
        <v>1</v>
      </c>
      <c r="G81" s="60">
        <f>VLOOKUP($E81, MonsterData!$A$5:$G$13, 7, 0)</f>
        <v>5</v>
      </c>
    </row>
    <row r="82" spans="1:7">
      <c r="A82" s="54" t="s">
        <v>161</v>
      </c>
      <c r="B82" s="55">
        <v>11</v>
      </c>
      <c r="C82" s="55" t="s">
        <v>203</v>
      </c>
      <c r="D82" s="55" t="s">
        <v>204</v>
      </c>
      <c r="E82" s="55" t="s">
        <v>206</v>
      </c>
      <c r="F82" s="55">
        <v>1</v>
      </c>
      <c r="G82" s="61">
        <f>VLOOKUP($E82, MonsterData!$A$5:$G$13, 7, 0)</f>
        <v>1</v>
      </c>
    </row>
    <row r="83" spans="1:7">
      <c r="A83" s="50" t="s">
        <v>211</v>
      </c>
      <c r="B83" s="51">
        <v>12</v>
      </c>
      <c r="C83" s="51" t="s">
        <v>203</v>
      </c>
      <c r="D83" s="51" t="s">
        <v>204</v>
      </c>
      <c r="E83" s="51" t="s">
        <v>207</v>
      </c>
      <c r="F83" s="51">
        <v>1</v>
      </c>
      <c r="G83" s="60">
        <f>VLOOKUP($E83, MonsterData!$A$5:$G$13, 7, 0)</f>
        <v>1</v>
      </c>
    </row>
    <row r="84" spans="1:7">
      <c r="A84" s="54" t="s">
        <v>161</v>
      </c>
      <c r="B84" s="55">
        <v>13</v>
      </c>
      <c r="C84" s="55" t="s">
        <v>203</v>
      </c>
      <c r="D84" s="55" t="s">
        <v>204</v>
      </c>
      <c r="E84" s="55" t="s">
        <v>208</v>
      </c>
      <c r="F84" s="55">
        <v>1</v>
      </c>
      <c r="G84" s="61">
        <f>VLOOKUP($E84, MonsterData!$A$5:$G$13, 7, 0)</f>
        <v>1</v>
      </c>
    </row>
    <row r="85" spans="1:7">
      <c r="A85" s="50" t="s">
        <v>211</v>
      </c>
      <c r="B85" s="51">
        <v>14</v>
      </c>
      <c r="C85" s="51" t="s">
        <v>203</v>
      </c>
      <c r="D85" s="51" t="s">
        <v>204</v>
      </c>
      <c r="E85" s="51" t="s">
        <v>206</v>
      </c>
      <c r="F85" s="51">
        <v>1</v>
      </c>
      <c r="G85" s="60">
        <f>VLOOKUP($E85, MonsterData!$A$5:$G$13, 7, 0)</f>
        <v>1</v>
      </c>
    </row>
    <row r="86" spans="1:7">
      <c r="A86" s="54" t="s">
        <v>161</v>
      </c>
      <c r="B86" s="55">
        <v>15</v>
      </c>
      <c r="C86" s="55" t="s">
        <v>203</v>
      </c>
      <c r="D86" s="55" t="s">
        <v>204</v>
      </c>
      <c r="E86" s="55" t="s">
        <v>205</v>
      </c>
      <c r="F86" s="55">
        <v>1</v>
      </c>
      <c r="G86" s="61">
        <f>VLOOKUP($E86, MonsterData!$A$5:$G$13, 7, 0)</f>
        <v>1</v>
      </c>
    </row>
    <row r="87" spans="1:7">
      <c r="A87" s="50" t="s">
        <v>211</v>
      </c>
      <c r="B87" s="51">
        <v>16</v>
      </c>
      <c r="C87" s="51" t="s">
        <v>203</v>
      </c>
      <c r="D87" s="51" t="s">
        <v>204</v>
      </c>
      <c r="E87" s="51" t="s">
        <v>206</v>
      </c>
      <c r="F87" s="51">
        <v>1</v>
      </c>
      <c r="G87" s="60">
        <f>VLOOKUP($E87, MonsterData!$A$5:$G$13, 7, 0)</f>
        <v>1</v>
      </c>
    </row>
    <row r="88" spans="1:7">
      <c r="A88" s="54" t="s">
        <v>161</v>
      </c>
      <c r="B88" s="55">
        <v>17</v>
      </c>
      <c r="C88" s="55" t="s">
        <v>203</v>
      </c>
      <c r="D88" s="55" t="s">
        <v>204</v>
      </c>
      <c r="E88" s="55" t="s">
        <v>207</v>
      </c>
      <c r="F88" s="55">
        <v>1</v>
      </c>
      <c r="G88" s="61">
        <f>VLOOKUP($E88, MonsterData!$A$5:$G$13, 7, 0)</f>
        <v>1</v>
      </c>
    </row>
    <row r="89" spans="1:7">
      <c r="A89" s="50" t="s">
        <v>211</v>
      </c>
      <c r="B89" s="51">
        <v>18</v>
      </c>
      <c r="C89" s="51" t="s">
        <v>203</v>
      </c>
      <c r="D89" s="51" t="s">
        <v>204</v>
      </c>
      <c r="E89" s="51" t="s">
        <v>208</v>
      </c>
      <c r="F89" s="51">
        <v>1</v>
      </c>
      <c r="G89" s="60">
        <f>VLOOKUP($E89, MonsterData!$A$5:$G$13, 7, 0)</f>
        <v>1</v>
      </c>
    </row>
    <row r="90" spans="1:7">
      <c r="A90" s="54" t="s">
        <v>161</v>
      </c>
      <c r="B90" s="55">
        <v>19</v>
      </c>
      <c r="C90" s="55" t="s">
        <v>203</v>
      </c>
      <c r="D90" s="55" t="s">
        <v>204</v>
      </c>
      <c r="E90" s="55" t="s">
        <v>206</v>
      </c>
      <c r="F90" s="55">
        <v>1</v>
      </c>
      <c r="G90" s="61">
        <f>VLOOKUP($E90, MonsterData!$A$5:$G$13, 7, 0)</f>
        <v>1</v>
      </c>
    </row>
    <row r="91" spans="1:7">
      <c r="A91" s="50" t="s">
        <v>211</v>
      </c>
      <c r="B91" s="51">
        <v>20</v>
      </c>
      <c r="C91" s="51" t="s">
        <v>203</v>
      </c>
      <c r="D91" s="51" t="s">
        <v>204</v>
      </c>
      <c r="E91" s="51" t="s">
        <v>205</v>
      </c>
      <c r="F91" s="51">
        <v>1</v>
      </c>
      <c r="G91" s="60">
        <f>VLOOKUP($E91, MonsterData!$A$5:$G$13, 7, 0)</f>
        <v>1</v>
      </c>
    </row>
    <row r="92" spans="1:7">
      <c r="A92" s="54" t="s">
        <v>161</v>
      </c>
      <c r="B92" s="55">
        <v>21</v>
      </c>
      <c r="C92" s="55" t="s">
        <v>203</v>
      </c>
      <c r="D92" s="55" t="s">
        <v>204</v>
      </c>
      <c r="E92" s="55" t="s">
        <v>275</v>
      </c>
      <c r="F92" s="55">
        <v>1</v>
      </c>
      <c r="G92" s="61">
        <f>VLOOKUP($E92, MonsterData!$A$5:$G$13, 7, 0)</f>
        <v>5</v>
      </c>
    </row>
    <row r="93" spans="1:7">
      <c r="A93" s="50" t="s">
        <v>212</v>
      </c>
      <c r="B93" s="51">
        <v>0</v>
      </c>
      <c r="C93" s="51" t="s">
        <v>203</v>
      </c>
      <c r="D93" s="51" t="s">
        <v>204</v>
      </c>
      <c r="E93" s="51" t="s">
        <v>208</v>
      </c>
      <c r="F93" s="51">
        <v>1</v>
      </c>
      <c r="G93" s="60">
        <f>VLOOKUP($E93, MonsterData!$A$5:$G$13, 7, 0)</f>
        <v>1</v>
      </c>
    </row>
    <row r="94" spans="1:7">
      <c r="A94" s="54" t="s">
        <v>163</v>
      </c>
      <c r="B94" s="55">
        <v>1</v>
      </c>
      <c r="C94" s="55" t="s">
        <v>203</v>
      </c>
      <c r="D94" s="55" t="s">
        <v>204</v>
      </c>
      <c r="E94" s="55" t="s">
        <v>206</v>
      </c>
      <c r="F94" s="55">
        <v>1</v>
      </c>
      <c r="G94" s="61">
        <f>VLOOKUP($E94, MonsterData!$A$5:$G$13, 7, 0)</f>
        <v>1</v>
      </c>
    </row>
    <row r="95" spans="1:7">
      <c r="A95" s="50" t="s">
        <v>212</v>
      </c>
      <c r="B95" s="51">
        <v>2</v>
      </c>
      <c r="C95" s="51" t="s">
        <v>203</v>
      </c>
      <c r="D95" s="51" t="s">
        <v>204</v>
      </c>
      <c r="E95" s="51" t="s">
        <v>205</v>
      </c>
      <c r="F95" s="51">
        <v>1</v>
      </c>
      <c r="G95" s="60">
        <f>VLOOKUP($E95, MonsterData!$A$5:$G$13, 7, 0)</f>
        <v>1</v>
      </c>
    </row>
    <row r="96" spans="1:7">
      <c r="A96" s="54" t="s">
        <v>163</v>
      </c>
      <c r="B96" s="55">
        <v>3</v>
      </c>
      <c r="C96" s="55" t="s">
        <v>203</v>
      </c>
      <c r="D96" s="55" t="s">
        <v>204</v>
      </c>
      <c r="E96" s="55" t="s">
        <v>206</v>
      </c>
      <c r="F96" s="55">
        <v>1</v>
      </c>
      <c r="G96" s="61">
        <f>VLOOKUP($E96, MonsterData!$A$5:$G$13, 7, 0)</f>
        <v>1</v>
      </c>
    </row>
    <row r="97" spans="1:7">
      <c r="A97" s="50" t="s">
        <v>212</v>
      </c>
      <c r="B97" s="51">
        <v>4</v>
      </c>
      <c r="C97" s="51" t="s">
        <v>203</v>
      </c>
      <c r="D97" s="51" t="s">
        <v>204</v>
      </c>
      <c r="E97" s="51" t="s">
        <v>207</v>
      </c>
      <c r="F97" s="51">
        <v>1</v>
      </c>
      <c r="G97" s="60">
        <f>VLOOKUP($E97, MonsterData!$A$5:$G$13, 7, 0)</f>
        <v>1</v>
      </c>
    </row>
    <row r="98" spans="1:7">
      <c r="A98" s="54" t="s">
        <v>163</v>
      </c>
      <c r="B98" s="55">
        <v>5</v>
      </c>
      <c r="C98" s="55" t="s">
        <v>203</v>
      </c>
      <c r="D98" s="55" t="s">
        <v>204</v>
      </c>
      <c r="E98" s="55" t="s">
        <v>208</v>
      </c>
      <c r="F98" s="55">
        <v>1</v>
      </c>
      <c r="G98" s="61">
        <f>VLOOKUP($E98, MonsterData!$A$5:$G$13, 7, 0)</f>
        <v>1</v>
      </c>
    </row>
    <row r="99" spans="1:7">
      <c r="A99" s="50" t="s">
        <v>212</v>
      </c>
      <c r="B99" s="51">
        <v>6</v>
      </c>
      <c r="C99" s="51" t="s">
        <v>203</v>
      </c>
      <c r="D99" s="51" t="s">
        <v>204</v>
      </c>
      <c r="E99" s="51" t="s">
        <v>206</v>
      </c>
      <c r="F99" s="51">
        <v>1</v>
      </c>
      <c r="G99" s="60">
        <f>VLOOKUP($E99, MonsterData!$A$5:$G$13, 7, 0)</f>
        <v>1</v>
      </c>
    </row>
    <row r="100" spans="1:7">
      <c r="A100" s="54" t="s">
        <v>163</v>
      </c>
      <c r="B100" s="55">
        <v>7</v>
      </c>
      <c r="C100" s="55" t="s">
        <v>203</v>
      </c>
      <c r="D100" s="55" t="s">
        <v>204</v>
      </c>
      <c r="E100" s="55" t="s">
        <v>205</v>
      </c>
      <c r="F100" s="55">
        <v>1</v>
      </c>
      <c r="G100" s="61">
        <f>VLOOKUP($E100, MonsterData!$A$5:$G$13, 7, 0)</f>
        <v>1</v>
      </c>
    </row>
    <row r="101" spans="1:7">
      <c r="A101" s="50" t="s">
        <v>212</v>
      </c>
      <c r="B101" s="51">
        <v>8</v>
      </c>
      <c r="C101" s="51" t="s">
        <v>203</v>
      </c>
      <c r="D101" s="51" t="s">
        <v>204</v>
      </c>
      <c r="E101" s="51" t="s">
        <v>206</v>
      </c>
      <c r="F101" s="51">
        <v>1</v>
      </c>
      <c r="G101" s="60">
        <f>VLOOKUP($E101, MonsterData!$A$5:$G$13, 7, 0)</f>
        <v>1</v>
      </c>
    </row>
    <row r="102" spans="1:7">
      <c r="A102" s="54" t="s">
        <v>163</v>
      </c>
      <c r="B102" s="55">
        <v>9</v>
      </c>
      <c r="C102" s="55" t="s">
        <v>203</v>
      </c>
      <c r="D102" s="55" t="s">
        <v>204</v>
      </c>
      <c r="E102" s="55" t="s">
        <v>207</v>
      </c>
      <c r="F102" s="55">
        <v>1</v>
      </c>
      <c r="G102" s="61">
        <f>VLOOKUP($E102, MonsterData!$A$5:$G$13, 7, 0)</f>
        <v>1</v>
      </c>
    </row>
    <row r="103" spans="1:7">
      <c r="A103" s="50" t="s">
        <v>212</v>
      </c>
      <c r="B103" s="51">
        <v>10</v>
      </c>
      <c r="C103" s="51" t="s">
        <v>203</v>
      </c>
      <c r="D103" s="51" t="s">
        <v>204</v>
      </c>
      <c r="E103" s="51" t="s">
        <v>275</v>
      </c>
      <c r="F103" s="51">
        <v>1</v>
      </c>
      <c r="G103" s="60">
        <f>VLOOKUP($E103, MonsterData!$A$5:$G$13, 7, 0)</f>
        <v>5</v>
      </c>
    </row>
    <row r="104" spans="1:7">
      <c r="A104" s="54" t="s">
        <v>163</v>
      </c>
      <c r="B104" s="55">
        <v>11</v>
      </c>
      <c r="C104" s="55" t="s">
        <v>203</v>
      </c>
      <c r="D104" s="55" t="s">
        <v>204</v>
      </c>
      <c r="E104" s="55" t="s">
        <v>208</v>
      </c>
      <c r="F104" s="55">
        <v>1</v>
      </c>
      <c r="G104" s="61">
        <f>VLOOKUP($E104, MonsterData!$A$5:$G$13, 7, 0)</f>
        <v>1</v>
      </c>
    </row>
    <row r="105" spans="1:7">
      <c r="A105" s="50" t="s">
        <v>212</v>
      </c>
      <c r="B105" s="51">
        <v>12</v>
      </c>
      <c r="C105" s="51" t="s">
        <v>203</v>
      </c>
      <c r="D105" s="51" t="s">
        <v>204</v>
      </c>
      <c r="E105" s="51" t="s">
        <v>206</v>
      </c>
      <c r="F105" s="51">
        <v>1</v>
      </c>
      <c r="G105" s="60">
        <f>VLOOKUP($E105, MonsterData!$A$5:$G$13, 7, 0)</f>
        <v>1</v>
      </c>
    </row>
    <row r="106" spans="1:7">
      <c r="A106" s="54" t="s">
        <v>163</v>
      </c>
      <c r="B106" s="55">
        <v>13</v>
      </c>
      <c r="C106" s="55" t="s">
        <v>203</v>
      </c>
      <c r="D106" s="55" t="s">
        <v>204</v>
      </c>
      <c r="E106" s="55" t="s">
        <v>205</v>
      </c>
      <c r="F106" s="55">
        <v>1</v>
      </c>
      <c r="G106" s="61">
        <f>VLOOKUP($E106, MonsterData!$A$5:$G$13, 7, 0)</f>
        <v>1</v>
      </c>
    </row>
    <row r="107" spans="1:7">
      <c r="A107" s="50" t="s">
        <v>212</v>
      </c>
      <c r="B107" s="51">
        <v>14</v>
      </c>
      <c r="C107" s="51" t="s">
        <v>203</v>
      </c>
      <c r="D107" s="51" t="s">
        <v>204</v>
      </c>
      <c r="E107" s="51" t="s">
        <v>206</v>
      </c>
      <c r="F107" s="51">
        <v>1</v>
      </c>
      <c r="G107" s="60">
        <f>VLOOKUP($E107, MonsterData!$A$5:$G$13, 7, 0)</f>
        <v>1</v>
      </c>
    </row>
    <row r="108" spans="1:7">
      <c r="A108" s="54" t="s">
        <v>163</v>
      </c>
      <c r="B108" s="55">
        <v>15</v>
      </c>
      <c r="C108" s="55" t="s">
        <v>203</v>
      </c>
      <c r="D108" s="55" t="s">
        <v>204</v>
      </c>
      <c r="E108" s="55" t="s">
        <v>207</v>
      </c>
      <c r="F108" s="55">
        <v>1</v>
      </c>
      <c r="G108" s="61">
        <f>VLOOKUP($E108, MonsterData!$A$5:$G$13, 7, 0)</f>
        <v>1</v>
      </c>
    </row>
    <row r="109" spans="1:7">
      <c r="A109" s="50" t="s">
        <v>212</v>
      </c>
      <c r="B109" s="51">
        <v>16</v>
      </c>
      <c r="C109" s="51" t="s">
        <v>203</v>
      </c>
      <c r="D109" s="51" t="s">
        <v>204</v>
      </c>
      <c r="E109" s="51" t="s">
        <v>208</v>
      </c>
      <c r="F109" s="51">
        <v>1</v>
      </c>
      <c r="G109" s="60">
        <f>VLOOKUP($E109, MonsterData!$A$5:$G$13, 7, 0)</f>
        <v>1</v>
      </c>
    </row>
    <row r="110" spans="1:7">
      <c r="A110" s="54" t="s">
        <v>163</v>
      </c>
      <c r="B110" s="55">
        <v>17</v>
      </c>
      <c r="C110" s="55" t="s">
        <v>203</v>
      </c>
      <c r="D110" s="55" t="s">
        <v>204</v>
      </c>
      <c r="E110" s="55" t="s">
        <v>206</v>
      </c>
      <c r="F110" s="55">
        <v>1</v>
      </c>
      <c r="G110" s="61">
        <f>VLOOKUP($E110, MonsterData!$A$5:$G$13, 7, 0)</f>
        <v>1</v>
      </c>
    </row>
    <row r="111" spans="1:7">
      <c r="A111" s="50" t="s">
        <v>212</v>
      </c>
      <c r="B111" s="51">
        <v>18</v>
      </c>
      <c r="C111" s="51" t="s">
        <v>203</v>
      </c>
      <c r="D111" s="51" t="s">
        <v>204</v>
      </c>
      <c r="E111" s="51" t="s">
        <v>205</v>
      </c>
      <c r="F111" s="51">
        <v>1</v>
      </c>
      <c r="G111" s="60">
        <f>VLOOKUP($E111, MonsterData!$A$5:$G$13, 7, 0)</f>
        <v>1</v>
      </c>
    </row>
    <row r="112" spans="1:7">
      <c r="A112" s="54" t="s">
        <v>163</v>
      </c>
      <c r="B112" s="55">
        <v>19</v>
      </c>
      <c r="C112" s="55" t="s">
        <v>203</v>
      </c>
      <c r="D112" s="55" t="s">
        <v>204</v>
      </c>
      <c r="E112" s="55" t="s">
        <v>206</v>
      </c>
      <c r="F112" s="55">
        <v>1</v>
      </c>
      <c r="G112" s="61">
        <f>VLOOKUP($E112, MonsterData!$A$5:$G$13, 7, 0)</f>
        <v>1</v>
      </c>
    </row>
    <row r="113" spans="1:7">
      <c r="A113" s="50" t="s">
        <v>212</v>
      </c>
      <c r="B113" s="51">
        <v>20</v>
      </c>
      <c r="C113" s="51" t="s">
        <v>203</v>
      </c>
      <c r="D113" s="51" t="s">
        <v>204</v>
      </c>
      <c r="E113" s="51" t="s">
        <v>207</v>
      </c>
      <c r="F113" s="51">
        <v>1</v>
      </c>
      <c r="G113" s="60">
        <f>VLOOKUP($E113, MonsterData!$A$5:$G$13, 7, 0)</f>
        <v>1</v>
      </c>
    </row>
    <row r="114" spans="1:7">
      <c r="A114" s="54" t="s">
        <v>163</v>
      </c>
      <c r="B114" s="55">
        <v>21</v>
      </c>
      <c r="C114" s="55" t="s">
        <v>203</v>
      </c>
      <c r="D114" s="55" t="s">
        <v>204</v>
      </c>
      <c r="E114" s="55" t="s">
        <v>276</v>
      </c>
      <c r="F114" s="55">
        <v>1</v>
      </c>
      <c r="G114" s="61">
        <f>VLOOKUP($E114, MonsterData!$A$5:$G$13, 7, 0)</f>
        <v>5</v>
      </c>
    </row>
    <row r="115" spans="1:7">
      <c r="A115" s="50" t="s">
        <v>213</v>
      </c>
      <c r="B115" s="51">
        <v>0</v>
      </c>
      <c r="C115" s="51" t="s">
        <v>203</v>
      </c>
      <c r="D115" s="51" t="s">
        <v>204</v>
      </c>
      <c r="E115" s="51" t="s">
        <v>205</v>
      </c>
      <c r="F115" s="51">
        <v>1</v>
      </c>
      <c r="G115" s="60">
        <f>VLOOKUP($E115, MonsterData!$A$5:$G$13, 7, 0)</f>
        <v>1</v>
      </c>
    </row>
    <row r="116" spans="1:7">
      <c r="A116" s="54" t="s">
        <v>165</v>
      </c>
      <c r="B116" s="55">
        <v>1</v>
      </c>
      <c r="C116" s="55" t="s">
        <v>203</v>
      </c>
      <c r="D116" s="55" t="s">
        <v>204</v>
      </c>
      <c r="E116" s="55" t="s">
        <v>206</v>
      </c>
      <c r="F116" s="55">
        <v>1</v>
      </c>
      <c r="G116" s="61">
        <f>VLOOKUP($E116, MonsterData!$A$5:$G$13, 7, 0)</f>
        <v>1</v>
      </c>
    </row>
    <row r="117" spans="1:7">
      <c r="A117" s="50" t="s">
        <v>213</v>
      </c>
      <c r="B117" s="51">
        <v>2</v>
      </c>
      <c r="C117" s="51" t="s">
        <v>203</v>
      </c>
      <c r="D117" s="51" t="s">
        <v>204</v>
      </c>
      <c r="E117" s="51" t="s">
        <v>207</v>
      </c>
      <c r="F117" s="51">
        <v>1</v>
      </c>
      <c r="G117" s="60">
        <f>VLOOKUP($E117, MonsterData!$A$5:$G$13, 7, 0)</f>
        <v>1</v>
      </c>
    </row>
    <row r="118" spans="1:7">
      <c r="A118" s="54" t="s">
        <v>165</v>
      </c>
      <c r="B118" s="55">
        <v>3</v>
      </c>
      <c r="C118" s="55" t="s">
        <v>203</v>
      </c>
      <c r="D118" s="55" t="s">
        <v>204</v>
      </c>
      <c r="E118" s="55" t="s">
        <v>208</v>
      </c>
      <c r="F118" s="55">
        <v>1</v>
      </c>
      <c r="G118" s="61">
        <f>VLOOKUP($E118, MonsterData!$A$5:$G$13, 7, 0)</f>
        <v>1</v>
      </c>
    </row>
    <row r="119" spans="1:7">
      <c r="A119" s="50" t="s">
        <v>213</v>
      </c>
      <c r="B119" s="51">
        <v>4</v>
      </c>
      <c r="C119" s="51" t="s">
        <v>203</v>
      </c>
      <c r="D119" s="51" t="s">
        <v>204</v>
      </c>
      <c r="E119" s="51" t="s">
        <v>206</v>
      </c>
      <c r="F119" s="51">
        <v>1</v>
      </c>
      <c r="G119" s="60">
        <f>VLOOKUP($E119, MonsterData!$A$5:$G$13, 7, 0)</f>
        <v>1</v>
      </c>
    </row>
    <row r="120" spans="1:7">
      <c r="A120" s="54" t="s">
        <v>165</v>
      </c>
      <c r="B120" s="55">
        <v>5</v>
      </c>
      <c r="C120" s="55" t="s">
        <v>203</v>
      </c>
      <c r="D120" s="55" t="s">
        <v>204</v>
      </c>
      <c r="E120" s="55" t="s">
        <v>205</v>
      </c>
      <c r="F120" s="55">
        <v>1</v>
      </c>
      <c r="G120" s="61">
        <f>VLOOKUP($E120, MonsterData!$A$5:$G$13, 7, 0)</f>
        <v>1</v>
      </c>
    </row>
    <row r="121" spans="1:7">
      <c r="A121" s="50" t="s">
        <v>213</v>
      </c>
      <c r="B121" s="51">
        <v>6</v>
      </c>
      <c r="C121" s="51" t="s">
        <v>203</v>
      </c>
      <c r="D121" s="51" t="s">
        <v>204</v>
      </c>
      <c r="E121" s="51" t="s">
        <v>206</v>
      </c>
      <c r="F121" s="51">
        <v>1</v>
      </c>
      <c r="G121" s="60">
        <f>VLOOKUP($E121, MonsterData!$A$5:$G$13, 7, 0)</f>
        <v>1</v>
      </c>
    </row>
    <row r="122" spans="1:7">
      <c r="A122" s="54" t="s">
        <v>165</v>
      </c>
      <c r="B122" s="55">
        <v>7</v>
      </c>
      <c r="C122" s="55" t="s">
        <v>203</v>
      </c>
      <c r="D122" s="55" t="s">
        <v>204</v>
      </c>
      <c r="E122" s="55" t="s">
        <v>207</v>
      </c>
      <c r="F122" s="55">
        <v>1</v>
      </c>
      <c r="G122" s="61">
        <f>VLOOKUP($E122, MonsterData!$A$5:$G$13, 7, 0)</f>
        <v>1</v>
      </c>
    </row>
    <row r="123" spans="1:7">
      <c r="A123" s="50" t="s">
        <v>213</v>
      </c>
      <c r="B123" s="51">
        <v>8</v>
      </c>
      <c r="C123" s="51" t="s">
        <v>203</v>
      </c>
      <c r="D123" s="51" t="s">
        <v>204</v>
      </c>
      <c r="E123" s="51" t="s">
        <v>208</v>
      </c>
      <c r="F123" s="51">
        <v>1</v>
      </c>
      <c r="G123" s="60">
        <f>VLOOKUP($E123, MonsterData!$A$5:$G$13, 7, 0)</f>
        <v>1</v>
      </c>
    </row>
    <row r="124" spans="1:7">
      <c r="A124" s="54" t="s">
        <v>165</v>
      </c>
      <c r="B124" s="55">
        <v>9</v>
      </c>
      <c r="C124" s="55" t="s">
        <v>203</v>
      </c>
      <c r="D124" s="55" t="s">
        <v>204</v>
      </c>
      <c r="E124" s="55" t="s">
        <v>206</v>
      </c>
      <c r="F124" s="55">
        <v>1</v>
      </c>
      <c r="G124" s="61">
        <f>VLOOKUP($E124, MonsterData!$A$5:$G$13, 7, 0)</f>
        <v>1</v>
      </c>
    </row>
    <row r="125" spans="1:7">
      <c r="A125" s="50" t="s">
        <v>213</v>
      </c>
      <c r="B125" s="51">
        <v>10</v>
      </c>
      <c r="C125" s="51" t="s">
        <v>203</v>
      </c>
      <c r="D125" s="51" t="s">
        <v>204</v>
      </c>
      <c r="E125" s="51" t="s">
        <v>276</v>
      </c>
      <c r="F125" s="51">
        <v>1</v>
      </c>
      <c r="G125" s="60">
        <f>VLOOKUP($E125, MonsterData!$A$5:$G$13, 7, 0)</f>
        <v>5</v>
      </c>
    </row>
    <row r="126" spans="1:7">
      <c r="A126" s="54" t="s">
        <v>165</v>
      </c>
      <c r="B126" s="55">
        <v>11</v>
      </c>
      <c r="C126" s="55" t="s">
        <v>203</v>
      </c>
      <c r="D126" s="55" t="s">
        <v>204</v>
      </c>
      <c r="E126" s="55" t="s">
        <v>205</v>
      </c>
      <c r="F126" s="55">
        <v>1</v>
      </c>
      <c r="G126" s="61">
        <f>VLOOKUP($E126, MonsterData!$A$5:$G$13, 7, 0)</f>
        <v>1</v>
      </c>
    </row>
    <row r="127" spans="1:7">
      <c r="A127" s="50" t="s">
        <v>213</v>
      </c>
      <c r="B127" s="51">
        <v>12</v>
      </c>
      <c r="C127" s="51" t="s">
        <v>203</v>
      </c>
      <c r="D127" s="51" t="s">
        <v>204</v>
      </c>
      <c r="E127" s="51" t="s">
        <v>206</v>
      </c>
      <c r="F127" s="51">
        <v>1</v>
      </c>
      <c r="G127" s="60">
        <f>VLOOKUP($E127, MonsterData!$A$5:$G$13, 7, 0)</f>
        <v>1</v>
      </c>
    </row>
    <row r="128" spans="1:7">
      <c r="A128" s="54" t="s">
        <v>165</v>
      </c>
      <c r="B128" s="55">
        <v>13</v>
      </c>
      <c r="C128" s="55" t="s">
        <v>203</v>
      </c>
      <c r="D128" s="55" t="s">
        <v>204</v>
      </c>
      <c r="E128" s="55" t="s">
        <v>207</v>
      </c>
      <c r="F128" s="55">
        <v>1</v>
      </c>
      <c r="G128" s="61">
        <f>VLOOKUP($E128, MonsterData!$A$5:$G$13, 7, 0)</f>
        <v>1</v>
      </c>
    </row>
    <row r="129" spans="1:7">
      <c r="A129" s="50" t="s">
        <v>213</v>
      </c>
      <c r="B129" s="51">
        <v>14</v>
      </c>
      <c r="C129" s="51" t="s">
        <v>203</v>
      </c>
      <c r="D129" s="51" t="s">
        <v>204</v>
      </c>
      <c r="E129" s="51" t="s">
        <v>208</v>
      </c>
      <c r="F129" s="51">
        <v>1</v>
      </c>
      <c r="G129" s="60">
        <f>VLOOKUP($E129, MonsterData!$A$5:$G$13, 7, 0)</f>
        <v>1</v>
      </c>
    </row>
    <row r="130" spans="1:7">
      <c r="A130" s="54" t="s">
        <v>165</v>
      </c>
      <c r="B130" s="55">
        <v>15</v>
      </c>
      <c r="C130" s="55" t="s">
        <v>203</v>
      </c>
      <c r="D130" s="55" t="s">
        <v>204</v>
      </c>
      <c r="E130" s="55" t="s">
        <v>206</v>
      </c>
      <c r="F130" s="55">
        <v>1</v>
      </c>
      <c r="G130" s="61">
        <f>VLOOKUP($E130, MonsterData!$A$5:$G$13, 7, 0)</f>
        <v>1</v>
      </c>
    </row>
    <row r="131" spans="1:7">
      <c r="A131" s="50" t="s">
        <v>213</v>
      </c>
      <c r="B131" s="51">
        <v>16</v>
      </c>
      <c r="C131" s="51" t="s">
        <v>203</v>
      </c>
      <c r="D131" s="51" t="s">
        <v>204</v>
      </c>
      <c r="E131" s="51" t="s">
        <v>205</v>
      </c>
      <c r="F131" s="51">
        <v>1</v>
      </c>
      <c r="G131" s="60">
        <f>VLOOKUP($E131, MonsterData!$A$5:$G$13, 7, 0)</f>
        <v>1</v>
      </c>
    </row>
    <row r="132" spans="1:7">
      <c r="A132" s="54" t="s">
        <v>165</v>
      </c>
      <c r="B132" s="55">
        <v>17</v>
      </c>
      <c r="C132" s="55" t="s">
        <v>203</v>
      </c>
      <c r="D132" s="55" t="s">
        <v>204</v>
      </c>
      <c r="E132" s="55" t="s">
        <v>206</v>
      </c>
      <c r="F132" s="55">
        <v>1</v>
      </c>
      <c r="G132" s="61">
        <f>VLOOKUP($E132, MonsterData!$A$5:$G$13, 7, 0)</f>
        <v>1</v>
      </c>
    </row>
    <row r="133" spans="1:7">
      <c r="A133" s="50" t="s">
        <v>213</v>
      </c>
      <c r="B133" s="51">
        <v>18</v>
      </c>
      <c r="C133" s="51" t="s">
        <v>203</v>
      </c>
      <c r="D133" s="51" t="s">
        <v>204</v>
      </c>
      <c r="E133" s="51" t="s">
        <v>207</v>
      </c>
      <c r="F133" s="51">
        <v>1</v>
      </c>
      <c r="G133" s="60">
        <f>VLOOKUP($E133, MonsterData!$A$5:$G$13, 7, 0)</f>
        <v>1</v>
      </c>
    </row>
    <row r="134" spans="1:7">
      <c r="A134" s="54" t="s">
        <v>165</v>
      </c>
      <c r="B134" s="55">
        <v>19</v>
      </c>
      <c r="C134" s="55" t="s">
        <v>203</v>
      </c>
      <c r="D134" s="55" t="s">
        <v>204</v>
      </c>
      <c r="E134" s="55" t="s">
        <v>208</v>
      </c>
      <c r="F134" s="55">
        <v>1</v>
      </c>
      <c r="G134" s="61">
        <f>VLOOKUP($E134, MonsterData!$A$5:$G$13, 7, 0)</f>
        <v>1</v>
      </c>
    </row>
    <row r="135" spans="1:7">
      <c r="A135" s="50" t="s">
        <v>213</v>
      </c>
      <c r="B135" s="51">
        <v>20</v>
      </c>
      <c r="C135" s="51" t="s">
        <v>203</v>
      </c>
      <c r="D135" s="51" t="s">
        <v>204</v>
      </c>
      <c r="E135" s="51" t="s">
        <v>206</v>
      </c>
      <c r="F135" s="51">
        <v>1</v>
      </c>
      <c r="G135" s="60">
        <f>VLOOKUP($E135, MonsterData!$A$5:$G$13, 7, 0)</f>
        <v>1</v>
      </c>
    </row>
    <row r="136" spans="1:7">
      <c r="A136" s="54" t="s">
        <v>165</v>
      </c>
      <c r="B136" s="55">
        <v>21</v>
      </c>
      <c r="C136" s="55" t="s">
        <v>203</v>
      </c>
      <c r="D136" s="55" t="s">
        <v>204</v>
      </c>
      <c r="E136" s="55" t="s">
        <v>275</v>
      </c>
      <c r="F136" s="55">
        <v>1</v>
      </c>
      <c r="G136" s="61">
        <f>VLOOKUP($E136, MonsterData!$A$5:$G$13, 7, 0)</f>
        <v>5</v>
      </c>
    </row>
    <row r="137" spans="1:7">
      <c r="A137" s="50" t="s">
        <v>214</v>
      </c>
      <c r="B137" s="51">
        <v>0</v>
      </c>
      <c r="C137" s="51" t="s">
        <v>203</v>
      </c>
      <c r="D137" s="51" t="s">
        <v>204</v>
      </c>
      <c r="E137" s="51" t="s">
        <v>207</v>
      </c>
      <c r="F137" s="51">
        <v>1</v>
      </c>
      <c r="G137" s="60">
        <f>VLOOKUP($E137, MonsterData!$A$5:$G$13, 7, 0)</f>
        <v>1</v>
      </c>
    </row>
    <row r="138" spans="1:7">
      <c r="A138" s="54" t="s">
        <v>167</v>
      </c>
      <c r="B138" s="55">
        <v>1</v>
      </c>
      <c r="C138" s="55" t="s">
        <v>203</v>
      </c>
      <c r="D138" s="55" t="s">
        <v>204</v>
      </c>
      <c r="E138" s="55" t="s">
        <v>208</v>
      </c>
      <c r="F138" s="55">
        <v>1</v>
      </c>
      <c r="G138" s="61">
        <f>VLOOKUP($E138, MonsterData!$A$5:$G$13, 7, 0)</f>
        <v>1</v>
      </c>
    </row>
    <row r="139" spans="1:7">
      <c r="A139" s="50" t="s">
        <v>214</v>
      </c>
      <c r="B139" s="51">
        <v>2</v>
      </c>
      <c r="C139" s="51" t="s">
        <v>203</v>
      </c>
      <c r="D139" s="51" t="s">
        <v>204</v>
      </c>
      <c r="E139" s="51" t="s">
        <v>206</v>
      </c>
      <c r="F139" s="51">
        <v>1</v>
      </c>
      <c r="G139" s="60">
        <f>VLOOKUP($E139, MonsterData!$A$5:$G$13, 7, 0)</f>
        <v>1</v>
      </c>
    </row>
    <row r="140" spans="1:7">
      <c r="A140" s="54" t="s">
        <v>167</v>
      </c>
      <c r="B140" s="55">
        <v>3</v>
      </c>
      <c r="C140" s="55" t="s">
        <v>203</v>
      </c>
      <c r="D140" s="55" t="s">
        <v>204</v>
      </c>
      <c r="E140" s="55" t="s">
        <v>205</v>
      </c>
      <c r="F140" s="55">
        <v>1</v>
      </c>
      <c r="G140" s="61">
        <f>VLOOKUP($E140, MonsterData!$A$5:$G$13, 7, 0)</f>
        <v>1</v>
      </c>
    </row>
    <row r="141" spans="1:7">
      <c r="A141" s="50" t="s">
        <v>214</v>
      </c>
      <c r="B141" s="51">
        <v>4</v>
      </c>
      <c r="C141" s="51" t="s">
        <v>203</v>
      </c>
      <c r="D141" s="51" t="s">
        <v>204</v>
      </c>
      <c r="E141" s="51" t="s">
        <v>206</v>
      </c>
      <c r="F141" s="51">
        <v>1</v>
      </c>
      <c r="G141" s="60">
        <f>VLOOKUP($E141, MonsterData!$A$5:$G$13, 7, 0)</f>
        <v>1</v>
      </c>
    </row>
    <row r="142" spans="1:7">
      <c r="A142" s="54" t="s">
        <v>167</v>
      </c>
      <c r="B142" s="55">
        <v>5</v>
      </c>
      <c r="C142" s="55" t="s">
        <v>203</v>
      </c>
      <c r="D142" s="55" t="s">
        <v>204</v>
      </c>
      <c r="E142" s="55" t="s">
        <v>207</v>
      </c>
      <c r="F142" s="55">
        <v>1</v>
      </c>
      <c r="G142" s="61">
        <f>VLOOKUP($E142, MonsterData!$A$5:$G$13, 7, 0)</f>
        <v>1</v>
      </c>
    </row>
    <row r="143" spans="1:7">
      <c r="A143" s="50" t="s">
        <v>214</v>
      </c>
      <c r="B143" s="51">
        <v>6</v>
      </c>
      <c r="C143" s="51" t="s">
        <v>203</v>
      </c>
      <c r="D143" s="51" t="s">
        <v>204</v>
      </c>
      <c r="E143" s="51" t="s">
        <v>208</v>
      </c>
      <c r="F143" s="51">
        <v>1</v>
      </c>
      <c r="G143" s="60">
        <f>VLOOKUP($E143, MonsterData!$A$5:$G$13, 7, 0)</f>
        <v>1</v>
      </c>
    </row>
    <row r="144" spans="1:7">
      <c r="A144" s="54" t="s">
        <v>167</v>
      </c>
      <c r="B144" s="55">
        <v>7</v>
      </c>
      <c r="C144" s="55" t="s">
        <v>203</v>
      </c>
      <c r="D144" s="55" t="s">
        <v>204</v>
      </c>
      <c r="E144" s="55" t="s">
        <v>206</v>
      </c>
      <c r="F144" s="55">
        <v>1</v>
      </c>
      <c r="G144" s="61">
        <f>VLOOKUP($E144, MonsterData!$A$5:$G$13, 7, 0)</f>
        <v>1</v>
      </c>
    </row>
    <row r="145" spans="1:7">
      <c r="A145" s="50" t="s">
        <v>214</v>
      </c>
      <c r="B145" s="51">
        <v>8</v>
      </c>
      <c r="C145" s="51" t="s">
        <v>203</v>
      </c>
      <c r="D145" s="51" t="s">
        <v>204</v>
      </c>
      <c r="E145" s="51" t="s">
        <v>205</v>
      </c>
      <c r="F145" s="51">
        <v>1</v>
      </c>
      <c r="G145" s="60">
        <f>VLOOKUP($E145, MonsterData!$A$5:$G$13, 7, 0)</f>
        <v>1</v>
      </c>
    </row>
    <row r="146" spans="1:7">
      <c r="A146" s="54" t="s">
        <v>167</v>
      </c>
      <c r="B146" s="55">
        <v>9</v>
      </c>
      <c r="C146" s="55" t="s">
        <v>203</v>
      </c>
      <c r="D146" s="55" t="s">
        <v>204</v>
      </c>
      <c r="E146" s="55" t="s">
        <v>206</v>
      </c>
      <c r="F146" s="55">
        <v>1</v>
      </c>
      <c r="G146" s="61">
        <f>VLOOKUP($E146, MonsterData!$A$5:$G$13, 7, 0)</f>
        <v>1</v>
      </c>
    </row>
    <row r="147" spans="1:7">
      <c r="A147" s="50" t="s">
        <v>214</v>
      </c>
      <c r="B147" s="51">
        <v>10</v>
      </c>
      <c r="C147" s="51" t="s">
        <v>203</v>
      </c>
      <c r="D147" s="51" t="s">
        <v>204</v>
      </c>
      <c r="E147" s="51" t="s">
        <v>275</v>
      </c>
      <c r="F147" s="51">
        <v>1</v>
      </c>
      <c r="G147" s="60">
        <f>VLOOKUP($E147, MonsterData!$A$5:$G$13, 7, 0)</f>
        <v>5</v>
      </c>
    </row>
    <row r="148" spans="1:7">
      <c r="A148" s="54" t="s">
        <v>167</v>
      </c>
      <c r="B148" s="55">
        <v>11</v>
      </c>
      <c r="C148" s="55" t="s">
        <v>203</v>
      </c>
      <c r="D148" s="55" t="s">
        <v>204</v>
      </c>
      <c r="E148" s="55" t="s">
        <v>207</v>
      </c>
      <c r="F148" s="55">
        <v>1</v>
      </c>
      <c r="G148" s="61">
        <f>VLOOKUP($E148, MonsterData!$A$5:$G$13, 7, 0)</f>
        <v>1</v>
      </c>
    </row>
    <row r="149" spans="1:7">
      <c r="A149" s="50" t="s">
        <v>214</v>
      </c>
      <c r="B149" s="51">
        <v>12</v>
      </c>
      <c r="C149" s="51" t="s">
        <v>203</v>
      </c>
      <c r="D149" s="51" t="s">
        <v>204</v>
      </c>
      <c r="E149" s="51" t="s">
        <v>208</v>
      </c>
      <c r="F149" s="51">
        <v>1</v>
      </c>
      <c r="G149" s="60">
        <f>VLOOKUP($E149, MonsterData!$A$5:$G$13, 7, 0)</f>
        <v>1</v>
      </c>
    </row>
    <row r="150" spans="1:7">
      <c r="A150" s="54" t="s">
        <v>167</v>
      </c>
      <c r="B150" s="55">
        <v>13</v>
      </c>
      <c r="C150" s="55" t="s">
        <v>203</v>
      </c>
      <c r="D150" s="55" t="s">
        <v>204</v>
      </c>
      <c r="E150" s="55" t="s">
        <v>206</v>
      </c>
      <c r="F150" s="55">
        <v>1</v>
      </c>
      <c r="G150" s="61">
        <f>VLOOKUP($E150, MonsterData!$A$5:$G$13, 7, 0)</f>
        <v>1</v>
      </c>
    </row>
    <row r="151" spans="1:7">
      <c r="A151" s="50" t="s">
        <v>214</v>
      </c>
      <c r="B151" s="51">
        <v>14</v>
      </c>
      <c r="C151" s="51" t="s">
        <v>203</v>
      </c>
      <c r="D151" s="51" t="s">
        <v>204</v>
      </c>
      <c r="E151" s="51" t="s">
        <v>205</v>
      </c>
      <c r="F151" s="51">
        <v>1</v>
      </c>
      <c r="G151" s="60">
        <f>VLOOKUP($E151, MonsterData!$A$5:$G$13, 7, 0)</f>
        <v>1</v>
      </c>
    </row>
    <row r="152" spans="1:7">
      <c r="A152" s="54" t="s">
        <v>167</v>
      </c>
      <c r="B152" s="55">
        <v>15</v>
      </c>
      <c r="C152" s="55" t="s">
        <v>203</v>
      </c>
      <c r="D152" s="55" t="s">
        <v>204</v>
      </c>
      <c r="E152" s="55" t="s">
        <v>206</v>
      </c>
      <c r="F152" s="55">
        <v>1</v>
      </c>
      <c r="G152" s="61">
        <f>VLOOKUP($E152, MonsterData!$A$5:$G$13, 7, 0)</f>
        <v>1</v>
      </c>
    </row>
    <row r="153" spans="1:7">
      <c r="A153" s="50" t="s">
        <v>214</v>
      </c>
      <c r="B153" s="51">
        <v>16</v>
      </c>
      <c r="C153" s="51" t="s">
        <v>203</v>
      </c>
      <c r="D153" s="51" t="s">
        <v>204</v>
      </c>
      <c r="E153" s="51" t="s">
        <v>207</v>
      </c>
      <c r="F153" s="51">
        <v>1</v>
      </c>
      <c r="G153" s="60">
        <f>VLOOKUP($E153, MonsterData!$A$5:$G$13, 7, 0)</f>
        <v>1</v>
      </c>
    </row>
    <row r="154" spans="1:7">
      <c r="A154" s="54" t="s">
        <v>167</v>
      </c>
      <c r="B154" s="55">
        <v>17</v>
      </c>
      <c r="C154" s="55" t="s">
        <v>203</v>
      </c>
      <c r="D154" s="55" t="s">
        <v>204</v>
      </c>
      <c r="E154" s="55" t="s">
        <v>208</v>
      </c>
      <c r="F154" s="55">
        <v>1</v>
      </c>
      <c r="G154" s="61">
        <f>VLOOKUP($E154, MonsterData!$A$5:$G$13, 7, 0)</f>
        <v>1</v>
      </c>
    </row>
    <row r="155" spans="1:7">
      <c r="A155" s="50" t="s">
        <v>214</v>
      </c>
      <c r="B155" s="51">
        <v>18</v>
      </c>
      <c r="C155" s="51" t="s">
        <v>203</v>
      </c>
      <c r="D155" s="51" t="s">
        <v>204</v>
      </c>
      <c r="E155" s="51" t="s">
        <v>206</v>
      </c>
      <c r="F155" s="51">
        <v>1</v>
      </c>
      <c r="G155" s="60">
        <f>VLOOKUP($E155, MonsterData!$A$5:$G$13, 7, 0)</f>
        <v>1</v>
      </c>
    </row>
    <row r="156" spans="1:7">
      <c r="A156" s="54" t="s">
        <v>167</v>
      </c>
      <c r="B156" s="55">
        <v>19</v>
      </c>
      <c r="C156" s="55" t="s">
        <v>203</v>
      </c>
      <c r="D156" s="55" t="s">
        <v>204</v>
      </c>
      <c r="E156" s="55" t="s">
        <v>205</v>
      </c>
      <c r="F156" s="55">
        <v>1</v>
      </c>
      <c r="G156" s="61">
        <f>VLOOKUP($E156, MonsterData!$A$5:$G$13, 7, 0)</f>
        <v>1</v>
      </c>
    </row>
    <row r="157" spans="1:7">
      <c r="A157" s="50" t="s">
        <v>214</v>
      </c>
      <c r="B157" s="51">
        <v>20</v>
      </c>
      <c r="C157" s="51" t="s">
        <v>203</v>
      </c>
      <c r="D157" s="51" t="s">
        <v>204</v>
      </c>
      <c r="E157" s="51" t="s">
        <v>206</v>
      </c>
      <c r="F157" s="51">
        <v>1</v>
      </c>
      <c r="G157" s="60">
        <f>VLOOKUP($E157, MonsterData!$A$5:$G$13, 7, 0)</f>
        <v>1</v>
      </c>
    </row>
    <row r="158" spans="1:7">
      <c r="A158" s="54" t="s">
        <v>167</v>
      </c>
      <c r="B158" s="55">
        <v>21</v>
      </c>
      <c r="C158" s="55" t="s">
        <v>203</v>
      </c>
      <c r="D158" s="55" t="s">
        <v>204</v>
      </c>
      <c r="E158" s="55" t="s">
        <v>276</v>
      </c>
      <c r="F158" s="55">
        <v>1</v>
      </c>
      <c r="G158" s="61">
        <f>VLOOKUP($E158, MonsterData!$A$5:$G$13, 7, 0)</f>
        <v>5</v>
      </c>
    </row>
    <row r="159" spans="1:7">
      <c r="A159" s="50" t="s">
        <v>215</v>
      </c>
      <c r="B159" s="51">
        <v>0</v>
      </c>
      <c r="C159" s="51" t="s">
        <v>203</v>
      </c>
      <c r="D159" s="51" t="s">
        <v>204</v>
      </c>
      <c r="E159" s="51" t="s">
        <v>206</v>
      </c>
      <c r="F159" s="51">
        <v>1</v>
      </c>
      <c r="G159" s="60">
        <f>VLOOKUP($E159, MonsterData!$A$5:$G$13, 7, 0)</f>
        <v>1</v>
      </c>
    </row>
    <row r="160" spans="1:7">
      <c r="A160" s="54" t="s">
        <v>169</v>
      </c>
      <c r="B160" s="55">
        <v>1</v>
      </c>
      <c r="C160" s="55" t="s">
        <v>203</v>
      </c>
      <c r="D160" s="55" t="s">
        <v>204</v>
      </c>
      <c r="E160" s="55" t="s">
        <v>205</v>
      </c>
      <c r="F160" s="55">
        <v>1</v>
      </c>
      <c r="G160" s="61">
        <f>VLOOKUP($E160, MonsterData!$A$5:$G$13, 7, 0)</f>
        <v>1</v>
      </c>
    </row>
    <row r="161" spans="1:7">
      <c r="A161" s="50" t="s">
        <v>215</v>
      </c>
      <c r="B161" s="51">
        <v>2</v>
      </c>
      <c r="C161" s="51" t="s">
        <v>203</v>
      </c>
      <c r="D161" s="51" t="s">
        <v>204</v>
      </c>
      <c r="E161" s="51" t="s">
        <v>206</v>
      </c>
      <c r="F161" s="51">
        <v>1</v>
      </c>
      <c r="G161" s="60">
        <f>VLOOKUP($E161, MonsterData!$A$5:$G$13, 7, 0)</f>
        <v>1</v>
      </c>
    </row>
    <row r="162" spans="1:7">
      <c r="A162" s="54" t="s">
        <v>169</v>
      </c>
      <c r="B162" s="55">
        <v>3</v>
      </c>
      <c r="C162" s="55" t="s">
        <v>203</v>
      </c>
      <c r="D162" s="55" t="s">
        <v>204</v>
      </c>
      <c r="E162" s="55" t="s">
        <v>207</v>
      </c>
      <c r="F162" s="55">
        <v>1</v>
      </c>
      <c r="G162" s="61">
        <f>VLOOKUP($E162, MonsterData!$A$5:$G$13, 7, 0)</f>
        <v>1</v>
      </c>
    </row>
    <row r="163" spans="1:7">
      <c r="A163" s="50" t="s">
        <v>215</v>
      </c>
      <c r="B163" s="51">
        <v>4</v>
      </c>
      <c r="C163" s="51" t="s">
        <v>203</v>
      </c>
      <c r="D163" s="51" t="s">
        <v>204</v>
      </c>
      <c r="E163" s="51" t="s">
        <v>208</v>
      </c>
      <c r="F163" s="51">
        <v>1</v>
      </c>
      <c r="G163" s="60">
        <f>VLOOKUP($E163, MonsterData!$A$5:$G$13, 7, 0)</f>
        <v>1</v>
      </c>
    </row>
    <row r="164" spans="1:7">
      <c r="A164" s="54" t="s">
        <v>169</v>
      </c>
      <c r="B164" s="55">
        <v>5</v>
      </c>
      <c r="C164" s="55" t="s">
        <v>203</v>
      </c>
      <c r="D164" s="55" t="s">
        <v>204</v>
      </c>
      <c r="E164" s="55" t="s">
        <v>206</v>
      </c>
      <c r="F164" s="55">
        <v>1</v>
      </c>
      <c r="G164" s="61">
        <f>VLOOKUP($E164, MonsterData!$A$5:$G$13, 7, 0)</f>
        <v>1</v>
      </c>
    </row>
    <row r="165" spans="1:7">
      <c r="A165" s="50" t="s">
        <v>215</v>
      </c>
      <c r="B165" s="51">
        <v>6</v>
      </c>
      <c r="C165" s="51" t="s">
        <v>203</v>
      </c>
      <c r="D165" s="51" t="s">
        <v>204</v>
      </c>
      <c r="E165" s="51" t="s">
        <v>205</v>
      </c>
      <c r="F165" s="51">
        <v>1</v>
      </c>
      <c r="G165" s="60">
        <f>VLOOKUP($E165, MonsterData!$A$5:$G$13, 7, 0)</f>
        <v>1</v>
      </c>
    </row>
    <row r="166" spans="1:7">
      <c r="A166" s="54" t="s">
        <v>169</v>
      </c>
      <c r="B166" s="55">
        <v>7</v>
      </c>
      <c r="C166" s="55" t="s">
        <v>203</v>
      </c>
      <c r="D166" s="55" t="s">
        <v>204</v>
      </c>
      <c r="E166" s="55" t="s">
        <v>206</v>
      </c>
      <c r="F166" s="55">
        <v>1</v>
      </c>
      <c r="G166" s="61">
        <f>VLOOKUP($E166, MonsterData!$A$5:$G$13, 7, 0)</f>
        <v>1</v>
      </c>
    </row>
    <row r="167" spans="1:7">
      <c r="A167" s="50" t="s">
        <v>215</v>
      </c>
      <c r="B167" s="51">
        <v>8</v>
      </c>
      <c r="C167" s="51" t="s">
        <v>203</v>
      </c>
      <c r="D167" s="51" t="s">
        <v>204</v>
      </c>
      <c r="E167" s="51" t="s">
        <v>207</v>
      </c>
      <c r="F167" s="51">
        <v>1</v>
      </c>
      <c r="G167" s="60">
        <f>VLOOKUP($E167, MonsterData!$A$5:$G$13, 7, 0)</f>
        <v>1</v>
      </c>
    </row>
    <row r="168" spans="1:7">
      <c r="A168" s="54" t="s">
        <v>169</v>
      </c>
      <c r="B168" s="55">
        <v>9</v>
      </c>
      <c r="C168" s="55" t="s">
        <v>203</v>
      </c>
      <c r="D168" s="55" t="s">
        <v>204</v>
      </c>
      <c r="E168" s="55" t="s">
        <v>208</v>
      </c>
      <c r="F168" s="55">
        <v>1</v>
      </c>
      <c r="G168" s="61">
        <f>VLOOKUP($E168, MonsterData!$A$5:$G$13, 7, 0)</f>
        <v>1</v>
      </c>
    </row>
    <row r="169" spans="1:7">
      <c r="A169" s="50" t="s">
        <v>215</v>
      </c>
      <c r="B169" s="51">
        <v>10</v>
      </c>
      <c r="C169" s="51" t="s">
        <v>203</v>
      </c>
      <c r="D169" s="51" t="s">
        <v>204</v>
      </c>
      <c r="E169" s="51" t="s">
        <v>276</v>
      </c>
      <c r="F169" s="51">
        <v>1</v>
      </c>
      <c r="G169" s="60">
        <f>VLOOKUP($E169, MonsterData!$A$5:$G$13, 7, 0)</f>
        <v>5</v>
      </c>
    </row>
    <row r="170" spans="1:7">
      <c r="A170" s="54" t="s">
        <v>169</v>
      </c>
      <c r="B170" s="55">
        <v>11</v>
      </c>
      <c r="C170" s="55" t="s">
        <v>203</v>
      </c>
      <c r="D170" s="55" t="s">
        <v>204</v>
      </c>
      <c r="E170" s="55" t="s">
        <v>206</v>
      </c>
      <c r="F170" s="55">
        <v>1</v>
      </c>
      <c r="G170" s="61">
        <f>VLOOKUP($E170, MonsterData!$A$5:$G$13, 7, 0)</f>
        <v>1</v>
      </c>
    </row>
    <row r="171" spans="1:7">
      <c r="A171" s="50" t="s">
        <v>215</v>
      </c>
      <c r="B171" s="51">
        <v>12</v>
      </c>
      <c r="C171" s="51" t="s">
        <v>203</v>
      </c>
      <c r="D171" s="51" t="s">
        <v>204</v>
      </c>
      <c r="E171" s="51" t="s">
        <v>205</v>
      </c>
      <c r="F171" s="51">
        <v>1</v>
      </c>
      <c r="G171" s="60">
        <f>VLOOKUP($E171, MonsterData!$A$5:$G$13, 7, 0)</f>
        <v>1</v>
      </c>
    </row>
    <row r="172" spans="1:7">
      <c r="A172" s="54" t="s">
        <v>169</v>
      </c>
      <c r="B172" s="55">
        <v>13</v>
      </c>
      <c r="C172" s="55" t="s">
        <v>203</v>
      </c>
      <c r="D172" s="55" t="s">
        <v>204</v>
      </c>
      <c r="E172" s="55" t="s">
        <v>206</v>
      </c>
      <c r="F172" s="55">
        <v>1</v>
      </c>
      <c r="G172" s="61">
        <f>VLOOKUP($E172, MonsterData!$A$5:$G$13, 7, 0)</f>
        <v>1</v>
      </c>
    </row>
    <row r="173" spans="1:7">
      <c r="A173" s="50" t="s">
        <v>215</v>
      </c>
      <c r="B173" s="51">
        <v>14</v>
      </c>
      <c r="C173" s="51" t="s">
        <v>203</v>
      </c>
      <c r="D173" s="51" t="s">
        <v>204</v>
      </c>
      <c r="E173" s="51" t="s">
        <v>207</v>
      </c>
      <c r="F173" s="51">
        <v>1</v>
      </c>
      <c r="G173" s="60">
        <f>VLOOKUP($E173, MonsterData!$A$5:$G$13, 7, 0)</f>
        <v>1</v>
      </c>
    </row>
    <row r="174" spans="1:7">
      <c r="A174" s="54" t="s">
        <v>169</v>
      </c>
      <c r="B174" s="55">
        <v>15</v>
      </c>
      <c r="C174" s="55" t="s">
        <v>203</v>
      </c>
      <c r="D174" s="55" t="s">
        <v>204</v>
      </c>
      <c r="E174" s="55" t="s">
        <v>208</v>
      </c>
      <c r="F174" s="55">
        <v>1</v>
      </c>
      <c r="G174" s="61">
        <f>VLOOKUP($E174, MonsterData!$A$5:$G$13, 7, 0)</f>
        <v>1</v>
      </c>
    </row>
    <row r="175" spans="1:7">
      <c r="A175" s="50" t="s">
        <v>215</v>
      </c>
      <c r="B175" s="51">
        <v>16</v>
      </c>
      <c r="C175" s="51" t="s">
        <v>203</v>
      </c>
      <c r="D175" s="51" t="s">
        <v>204</v>
      </c>
      <c r="E175" s="51" t="s">
        <v>206</v>
      </c>
      <c r="F175" s="51">
        <v>1</v>
      </c>
      <c r="G175" s="60">
        <f>VLOOKUP($E175, MonsterData!$A$5:$G$13, 7, 0)</f>
        <v>1</v>
      </c>
    </row>
    <row r="176" spans="1:7">
      <c r="A176" s="54" t="s">
        <v>169</v>
      </c>
      <c r="B176" s="55">
        <v>17</v>
      </c>
      <c r="C176" s="55" t="s">
        <v>203</v>
      </c>
      <c r="D176" s="55" t="s">
        <v>204</v>
      </c>
      <c r="E176" s="55" t="s">
        <v>205</v>
      </c>
      <c r="F176" s="55">
        <v>1</v>
      </c>
      <c r="G176" s="61">
        <f>VLOOKUP($E176, MonsterData!$A$5:$G$13, 7, 0)</f>
        <v>1</v>
      </c>
    </row>
    <row r="177" spans="1:7">
      <c r="A177" s="50" t="s">
        <v>215</v>
      </c>
      <c r="B177" s="51">
        <v>18</v>
      </c>
      <c r="C177" s="51" t="s">
        <v>203</v>
      </c>
      <c r="D177" s="51" t="s">
        <v>204</v>
      </c>
      <c r="E177" s="51" t="s">
        <v>206</v>
      </c>
      <c r="F177" s="51">
        <v>1</v>
      </c>
      <c r="G177" s="60">
        <f>VLOOKUP($E177, MonsterData!$A$5:$G$13, 7, 0)</f>
        <v>1</v>
      </c>
    </row>
    <row r="178" spans="1:7">
      <c r="A178" s="54" t="s">
        <v>169</v>
      </c>
      <c r="B178" s="55">
        <v>19</v>
      </c>
      <c r="C178" s="55" t="s">
        <v>203</v>
      </c>
      <c r="D178" s="55" t="s">
        <v>204</v>
      </c>
      <c r="E178" s="55" t="s">
        <v>207</v>
      </c>
      <c r="F178" s="55">
        <v>1</v>
      </c>
      <c r="G178" s="61">
        <f>VLOOKUP($E178, MonsterData!$A$5:$G$13, 7, 0)</f>
        <v>1</v>
      </c>
    </row>
    <row r="179" spans="1:7">
      <c r="A179" s="50" t="s">
        <v>215</v>
      </c>
      <c r="B179" s="51">
        <v>20</v>
      </c>
      <c r="C179" s="51" t="s">
        <v>203</v>
      </c>
      <c r="D179" s="51" t="s">
        <v>204</v>
      </c>
      <c r="E179" s="51" t="s">
        <v>208</v>
      </c>
      <c r="F179" s="51">
        <v>1</v>
      </c>
      <c r="G179" s="60">
        <f>VLOOKUP($E179, MonsterData!$A$5:$G$13, 7, 0)</f>
        <v>1</v>
      </c>
    </row>
    <row r="180" spans="1:7">
      <c r="A180" s="54" t="s">
        <v>169</v>
      </c>
      <c r="B180" s="55">
        <v>21</v>
      </c>
      <c r="C180" s="55" t="s">
        <v>203</v>
      </c>
      <c r="D180" s="55" t="s">
        <v>204</v>
      </c>
      <c r="E180" s="55" t="s">
        <v>275</v>
      </c>
      <c r="F180" s="55">
        <v>1</v>
      </c>
      <c r="G180" s="61">
        <f>VLOOKUP($E180, MonsterData!$A$5:$G$13, 7, 0)</f>
        <v>5</v>
      </c>
    </row>
    <row r="181" spans="1:7">
      <c r="A181" s="50" t="s">
        <v>216</v>
      </c>
      <c r="B181" s="51">
        <v>0</v>
      </c>
      <c r="C181" s="51" t="s">
        <v>203</v>
      </c>
      <c r="D181" s="51" t="s">
        <v>204</v>
      </c>
      <c r="E181" s="51" t="s">
        <v>206</v>
      </c>
      <c r="F181" s="51">
        <v>1</v>
      </c>
      <c r="G181" s="60">
        <f>VLOOKUP($E181, MonsterData!$A$5:$G$13, 7, 0)</f>
        <v>1</v>
      </c>
    </row>
    <row r="182" spans="1:7">
      <c r="A182" s="54" t="s">
        <v>171</v>
      </c>
      <c r="B182" s="55">
        <v>1</v>
      </c>
      <c r="C182" s="55" t="s">
        <v>203</v>
      </c>
      <c r="D182" s="55" t="s">
        <v>204</v>
      </c>
      <c r="E182" s="55" t="s">
        <v>207</v>
      </c>
      <c r="F182" s="55">
        <v>1</v>
      </c>
      <c r="G182" s="61">
        <f>VLOOKUP($E182, MonsterData!$A$5:$G$13, 7, 0)</f>
        <v>1</v>
      </c>
    </row>
    <row r="183" spans="1:7">
      <c r="A183" s="50" t="s">
        <v>216</v>
      </c>
      <c r="B183" s="51">
        <v>2</v>
      </c>
      <c r="C183" s="51" t="s">
        <v>203</v>
      </c>
      <c r="D183" s="51" t="s">
        <v>204</v>
      </c>
      <c r="E183" s="51" t="s">
        <v>208</v>
      </c>
      <c r="F183" s="51">
        <v>1</v>
      </c>
      <c r="G183" s="60">
        <f>VLOOKUP($E183, MonsterData!$A$5:$G$13, 7, 0)</f>
        <v>1</v>
      </c>
    </row>
    <row r="184" spans="1:7">
      <c r="A184" s="54" t="s">
        <v>171</v>
      </c>
      <c r="B184" s="55">
        <v>3</v>
      </c>
      <c r="C184" s="55" t="s">
        <v>203</v>
      </c>
      <c r="D184" s="55" t="s">
        <v>204</v>
      </c>
      <c r="E184" s="55" t="s">
        <v>206</v>
      </c>
      <c r="F184" s="55">
        <v>1</v>
      </c>
      <c r="G184" s="61">
        <f>VLOOKUP($E184, MonsterData!$A$5:$G$13, 7, 0)</f>
        <v>1</v>
      </c>
    </row>
    <row r="185" spans="1:7">
      <c r="A185" s="50" t="s">
        <v>216</v>
      </c>
      <c r="B185" s="51">
        <v>4</v>
      </c>
      <c r="C185" s="51" t="s">
        <v>203</v>
      </c>
      <c r="D185" s="51" t="s">
        <v>204</v>
      </c>
      <c r="E185" s="51" t="s">
        <v>205</v>
      </c>
      <c r="F185" s="51">
        <v>1</v>
      </c>
      <c r="G185" s="60">
        <f>VLOOKUP($E185, MonsterData!$A$5:$G$13, 7, 0)</f>
        <v>1</v>
      </c>
    </row>
    <row r="186" spans="1:7">
      <c r="A186" s="54" t="s">
        <v>171</v>
      </c>
      <c r="B186" s="55">
        <v>5</v>
      </c>
      <c r="C186" s="55" t="s">
        <v>203</v>
      </c>
      <c r="D186" s="55" t="s">
        <v>204</v>
      </c>
      <c r="E186" s="55" t="s">
        <v>206</v>
      </c>
      <c r="F186" s="55">
        <v>1</v>
      </c>
      <c r="G186" s="61">
        <f>VLOOKUP($E186, MonsterData!$A$5:$G$13, 7, 0)</f>
        <v>1</v>
      </c>
    </row>
    <row r="187" spans="1:7">
      <c r="A187" s="50" t="s">
        <v>216</v>
      </c>
      <c r="B187" s="51">
        <v>6</v>
      </c>
      <c r="C187" s="51" t="s">
        <v>203</v>
      </c>
      <c r="D187" s="51" t="s">
        <v>204</v>
      </c>
      <c r="E187" s="51" t="s">
        <v>207</v>
      </c>
      <c r="F187" s="51">
        <v>1</v>
      </c>
      <c r="G187" s="60">
        <f>VLOOKUP($E187, MonsterData!$A$5:$G$13, 7, 0)</f>
        <v>1</v>
      </c>
    </row>
    <row r="188" spans="1:7">
      <c r="A188" s="54" t="s">
        <v>171</v>
      </c>
      <c r="B188" s="55">
        <v>7</v>
      </c>
      <c r="C188" s="55" t="s">
        <v>203</v>
      </c>
      <c r="D188" s="55" t="s">
        <v>204</v>
      </c>
      <c r="E188" s="55" t="s">
        <v>208</v>
      </c>
      <c r="F188" s="55">
        <v>1</v>
      </c>
      <c r="G188" s="61">
        <f>VLOOKUP($E188, MonsterData!$A$5:$G$13, 7, 0)</f>
        <v>1</v>
      </c>
    </row>
    <row r="189" spans="1:7">
      <c r="A189" s="50" t="s">
        <v>216</v>
      </c>
      <c r="B189" s="51">
        <v>8</v>
      </c>
      <c r="C189" s="51" t="s">
        <v>203</v>
      </c>
      <c r="D189" s="51" t="s">
        <v>204</v>
      </c>
      <c r="E189" s="51" t="s">
        <v>206</v>
      </c>
      <c r="F189" s="51">
        <v>1</v>
      </c>
      <c r="G189" s="60">
        <f>VLOOKUP($E189, MonsterData!$A$5:$G$13, 7, 0)</f>
        <v>1</v>
      </c>
    </row>
    <row r="190" spans="1:7">
      <c r="A190" s="54" t="s">
        <v>171</v>
      </c>
      <c r="B190" s="55">
        <v>9</v>
      </c>
      <c r="C190" s="55" t="s">
        <v>203</v>
      </c>
      <c r="D190" s="55" t="s">
        <v>204</v>
      </c>
      <c r="E190" s="55" t="s">
        <v>205</v>
      </c>
      <c r="F190" s="55">
        <v>1</v>
      </c>
      <c r="G190" s="61">
        <f>VLOOKUP($E190, MonsterData!$A$5:$G$13, 7, 0)</f>
        <v>1</v>
      </c>
    </row>
    <row r="191" spans="1:7">
      <c r="A191" s="50" t="s">
        <v>216</v>
      </c>
      <c r="B191" s="51">
        <v>10</v>
      </c>
      <c r="C191" s="51" t="s">
        <v>203</v>
      </c>
      <c r="D191" s="51" t="s">
        <v>204</v>
      </c>
      <c r="E191" s="51" t="s">
        <v>275</v>
      </c>
      <c r="F191" s="51">
        <v>1</v>
      </c>
      <c r="G191" s="60">
        <f>VLOOKUP($E191, MonsterData!$A$5:$G$13, 7, 0)</f>
        <v>5</v>
      </c>
    </row>
    <row r="192" spans="1:7">
      <c r="A192" s="54" t="s">
        <v>171</v>
      </c>
      <c r="B192" s="55">
        <v>11</v>
      </c>
      <c r="C192" s="55" t="s">
        <v>203</v>
      </c>
      <c r="D192" s="55" t="s">
        <v>204</v>
      </c>
      <c r="E192" s="55" t="s">
        <v>206</v>
      </c>
      <c r="F192" s="55">
        <v>1</v>
      </c>
      <c r="G192" s="61">
        <f>VLOOKUP($E192, MonsterData!$A$5:$G$13, 7, 0)</f>
        <v>1</v>
      </c>
    </row>
    <row r="193" spans="1:7">
      <c r="A193" s="50" t="s">
        <v>216</v>
      </c>
      <c r="B193" s="51">
        <v>12</v>
      </c>
      <c r="C193" s="51" t="s">
        <v>203</v>
      </c>
      <c r="D193" s="51" t="s">
        <v>204</v>
      </c>
      <c r="E193" s="51" t="s">
        <v>207</v>
      </c>
      <c r="F193" s="51">
        <v>1</v>
      </c>
      <c r="G193" s="60">
        <f>VLOOKUP($E193, MonsterData!$A$5:$G$13, 7, 0)</f>
        <v>1</v>
      </c>
    </row>
    <row r="194" spans="1:7">
      <c r="A194" s="54" t="s">
        <v>171</v>
      </c>
      <c r="B194" s="55">
        <v>13</v>
      </c>
      <c r="C194" s="55" t="s">
        <v>203</v>
      </c>
      <c r="D194" s="55" t="s">
        <v>204</v>
      </c>
      <c r="E194" s="55" t="s">
        <v>208</v>
      </c>
      <c r="F194" s="55">
        <v>1</v>
      </c>
      <c r="G194" s="61">
        <f>VLOOKUP($E194, MonsterData!$A$5:$G$13, 7, 0)</f>
        <v>1</v>
      </c>
    </row>
    <row r="195" spans="1:7">
      <c r="A195" s="50" t="s">
        <v>216</v>
      </c>
      <c r="B195" s="51">
        <v>14</v>
      </c>
      <c r="C195" s="51" t="s">
        <v>203</v>
      </c>
      <c r="D195" s="51" t="s">
        <v>204</v>
      </c>
      <c r="E195" s="51" t="s">
        <v>206</v>
      </c>
      <c r="F195" s="51">
        <v>1</v>
      </c>
      <c r="G195" s="60">
        <f>VLOOKUP($E195, MonsterData!$A$5:$G$13, 7, 0)</f>
        <v>1</v>
      </c>
    </row>
    <row r="196" spans="1:7">
      <c r="A196" s="54" t="s">
        <v>171</v>
      </c>
      <c r="B196" s="55">
        <v>15</v>
      </c>
      <c r="C196" s="55" t="s">
        <v>203</v>
      </c>
      <c r="D196" s="55" t="s">
        <v>204</v>
      </c>
      <c r="E196" s="55" t="s">
        <v>205</v>
      </c>
      <c r="F196" s="55">
        <v>1</v>
      </c>
      <c r="G196" s="61">
        <f>VLOOKUP($E196, MonsterData!$A$5:$G$13, 7, 0)</f>
        <v>1</v>
      </c>
    </row>
    <row r="197" spans="1:7">
      <c r="A197" s="50" t="s">
        <v>216</v>
      </c>
      <c r="B197" s="51">
        <v>16</v>
      </c>
      <c r="C197" s="51" t="s">
        <v>203</v>
      </c>
      <c r="D197" s="51" t="s">
        <v>204</v>
      </c>
      <c r="E197" s="51" t="s">
        <v>206</v>
      </c>
      <c r="F197" s="51">
        <v>1</v>
      </c>
      <c r="G197" s="60">
        <f>VLOOKUP($E197, MonsterData!$A$5:$G$13, 7, 0)</f>
        <v>1</v>
      </c>
    </row>
    <row r="198" spans="1:7">
      <c r="A198" s="54" t="s">
        <v>171</v>
      </c>
      <c r="B198" s="55">
        <v>17</v>
      </c>
      <c r="C198" s="55" t="s">
        <v>203</v>
      </c>
      <c r="D198" s="55" t="s">
        <v>204</v>
      </c>
      <c r="E198" s="55" t="s">
        <v>207</v>
      </c>
      <c r="F198" s="55">
        <v>1</v>
      </c>
      <c r="G198" s="61">
        <f>VLOOKUP($E198, MonsterData!$A$5:$G$13, 7, 0)</f>
        <v>1</v>
      </c>
    </row>
    <row r="199" spans="1:7">
      <c r="A199" s="50" t="s">
        <v>216</v>
      </c>
      <c r="B199" s="51">
        <v>18</v>
      </c>
      <c r="C199" s="51" t="s">
        <v>203</v>
      </c>
      <c r="D199" s="51" t="s">
        <v>204</v>
      </c>
      <c r="E199" s="51" t="s">
        <v>208</v>
      </c>
      <c r="F199" s="51">
        <v>1</v>
      </c>
      <c r="G199" s="60">
        <f>VLOOKUP($E199, MonsterData!$A$5:$G$13, 7, 0)</f>
        <v>1</v>
      </c>
    </row>
    <row r="200" spans="1:7">
      <c r="A200" s="54" t="s">
        <v>171</v>
      </c>
      <c r="B200" s="55">
        <v>19</v>
      </c>
      <c r="C200" s="55" t="s">
        <v>203</v>
      </c>
      <c r="D200" s="55" t="s">
        <v>204</v>
      </c>
      <c r="E200" s="55" t="s">
        <v>206</v>
      </c>
      <c r="F200" s="55">
        <v>1</v>
      </c>
      <c r="G200" s="61">
        <f>VLOOKUP($E200, MonsterData!$A$5:$G$13, 7, 0)</f>
        <v>1</v>
      </c>
    </row>
    <row r="201" spans="1:7">
      <c r="A201" s="50" t="s">
        <v>216</v>
      </c>
      <c r="B201" s="51">
        <v>20</v>
      </c>
      <c r="C201" s="51" t="s">
        <v>203</v>
      </c>
      <c r="D201" s="51" t="s">
        <v>204</v>
      </c>
      <c r="E201" s="51" t="s">
        <v>205</v>
      </c>
      <c r="F201" s="51">
        <v>1</v>
      </c>
      <c r="G201" s="60">
        <f>VLOOKUP($E201, MonsterData!$A$5:$G$13, 7, 0)</f>
        <v>1</v>
      </c>
    </row>
    <row r="202" spans="1:7">
      <c r="A202" s="54" t="s">
        <v>171</v>
      </c>
      <c r="B202" s="55">
        <v>21</v>
      </c>
      <c r="C202" s="55" t="s">
        <v>203</v>
      </c>
      <c r="D202" s="55" t="s">
        <v>204</v>
      </c>
      <c r="E202" s="55" t="s">
        <v>276</v>
      </c>
      <c r="F202" s="55">
        <v>1</v>
      </c>
      <c r="G202" s="61">
        <f>VLOOKUP($E202, MonsterData!$A$5:$G$13, 7, 0)</f>
        <v>5</v>
      </c>
    </row>
    <row r="203" spans="1:7">
      <c r="A203" s="50" t="s">
        <v>217</v>
      </c>
      <c r="B203" s="51">
        <v>0</v>
      </c>
      <c r="C203" s="51" t="s">
        <v>203</v>
      </c>
      <c r="D203" s="51" t="s">
        <v>204</v>
      </c>
      <c r="E203" s="51" t="s">
        <v>208</v>
      </c>
      <c r="F203" s="51">
        <v>1</v>
      </c>
      <c r="G203" s="60">
        <f>VLOOKUP($E203, MonsterData!$A$5:$G$13, 7, 0)</f>
        <v>1</v>
      </c>
    </row>
    <row r="204" spans="1:7">
      <c r="A204" s="54" t="s">
        <v>173</v>
      </c>
      <c r="B204" s="55">
        <v>1</v>
      </c>
      <c r="C204" s="55" t="s">
        <v>203</v>
      </c>
      <c r="D204" s="55" t="s">
        <v>204</v>
      </c>
      <c r="E204" s="55" t="s">
        <v>206</v>
      </c>
      <c r="F204" s="55">
        <v>1</v>
      </c>
      <c r="G204" s="61">
        <f>VLOOKUP($E204, MonsterData!$A$5:$G$13, 7, 0)</f>
        <v>1</v>
      </c>
    </row>
    <row r="205" spans="1:7">
      <c r="A205" s="50" t="s">
        <v>217</v>
      </c>
      <c r="B205" s="51">
        <v>2</v>
      </c>
      <c r="C205" s="51" t="s">
        <v>203</v>
      </c>
      <c r="D205" s="51" t="s">
        <v>204</v>
      </c>
      <c r="E205" s="51" t="s">
        <v>205</v>
      </c>
      <c r="F205" s="51">
        <v>1</v>
      </c>
      <c r="G205" s="60">
        <f>VLOOKUP($E205, MonsterData!$A$5:$G$13, 7, 0)</f>
        <v>1</v>
      </c>
    </row>
    <row r="206" spans="1:7">
      <c r="A206" s="54" t="s">
        <v>173</v>
      </c>
      <c r="B206" s="55">
        <v>3</v>
      </c>
      <c r="C206" s="55" t="s">
        <v>203</v>
      </c>
      <c r="D206" s="55" t="s">
        <v>204</v>
      </c>
      <c r="E206" s="55" t="s">
        <v>206</v>
      </c>
      <c r="F206" s="55">
        <v>1</v>
      </c>
      <c r="G206" s="61">
        <f>VLOOKUP($E206, MonsterData!$A$5:$G$13, 7, 0)</f>
        <v>1</v>
      </c>
    </row>
    <row r="207" spans="1:7">
      <c r="A207" s="50" t="s">
        <v>217</v>
      </c>
      <c r="B207" s="51">
        <v>4</v>
      </c>
      <c r="C207" s="51" t="s">
        <v>203</v>
      </c>
      <c r="D207" s="51" t="s">
        <v>204</v>
      </c>
      <c r="E207" s="51" t="s">
        <v>207</v>
      </c>
      <c r="F207" s="51">
        <v>1</v>
      </c>
      <c r="G207" s="60">
        <f>VLOOKUP($E207, MonsterData!$A$5:$G$13, 7, 0)</f>
        <v>1</v>
      </c>
    </row>
    <row r="208" spans="1:7">
      <c r="A208" s="54" t="s">
        <v>173</v>
      </c>
      <c r="B208" s="55">
        <v>5</v>
      </c>
      <c r="C208" s="55" t="s">
        <v>203</v>
      </c>
      <c r="D208" s="55" t="s">
        <v>204</v>
      </c>
      <c r="E208" s="55" t="s">
        <v>208</v>
      </c>
      <c r="F208" s="55">
        <v>1</v>
      </c>
      <c r="G208" s="61">
        <f>VLOOKUP($E208, MonsterData!$A$5:$G$13, 7, 0)</f>
        <v>1</v>
      </c>
    </row>
    <row r="209" spans="1:7">
      <c r="A209" s="50" t="s">
        <v>217</v>
      </c>
      <c r="B209" s="51">
        <v>6</v>
      </c>
      <c r="C209" s="51" t="s">
        <v>203</v>
      </c>
      <c r="D209" s="51" t="s">
        <v>204</v>
      </c>
      <c r="E209" s="51" t="s">
        <v>206</v>
      </c>
      <c r="F209" s="51">
        <v>1</v>
      </c>
      <c r="G209" s="60">
        <f>VLOOKUP($E209, MonsterData!$A$5:$G$13, 7, 0)</f>
        <v>1</v>
      </c>
    </row>
    <row r="210" spans="1:7">
      <c r="A210" s="54" t="s">
        <v>173</v>
      </c>
      <c r="B210" s="55">
        <v>7</v>
      </c>
      <c r="C210" s="55" t="s">
        <v>203</v>
      </c>
      <c r="D210" s="55" t="s">
        <v>204</v>
      </c>
      <c r="E210" s="55" t="s">
        <v>205</v>
      </c>
      <c r="F210" s="55">
        <v>1</v>
      </c>
      <c r="G210" s="61">
        <f>VLOOKUP($E210, MonsterData!$A$5:$G$13, 7, 0)</f>
        <v>1</v>
      </c>
    </row>
    <row r="211" spans="1:7">
      <c r="A211" s="50" t="s">
        <v>217</v>
      </c>
      <c r="B211" s="51">
        <v>8</v>
      </c>
      <c r="C211" s="51" t="s">
        <v>203</v>
      </c>
      <c r="D211" s="51" t="s">
        <v>204</v>
      </c>
      <c r="E211" s="51" t="s">
        <v>206</v>
      </c>
      <c r="F211" s="51">
        <v>1</v>
      </c>
      <c r="G211" s="60">
        <f>VLOOKUP($E211, MonsterData!$A$5:$G$13, 7, 0)</f>
        <v>1</v>
      </c>
    </row>
    <row r="212" spans="1:7">
      <c r="A212" s="54" t="s">
        <v>173</v>
      </c>
      <c r="B212" s="55">
        <v>9</v>
      </c>
      <c r="C212" s="55" t="s">
        <v>203</v>
      </c>
      <c r="D212" s="55" t="s">
        <v>204</v>
      </c>
      <c r="E212" s="55" t="s">
        <v>207</v>
      </c>
      <c r="F212" s="55">
        <v>1</v>
      </c>
      <c r="G212" s="61">
        <f>VLOOKUP($E212, MonsterData!$A$5:$G$13, 7, 0)</f>
        <v>1</v>
      </c>
    </row>
    <row r="213" spans="1:7">
      <c r="A213" s="50" t="s">
        <v>217</v>
      </c>
      <c r="B213" s="51">
        <v>10</v>
      </c>
      <c r="C213" s="51" t="s">
        <v>203</v>
      </c>
      <c r="D213" s="51" t="s">
        <v>204</v>
      </c>
      <c r="E213" s="51" t="s">
        <v>276</v>
      </c>
      <c r="F213" s="51">
        <v>1</v>
      </c>
      <c r="G213" s="60">
        <f>VLOOKUP($E213, MonsterData!$A$5:$G$13, 7, 0)</f>
        <v>5</v>
      </c>
    </row>
    <row r="214" spans="1:7">
      <c r="A214" s="54" t="s">
        <v>173</v>
      </c>
      <c r="B214" s="55">
        <v>11</v>
      </c>
      <c r="C214" s="55" t="s">
        <v>203</v>
      </c>
      <c r="D214" s="55" t="s">
        <v>204</v>
      </c>
      <c r="E214" s="55" t="s">
        <v>208</v>
      </c>
      <c r="F214" s="55">
        <v>1</v>
      </c>
      <c r="G214" s="61">
        <f>VLOOKUP($E214, MonsterData!$A$5:$G$13, 7, 0)</f>
        <v>1</v>
      </c>
    </row>
    <row r="215" spans="1:7">
      <c r="A215" s="50" t="s">
        <v>217</v>
      </c>
      <c r="B215" s="51">
        <v>12</v>
      </c>
      <c r="C215" s="51" t="s">
        <v>203</v>
      </c>
      <c r="D215" s="51" t="s">
        <v>204</v>
      </c>
      <c r="E215" s="51" t="s">
        <v>206</v>
      </c>
      <c r="F215" s="51">
        <v>1</v>
      </c>
      <c r="G215" s="60">
        <f>VLOOKUP($E215, MonsterData!$A$5:$G$13, 7, 0)</f>
        <v>1</v>
      </c>
    </row>
    <row r="216" spans="1:7">
      <c r="A216" s="54" t="s">
        <v>173</v>
      </c>
      <c r="B216" s="55">
        <v>13</v>
      </c>
      <c r="C216" s="55" t="s">
        <v>203</v>
      </c>
      <c r="D216" s="55" t="s">
        <v>204</v>
      </c>
      <c r="E216" s="55" t="s">
        <v>205</v>
      </c>
      <c r="F216" s="55">
        <v>1</v>
      </c>
      <c r="G216" s="61">
        <f>VLOOKUP($E216, MonsterData!$A$5:$G$13, 7, 0)</f>
        <v>1</v>
      </c>
    </row>
    <row r="217" spans="1:7">
      <c r="A217" s="50" t="s">
        <v>217</v>
      </c>
      <c r="B217" s="51">
        <v>14</v>
      </c>
      <c r="C217" s="51" t="s">
        <v>203</v>
      </c>
      <c r="D217" s="51" t="s">
        <v>204</v>
      </c>
      <c r="E217" s="51" t="s">
        <v>206</v>
      </c>
      <c r="F217" s="51">
        <v>1</v>
      </c>
      <c r="G217" s="60">
        <f>VLOOKUP($E217, MonsterData!$A$5:$G$13, 7, 0)</f>
        <v>1</v>
      </c>
    </row>
    <row r="218" spans="1:7">
      <c r="A218" s="54" t="s">
        <v>173</v>
      </c>
      <c r="B218" s="55">
        <v>15</v>
      </c>
      <c r="C218" s="55" t="s">
        <v>203</v>
      </c>
      <c r="D218" s="55" t="s">
        <v>204</v>
      </c>
      <c r="E218" s="55" t="s">
        <v>207</v>
      </c>
      <c r="F218" s="55">
        <v>1</v>
      </c>
      <c r="G218" s="61">
        <f>VLOOKUP($E218, MonsterData!$A$5:$G$13, 7, 0)</f>
        <v>1</v>
      </c>
    </row>
    <row r="219" spans="1:7">
      <c r="A219" s="50" t="s">
        <v>217</v>
      </c>
      <c r="B219" s="51">
        <v>16</v>
      </c>
      <c r="C219" s="51" t="s">
        <v>203</v>
      </c>
      <c r="D219" s="51" t="s">
        <v>204</v>
      </c>
      <c r="E219" s="51" t="s">
        <v>208</v>
      </c>
      <c r="F219" s="51">
        <v>1</v>
      </c>
      <c r="G219" s="60">
        <f>VLOOKUP($E219, MonsterData!$A$5:$G$13, 7, 0)</f>
        <v>1</v>
      </c>
    </row>
    <row r="220" spans="1:7">
      <c r="A220" s="54" t="s">
        <v>173</v>
      </c>
      <c r="B220" s="55">
        <v>17</v>
      </c>
      <c r="C220" s="55" t="s">
        <v>203</v>
      </c>
      <c r="D220" s="55" t="s">
        <v>204</v>
      </c>
      <c r="E220" s="55" t="s">
        <v>206</v>
      </c>
      <c r="F220" s="55">
        <v>1</v>
      </c>
      <c r="G220" s="61">
        <f>VLOOKUP($E220, MonsterData!$A$5:$G$13, 7, 0)</f>
        <v>1</v>
      </c>
    </row>
    <row r="221" spans="1:7">
      <c r="A221" s="50" t="s">
        <v>217</v>
      </c>
      <c r="B221" s="51">
        <v>18</v>
      </c>
      <c r="C221" s="51" t="s">
        <v>203</v>
      </c>
      <c r="D221" s="51" t="s">
        <v>204</v>
      </c>
      <c r="E221" s="51" t="s">
        <v>205</v>
      </c>
      <c r="F221" s="51">
        <v>1</v>
      </c>
      <c r="G221" s="60">
        <f>VLOOKUP($E221, MonsterData!$A$5:$G$13, 7, 0)</f>
        <v>1</v>
      </c>
    </row>
    <row r="222" spans="1:7">
      <c r="A222" s="54" t="s">
        <v>173</v>
      </c>
      <c r="B222" s="55">
        <v>19</v>
      </c>
      <c r="C222" s="55" t="s">
        <v>203</v>
      </c>
      <c r="D222" s="55" t="s">
        <v>204</v>
      </c>
      <c r="E222" s="55" t="s">
        <v>206</v>
      </c>
      <c r="F222" s="55">
        <v>1</v>
      </c>
      <c r="G222" s="61">
        <f>VLOOKUP($E222, MonsterData!$A$5:$G$13, 7, 0)</f>
        <v>1</v>
      </c>
    </row>
    <row r="223" spans="1:7">
      <c r="A223" s="50" t="s">
        <v>217</v>
      </c>
      <c r="B223" s="51">
        <v>20</v>
      </c>
      <c r="C223" s="51" t="s">
        <v>203</v>
      </c>
      <c r="D223" s="51" t="s">
        <v>204</v>
      </c>
      <c r="E223" s="51" t="s">
        <v>207</v>
      </c>
      <c r="F223" s="51">
        <v>1</v>
      </c>
      <c r="G223" s="60">
        <f>VLOOKUP($E223, MonsterData!$A$5:$G$13, 7, 0)</f>
        <v>1</v>
      </c>
    </row>
    <row r="224" spans="1:7">
      <c r="A224" s="54" t="s">
        <v>173</v>
      </c>
      <c r="B224" s="55">
        <v>21</v>
      </c>
      <c r="C224" s="55" t="s">
        <v>203</v>
      </c>
      <c r="D224" s="55" t="s">
        <v>204</v>
      </c>
      <c r="E224" s="55" t="s">
        <v>275</v>
      </c>
      <c r="F224" s="55">
        <v>1</v>
      </c>
      <c r="G224" s="61">
        <f>VLOOKUP($E224, MonsterData!$A$5:$G$13, 7, 0)</f>
        <v>5</v>
      </c>
    </row>
    <row r="225" spans="1:7">
      <c r="A225" s="50" t="s">
        <v>218</v>
      </c>
      <c r="B225" s="51">
        <v>0</v>
      </c>
      <c r="C225" s="51" t="s">
        <v>203</v>
      </c>
      <c r="D225" s="51" t="s">
        <v>204</v>
      </c>
      <c r="E225" s="51" t="s">
        <v>205</v>
      </c>
      <c r="F225" s="51">
        <v>1</v>
      </c>
      <c r="G225" s="60">
        <f>VLOOKUP($E225, MonsterData!$A$5:$G$13, 7, 0)</f>
        <v>1</v>
      </c>
    </row>
    <row r="226" spans="1:7">
      <c r="A226" s="54" t="s">
        <v>175</v>
      </c>
      <c r="B226" s="55">
        <v>1</v>
      </c>
      <c r="C226" s="55" t="s">
        <v>203</v>
      </c>
      <c r="D226" s="55" t="s">
        <v>204</v>
      </c>
      <c r="E226" s="55" t="s">
        <v>206</v>
      </c>
      <c r="F226" s="55">
        <v>1</v>
      </c>
      <c r="G226" s="61">
        <f>VLOOKUP($E226, MonsterData!$A$5:$G$13, 7, 0)</f>
        <v>1</v>
      </c>
    </row>
    <row r="227" spans="1:7">
      <c r="A227" s="50" t="s">
        <v>218</v>
      </c>
      <c r="B227" s="51">
        <v>2</v>
      </c>
      <c r="C227" s="51" t="s">
        <v>203</v>
      </c>
      <c r="D227" s="51" t="s">
        <v>204</v>
      </c>
      <c r="E227" s="51" t="s">
        <v>207</v>
      </c>
      <c r="F227" s="51">
        <v>1</v>
      </c>
      <c r="G227" s="60">
        <f>VLOOKUP($E227, MonsterData!$A$5:$G$13, 7, 0)</f>
        <v>1</v>
      </c>
    </row>
    <row r="228" spans="1:7">
      <c r="A228" s="54" t="s">
        <v>175</v>
      </c>
      <c r="B228" s="55">
        <v>3</v>
      </c>
      <c r="C228" s="55" t="s">
        <v>203</v>
      </c>
      <c r="D228" s="55" t="s">
        <v>204</v>
      </c>
      <c r="E228" s="55" t="s">
        <v>208</v>
      </c>
      <c r="F228" s="55">
        <v>1</v>
      </c>
      <c r="G228" s="61">
        <f>VLOOKUP($E228, MonsterData!$A$5:$G$13, 7, 0)</f>
        <v>1</v>
      </c>
    </row>
    <row r="229" spans="1:7">
      <c r="A229" s="50" t="s">
        <v>218</v>
      </c>
      <c r="B229" s="51">
        <v>4</v>
      </c>
      <c r="C229" s="51" t="s">
        <v>203</v>
      </c>
      <c r="D229" s="51" t="s">
        <v>204</v>
      </c>
      <c r="E229" s="51" t="s">
        <v>206</v>
      </c>
      <c r="F229" s="51">
        <v>1</v>
      </c>
      <c r="G229" s="60">
        <f>VLOOKUP($E229, MonsterData!$A$5:$G$13, 7, 0)</f>
        <v>1</v>
      </c>
    </row>
    <row r="230" spans="1:7">
      <c r="A230" s="54" t="s">
        <v>175</v>
      </c>
      <c r="B230" s="55">
        <v>5</v>
      </c>
      <c r="C230" s="55" t="s">
        <v>203</v>
      </c>
      <c r="D230" s="55" t="s">
        <v>204</v>
      </c>
      <c r="E230" s="55" t="s">
        <v>205</v>
      </c>
      <c r="F230" s="55">
        <v>1</v>
      </c>
      <c r="G230" s="61">
        <f>VLOOKUP($E230, MonsterData!$A$5:$G$13, 7, 0)</f>
        <v>1</v>
      </c>
    </row>
    <row r="231" spans="1:7">
      <c r="A231" s="50" t="s">
        <v>218</v>
      </c>
      <c r="B231" s="51">
        <v>6</v>
      </c>
      <c r="C231" s="51" t="s">
        <v>203</v>
      </c>
      <c r="D231" s="51" t="s">
        <v>204</v>
      </c>
      <c r="E231" s="51" t="s">
        <v>206</v>
      </c>
      <c r="F231" s="51">
        <v>1</v>
      </c>
      <c r="G231" s="60">
        <f>VLOOKUP($E231, MonsterData!$A$5:$G$13, 7, 0)</f>
        <v>1</v>
      </c>
    </row>
    <row r="232" spans="1:7">
      <c r="A232" s="54" t="s">
        <v>175</v>
      </c>
      <c r="B232" s="55">
        <v>7</v>
      </c>
      <c r="C232" s="55" t="s">
        <v>203</v>
      </c>
      <c r="D232" s="55" t="s">
        <v>204</v>
      </c>
      <c r="E232" s="55" t="s">
        <v>207</v>
      </c>
      <c r="F232" s="55">
        <v>1</v>
      </c>
      <c r="G232" s="61">
        <f>VLOOKUP($E232, MonsterData!$A$5:$G$13, 7, 0)</f>
        <v>1</v>
      </c>
    </row>
    <row r="233" spans="1:7">
      <c r="A233" s="50" t="s">
        <v>218</v>
      </c>
      <c r="B233" s="51">
        <v>8</v>
      </c>
      <c r="C233" s="51" t="s">
        <v>203</v>
      </c>
      <c r="D233" s="51" t="s">
        <v>204</v>
      </c>
      <c r="E233" s="51" t="s">
        <v>208</v>
      </c>
      <c r="F233" s="51">
        <v>1</v>
      </c>
      <c r="G233" s="60">
        <f>VLOOKUP($E233, MonsterData!$A$5:$G$13, 7, 0)</f>
        <v>1</v>
      </c>
    </row>
    <row r="234" spans="1:7">
      <c r="A234" s="54" t="s">
        <v>175</v>
      </c>
      <c r="B234" s="55">
        <v>9</v>
      </c>
      <c r="C234" s="55" t="s">
        <v>203</v>
      </c>
      <c r="D234" s="55" t="s">
        <v>204</v>
      </c>
      <c r="E234" s="55" t="s">
        <v>206</v>
      </c>
      <c r="F234" s="55">
        <v>1</v>
      </c>
      <c r="G234" s="61">
        <f>VLOOKUP($E234, MonsterData!$A$5:$G$13, 7, 0)</f>
        <v>1</v>
      </c>
    </row>
    <row r="235" spans="1:7">
      <c r="A235" s="50" t="s">
        <v>218</v>
      </c>
      <c r="B235" s="51">
        <v>10</v>
      </c>
      <c r="C235" s="51" t="s">
        <v>203</v>
      </c>
      <c r="D235" s="51" t="s">
        <v>204</v>
      </c>
      <c r="E235" s="51" t="s">
        <v>275</v>
      </c>
      <c r="F235" s="51">
        <v>1</v>
      </c>
      <c r="G235" s="60">
        <f>VLOOKUP($E235, MonsterData!$A$5:$G$13, 7, 0)</f>
        <v>5</v>
      </c>
    </row>
    <row r="236" spans="1:7">
      <c r="A236" s="54" t="s">
        <v>175</v>
      </c>
      <c r="B236" s="55">
        <v>11</v>
      </c>
      <c r="C236" s="55" t="s">
        <v>203</v>
      </c>
      <c r="D236" s="55" t="s">
        <v>204</v>
      </c>
      <c r="E236" s="55" t="s">
        <v>205</v>
      </c>
      <c r="F236" s="55">
        <v>1</v>
      </c>
      <c r="G236" s="61">
        <f>VLOOKUP($E236, MonsterData!$A$5:$G$13, 7, 0)</f>
        <v>1</v>
      </c>
    </row>
    <row r="237" spans="1:7">
      <c r="A237" s="50" t="s">
        <v>218</v>
      </c>
      <c r="B237" s="51">
        <v>12</v>
      </c>
      <c r="C237" s="51" t="s">
        <v>203</v>
      </c>
      <c r="D237" s="51" t="s">
        <v>204</v>
      </c>
      <c r="E237" s="51" t="s">
        <v>206</v>
      </c>
      <c r="F237" s="51">
        <v>1</v>
      </c>
      <c r="G237" s="60">
        <f>VLOOKUP($E237, MonsterData!$A$5:$G$13, 7, 0)</f>
        <v>1</v>
      </c>
    </row>
    <row r="238" spans="1:7">
      <c r="A238" s="54" t="s">
        <v>175</v>
      </c>
      <c r="B238" s="55">
        <v>13</v>
      </c>
      <c r="C238" s="55" t="s">
        <v>203</v>
      </c>
      <c r="D238" s="55" t="s">
        <v>204</v>
      </c>
      <c r="E238" s="55" t="s">
        <v>207</v>
      </c>
      <c r="F238" s="55">
        <v>1</v>
      </c>
      <c r="G238" s="61">
        <f>VLOOKUP($E238, MonsterData!$A$5:$G$13, 7, 0)</f>
        <v>1</v>
      </c>
    </row>
    <row r="239" spans="1:7">
      <c r="A239" s="50" t="s">
        <v>218</v>
      </c>
      <c r="B239" s="51">
        <v>14</v>
      </c>
      <c r="C239" s="51" t="s">
        <v>203</v>
      </c>
      <c r="D239" s="51" t="s">
        <v>204</v>
      </c>
      <c r="E239" s="51" t="s">
        <v>208</v>
      </c>
      <c r="F239" s="51">
        <v>1</v>
      </c>
      <c r="G239" s="60">
        <f>VLOOKUP($E239, MonsterData!$A$5:$G$13, 7, 0)</f>
        <v>1</v>
      </c>
    </row>
    <row r="240" spans="1:7">
      <c r="A240" s="54" t="s">
        <v>175</v>
      </c>
      <c r="B240" s="55">
        <v>15</v>
      </c>
      <c r="C240" s="55" t="s">
        <v>203</v>
      </c>
      <c r="D240" s="55" t="s">
        <v>204</v>
      </c>
      <c r="E240" s="55" t="s">
        <v>206</v>
      </c>
      <c r="F240" s="55">
        <v>1</v>
      </c>
      <c r="G240" s="61">
        <f>VLOOKUP($E240, MonsterData!$A$5:$G$13, 7, 0)</f>
        <v>1</v>
      </c>
    </row>
    <row r="241" spans="1:7">
      <c r="A241" s="50" t="s">
        <v>218</v>
      </c>
      <c r="B241" s="51">
        <v>16</v>
      </c>
      <c r="C241" s="51" t="s">
        <v>203</v>
      </c>
      <c r="D241" s="51" t="s">
        <v>204</v>
      </c>
      <c r="E241" s="51" t="s">
        <v>205</v>
      </c>
      <c r="F241" s="51">
        <v>1</v>
      </c>
      <c r="G241" s="60">
        <f>VLOOKUP($E241, MonsterData!$A$5:$G$13, 7, 0)</f>
        <v>1</v>
      </c>
    </row>
    <row r="242" spans="1:7">
      <c r="A242" s="54" t="s">
        <v>175</v>
      </c>
      <c r="B242" s="55">
        <v>17</v>
      </c>
      <c r="C242" s="55" t="s">
        <v>203</v>
      </c>
      <c r="D242" s="55" t="s">
        <v>204</v>
      </c>
      <c r="E242" s="55" t="s">
        <v>206</v>
      </c>
      <c r="F242" s="55">
        <v>1</v>
      </c>
      <c r="G242" s="61">
        <f>VLOOKUP($E242, MonsterData!$A$5:$G$13, 7, 0)</f>
        <v>1</v>
      </c>
    </row>
    <row r="243" spans="1:7">
      <c r="A243" s="50" t="s">
        <v>218</v>
      </c>
      <c r="B243" s="51">
        <v>18</v>
      </c>
      <c r="C243" s="51" t="s">
        <v>203</v>
      </c>
      <c r="D243" s="51" t="s">
        <v>204</v>
      </c>
      <c r="E243" s="51" t="s">
        <v>207</v>
      </c>
      <c r="F243" s="51">
        <v>1</v>
      </c>
      <c r="G243" s="60">
        <f>VLOOKUP($E243, MonsterData!$A$5:$G$13, 7, 0)</f>
        <v>1</v>
      </c>
    </row>
    <row r="244" spans="1:7">
      <c r="A244" s="54" t="s">
        <v>175</v>
      </c>
      <c r="B244" s="55">
        <v>19</v>
      </c>
      <c r="C244" s="55" t="s">
        <v>203</v>
      </c>
      <c r="D244" s="55" t="s">
        <v>204</v>
      </c>
      <c r="E244" s="55" t="s">
        <v>208</v>
      </c>
      <c r="F244" s="55">
        <v>1</v>
      </c>
      <c r="G244" s="61">
        <f>VLOOKUP($E244, MonsterData!$A$5:$G$13, 7, 0)</f>
        <v>1</v>
      </c>
    </row>
    <row r="245" spans="1:7">
      <c r="A245" s="50" t="s">
        <v>218</v>
      </c>
      <c r="B245" s="51">
        <v>20</v>
      </c>
      <c r="C245" s="51" t="s">
        <v>203</v>
      </c>
      <c r="D245" s="51" t="s">
        <v>204</v>
      </c>
      <c r="E245" s="51" t="s">
        <v>206</v>
      </c>
      <c r="F245" s="51">
        <v>1</v>
      </c>
      <c r="G245" s="60">
        <f>VLOOKUP($E245, MonsterData!$A$5:$G$13, 7, 0)</f>
        <v>1</v>
      </c>
    </row>
    <row r="246" spans="1:7">
      <c r="A246" s="54" t="s">
        <v>175</v>
      </c>
      <c r="B246" s="55">
        <v>21</v>
      </c>
      <c r="C246" s="55" t="s">
        <v>203</v>
      </c>
      <c r="D246" s="55" t="s">
        <v>204</v>
      </c>
      <c r="E246" s="55" t="s">
        <v>276</v>
      </c>
      <c r="F246" s="55">
        <v>1</v>
      </c>
      <c r="G246" s="61">
        <f>VLOOKUP($E246, MonsterData!$A$5:$G$13, 7, 0)</f>
        <v>5</v>
      </c>
    </row>
    <row r="247" spans="1:7">
      <c r="A247" s="50" t="s">
        <v>219</v>
      </c>
      <c r="B247" s="51">
        <v>0</v>
      </c>
      <c r="C247" s="51" t="s">
        <v>203</v>
      </c>
      <c r="D247" s="51" t="s">
        <v>204</v>
      </c>
      <c r="E247" s="51" t="s">
        <v>207</v>
      </c>
      <c r="F247" s="51">
        <v>1</v>
      </c>
      <c r="G247" s="60">
        <f>VLOOKUP($E247, MonsterData!$A$5:$G$13, 7, 0)</f>
        <v>1</v>
      </c>
    </row>
    <row r="248" spans="1:7">
      <c r="A248" s="54" t="s">
        <v>177</v>
      </c>
      <c r="B248" s="55">
        <v>1</v>
      </c>
      <c r="C248" s="55" t="s">
        <v>203</v>
      </c>
      <c r="D248" s="55" t="s">
        <v>204</v>
      </c>
      <c r="E248" s="55" t="s">
        <v>208</v>
      </c>
      <c r="F248" s="55">
        <v>1</v>
      </c>
      <c r="G248" s="61">
        <f>VLOOKUP($E248, MonsterData!$A$5:$G$13, 7, 0)</f>
        <v>1</v>
      </c>
    </row>
    <row r="249" spans="1:7">
      <c r="A249" s="50" t="s">
        <v>219</v>
      </c>
      <c r="B249" s="51">
        <v>2</v>
      </c>
      <c r="C249" s="51" t="s">
        <v>203</v>
      </c>
      <c r="D249" s="51" t="s">
        <v>204</v>
      </c>
      <c r="E249" s="51" t="s">
        <v>206</v>
      </c>
      <c r="F249" s="51">
        <v>1</v>
      </c>
      <c r="G249" s="60">
        <f>VLOOKUP($E249, MonsterData!$A$5:$G$13, 7, 0)</f>
        <v>1</v>
      </c>
    </row>
    <row r="250" spans="1:7">
      <c r="A250" s="54" t="s">
        <v>177</v>
      </c>
      <c r="B250" s="55">
        <v>3</v>
      </c>
      <c r="C250" s="55" t="s">
        <v>203</v>
      </c>
      <c r="D250" s="55" t="s">
        <v>204</v>
      </c>
      <c r="E250" s="55" t="s">
        <v>205</v>
      </c>
      <c r="F250" s="55">
        <v>1</v>
      </c>
      <c r="G250" s="61">
        <f>VLOOKUP($E250, MonsterData!$A$5:$G$13, 7, 0)</f>
        <v>1</v>
      </c>
    </row>
    <row r="251" spans="1:7">
      <c r="A251" s="50" t="s">
        <v>219</v>
      </c>
      <c r="B251" s="51">
        <v>4</v>
      </c>
      <c r="C251" s="51" t="s">
        <v>203</v>
      </c>
      <c r="D251" s="51" t="s">
        <v>204</v>
      </c>
      <c r="E251" s="51" t="s">
        <v>206</v>
      </c>
      <c r="F251" s="51">
        <v>1</v>
      </c>
      <c r="G251" s="60">
        <f>VLOOKUP($E251, MonsterData!$A$5:$G$13, 7, 0)</f>
        <v>1</v>
      </c>
    </row>
    <row r="252" spans="1:7">
      <c r="A252" s="54" t="s">
        <v>177</v>
      </c>
      <c r="B252" s="55">
        <v>5</v>
      </c>
      <c r="C252" s="55" t="s">
        <v>203</v>
      </c>
      <c r="D252" s="55" t="s">
        <v>204</v>
      </c>
      <c r="E252" s="55" t="s">
        <v>207</v>
      </c>
      <c r="F252" s="55">
        <v>1</v>
      </c>
      <c r="G252" s="61">
        <f>VLOOKUP($E252, MonsterData!$A$5:$G$13, 7, 0)</f>
        <v>1</v>
      </c>
    </row>
    <row r="253" spans="1:7">
      <c r="A253" s="50" t="s">
        <v>219</v>
      </c>
      <c r="B253" s="51">
        <v>6</v>
      </c>
      <c r="C253" s="51" t="s">
        <v>203</v>
      </c>
      <c r="D253" s="51" t="s">
        <v>204</v>
      </c>
      <c r="E253" s="51" t="s">
        <v>208</v>
      </c>
      <c r="F253" s="51">
        <v>1</v>
      </c>
      <c r="G253" s="60">
        <f>VLOOKUP($E253, MonsterData!$A$5:$G$13, 7, 0)</f>
        <v>1</v>
      </c>
    </row>
    <row r="254" spans="1:7">
      <c r="A254" s="54" t="s">
        <v>177</v>
      </c>
      <c r="B254" s="55">
        <v>7</v>
      </c>
      <c r="C254" s="55" t="s">
        <v>203</v>
      </c>
      <c r="D254" s="55" t="s">
        <v>204</v>
      </c>
      <c r="E254" s="55" t="s">
        <v>206</v>
      </c>
      <c r="F254" s="55">
        <v>1</v>
      </c>
      <c r="G254" s="61">
        <f>VLOOKUP($E254, MonsterData!$A$5:$G$13, 7, 0)</f>
        <v>1</v>
      </c>
    </row>
    <row r="255" spans="1:7">
      <c r="A255" s="50" t="s">
        <v>219</v>
      </c>
      <c r="B255" s="51">
        <v>8</v>
      </c>
      <c r="C255" s="51" t="s">
        <v>203</v>
      </c>
      <c r="D255" s="51" t="s">
        <v>204</v>
      </c>
      <c r="E255" s="51" t="s">
        <v>205</v>
      </c>
      <c r="F255" s="51">
        <v>1</v>
      </c>
      <c r="G255" s="60">
        <f>VLOOKUP($E255, MonsterData!$A$5:$G$13, 7, 0)</f>
        <v>1</v>
      </c>
    </row>
    <row r="256" spans="1:7">
      <c r="A256" s="54" t="s">
        <v>177</v>
      </c>
      <c r="B256" s="55">
        <v>9</v>
      </c>
      <c r="C256" s="55" t="s">
        <v>203</v>
      </c>
      <c r="D256" s="55" t="s">
        <v>204</v>
      </c>
      <c r="E256" s="55" t="s">
        <v>206</v>
      </c>
      <c r="F256" s="55">
        <v>1</v>
      </c>
      <c r="G256" s="61">
        <f>VLOOKUP($E256, MonsterData!$A$5:$G$13, 7, 0)</f>
        <v>1</v>
      </c>
    </row>
    <row r="257" spans="1:7">
      <c r="A257" s="50" t="s">
        <v>219</v>
      </c>
      <c r="B257" s="51">
        <v>10</v>
      </c>
      <c r="C257" s="51" t="s">
        <v>203</v>
      </c>
      <c r="D257" s="51" t="s">
        <v>204</v>
      </c>
      <c r="E257" s="51" t="s">
        <v>276</v>
      </c>
      <c r="F257" s="51">
        <v>1</v>
      </c>
      <c r="G257" s="60">
        <f>VLOOKUP($E257, MonsterData!$A$5:$G$13, 7, 0)</f>
        <v>5</v>
      </c>
    </row>
    <row r="258" spans="1:7">
      <c r="A258" s="54" t="s">
        <v>177</v>
      </c>
      <c r="B258" s="55">
        <v>11</v>
      </c>
      <c r="C258" s="55" t="s">
        <v>203</v>
      </c>
      <c r="D258" s="55" t="s">
        <v>204</v>
      </c>
      <c r="E258" s="55" t="s">
        <v>207</v>
      </c>
      <c r="F258" s="55">
        <v>1</v>
      </c>
      <c r="G258" s="61">
        <f>VLOOKUP($E258, MonsterData!$A$5:$G$13, 7, 0)</f>
        <v>1</v>
      </c>
    </row>
    <row r="259" spans="1:7">
      <c r="A259" s="50" t="s">
        <v>219</v>
      </c>
      <c r="B259" s="51">
        <v>12</v>
      </c>
      <c r="C259" s="51" t="s">
        <v>203</v>
      </c>
      <c r="D259" s="51" t="s">
        <v>204</v>
      </c>
      <c r="E259" s="51" t="s">
        <v>208</v>
      </c>
      <c r="F259" s="51">
        <v>1</v>
      </c>
      <c r="G259" s="60">
        <f>VLOOKUP($E259, MonsterData!$A$5:$G$13, 7, 0)</f>
        <v>1</v>
      </c>
    </row>
    <row r="260" spans="1:7">
      <c r="A260" s="54" t="s">
        <v>177</v>
      </c>
      <c r="B260" s="55">
        <v>13</v>
      </c>
      <c r="C260" s="55" t="s">
        <v>203</v>
      </c>
      <c r="D260" s="55" t="s">
        <v>204</v>
      </c>
      <c r="E260" s="55" t="s">
        <v>206</v>
      </c>
      <c r="F260" s="55">
        <v>1</v>
      </c>
      <c r="G260" s="61">
        <f>VLOOKUP($E260, MonsterData!$A$5:$G$13, 7, 0)</f>
        <v>1</v>
      </c>
    </row>
    <row r="261" spans="1:7">
      <c r="A261" s="50" t="s">
        <v>219</v>
      </c>
      <c r="B261" s="51">
        <v>14</v>
      </c>
      <c r="C261" s="51" t="s">
        <v>203</v>
      </c>
      <c r="D261" s="51" t="s">
        <v>204</v>
      </c>
      <c r="E261" s="51" t="s">
        <v>205</v>
      </c>
      <c r="F261" s="51">
        <v>1</v>
      </c>
      <c r="G261" s="60">
        <f>VLOOKUP($E261, MonsterData!$A$5:$G$13, 7, 0)</f>
        <v>1</v>
      </c>
    </row>
    <row r="262" spans="1:7">
      <c r="A262" s="54" t="s">
        <v>177</v>
      </c>
      <c r="B262" s="55">
        <v>15</v>
      </c>
      <c r="C262" s="55" t="s">
        <v>203</v>
      </c>
      <c r="D262" s="55" t="s">
        <v>204</v>
      </c>
      <c r="E262" s="55" t="s">
        <v>206</v>
      </c>
      <c r="F262" s="55">
        <v>1</v>
      </c>
      <c r="G262" s="61">
        <f>VLOOKUP($E262, MonsterData!$A$5:$G$13, 7, 0)</f>
        <v>1</v>
      </c>
    </row>
    <row r="263" spans="1:7">
      <c r="A263" s="50" t="s">
        <v>219</v>
      </c>
      <c r="B263" s="51">
        <v>16</v>
      </c>
      <c r="C263" s="51" t="s">
        <v>203</v>
      </c>
      <c r="D263" s="51" t="s">
        <v>204</v>
      </c>
      <c r="E263" s="51" t="s">
        <v>207</v>
      </c>
      <c r="F263" s="51">
        <v>1</v>
      </c>
      <c r="G263" s="60">
        <f>VLOOKUP($E263, MonsterData!$A$5:$G$13, 7, 0)</f>
        <v>1</v>
      </c>
    </row>
    <row r="264" spans="1:7">
      <c r="A264" s="54" t="s">
        <v>177</v>
      </c>
      <c r="B264" s="55">
        <v>17</v>
      </c>
      <c r="C264" s="55" t="s">
        <v>203</v>
      </c>
      <c r="D264" s="55" t="s">
        <v>204</v>
      </c>
      <c r="E264" s="55" t="s">
        <v>208</v>
      </c>
      <c r="F264" s="55">
        <v>1</v>
      </c>
      <c r="G264" s="61">
        <f>VLOOKUP($E264, MonsterData!$A$5:$G$13, 7, 0)</f>
        <v>1</v>
      </c>
    </row>
    <row r="265" spans="1:7">
      <c r="A265" s="50" t="s">
        <v>219</v>
      </c>
      <c r="B265" s="51">
        <v>18</v>
      </c>
      <c r="C265" s="51" t="s">
        <v>203</v>
      </c>
      <c r="D265" s="51" t="s">
        <v>204</v>
      </c>
      <c r="E265" s="51" t="s">
        <v>206</v>
      </c>
      <c r="F265" s="51">
        <v>1</v>
      </c>
      <c r="G265" s="60">
        <f>VLOOKUP($E265, MonsterData!$A$5:$G$13, 7, 0)</f>
        <v>1</v>
      </c>
    </row>
    <row r="266" spans="1:7">
      <c r="A266" s="54" t="s">
        <v>177</v>
      </c>
      <c r="B266" s="55">
        <v>19</v>
      </c>
      <c r="C266" s="55" t="s">
        <v>203</v>
      </c>
      <c r="D266" s="55" t="s">
        <v>204</v>
      </c>
      <c r="E266" s="55" t="s">
        <v>205</v>
      </c>
      <c r="F266" s="55">
        <v>1</v>
      </c>
      <c r="G266" s="61">
        <f>VLOOKUP($E266, MonsterData!$A$5:$G$13, 7, 0)</f>
        <v>1</v>
      </c>
    </row>
    <row r="267" spans="1:7">
      <c r="A267" s="50" t="s">
        <v>219</v>
      </c>
      <c r="B267" s="51">
        <v>20</v>
      </c>
      <c r="C267" s="51" t="s">
        <v>203</v>
      </c>
      <c r="D267" s="51" t="s">
        <v>204</v>
      </c>
      <c r="E267" s="51" t="s">
        <v>206</v>
      </c>
      <c r="F267" s="51">
        <v>1</v>
      </c>
      <c r="G267" s="60">
        <f>VLOOKUP($E267, MonsterData!$A$5:$G$13, 7, 0)</f>
        <v>1</v>
      </c>
    </row>
    <row r="268" spans="1:7">
      <c r="A268" s="54" t="s">
        <v>177</v>
      </c>
      <c r="B268" s="55">
        <v>21</v>
      </c>
      <c r="C268" s="55" t="s">
        <v>203</v>
      </c>
      <c r="D268" s="55" t="s">
        <v>204</v>
      </c>
      <c r="E268" s="55" t="s">
        <v>275</v>
      </c>
      <c r="F268" s="55">
        <v>1</v>
      </c>
      <c r="G268" s="61">
        <f>VLOOKUP($E268, MonsterData!$A$5:$G$13, 7, 0)</f>
        <v>5</v>
      </c>
    </row>
    <row r="269" spans="1:7">
      <c r="A269" s="50" t="s">
        <v>220</v>
      </c>
      <c r="B269" s="51">
        <v>0</v>
      </c>
      <c r="C269" s="51" t="s">
        <v>203</v>
      </c>
      <c r="D269" s="51" t="s">
        <v>204</v>
      </c>
      <c r="E269" s="51" t="s">
        <v>206</v>
      </c>
      <c r="F269" s="51">
        <v>1</v>
      </c>
      <c r="G269" s="60">
        <f>VLOOKUP($E269, MonsterData!$A$5:$G$13, 7, 0)</f>
        <v>1</v>
      </c>
    </row>
    <row r="270" spans="1:7">
      <c r="A270" s="54" t="s">
        <v>179</v>
      </c>
      <c r="B270" s="55">
        <v>1</v>
      </c>
      <c r="C270" s="55" t="s">
        <v>203</v>
      </c>
      <c r="D270" s="55" t="s">
        <v>204</v>
      </c>
      <c r="E270" s="55" t="s">
        <v>205</v>
      </c>
      <c r="F270" s="55">
        <v>1</v>
      </c>
      <c r="G270" s="61">
        <f>VLOOKUP($E270, MonsterData!$A$5:$G$13, 7, 0)</f>
        <v>1</v>
      </c>
    </row>
    <row r="271" spans="1:7">
      <c r="A271" s="50" t="s">
        <v>220</v>
      </c>
      <c r="B271" s="51">
        <v>2</v>
      </c>
      <c r="C271" s="51" t="s">
        <v>203</v>
      </c>
      <c r="D271" s="51" t="s">
        <v>204</v>
      </c>
      <c r="E271" s="51" t="s">
        <v>206</v>
      </c>
      <c r="F271" s="51">
        <v>1</v>
      </c>
      <c r="G271" s="60">
        <f>VLOOKUP($E271, MonsterData!$A$5:$G$13, 7, 0)</f>
        <v>1</v>
      </c>
    </row>
    <row r="272" spans="1:7">
      <c r="A272" s="54" t="s">
        <v>179</v>
      </c>
      <c r="B272" s="55">
        <v>3</v>
      </c>
      <c r="C272" s="55" t="s">
        <v>203</v>
      </c>
      <c r="D272" s="55" t="s">
        <v>204</v>
      </c>
      <c r="E272" s="55" t="s">
        <v>207</v>
      </c>
      <c r="F272" s="55">
        <v>1</v>
      </c>
      <c r="G272" s="61">
        <f>VLOOKUP($E272, MonsterData!$A$5:$G$13, 7, 0)</f>
        <v>1</v>
      </c>
    </row>
    <row r="273" spans="1:7">
      <c r="A273" s="50" t="s">
        <v>220</v>
      </c>
      <c r="B273" s="51">
        <v>4</v>
      </c>
      <c r="C273" s="51" t="s">
        <v>203</v>
      </c>
      <c r="D273" s="51" t="s">
        <v>204</v>
      </c>
      <c r="E273" s="51" t="s">
        <v>208</v>
      </c>
      <c r="F273" s="51">
        <v>1</v>
      </c>
      <c r="G273" s="60">
        <f>VLOOKUP($E273, MonsterData!$A$5:$G$13, 7, 0)</f>
        <v>1</v>
      </c>
    </row>
    <row r="274" spans="1:7">
      <c r="A274" s="54" t="s">
        <v>179</v>
      </c>
      <c r="B274" s="55">
        <v>5</v>
      </c>
      <c r="C274" s="55" t="s">
        <v>203</v>
      </c>
      <c r="D274" s="55" t="s">
        <v>204</v>
      </c>
      <c r="E274" s="55" t="s">
        <v>206</v>
      </c>
      <c r="F274" s="55">
        <v>1</v>
      </c>
      <c r="G274" s="61">
        <f>VLOOKUP($E274, MonsterData!$A$5:$G$13, 7, 0)</f>
        <v>1</v>
      </c>
    </row>
    <row r="275" spans="1:7">
      <c r="A275" s="50" t="s">
        <v>220</v>
      </c>
      <c r="B275" s="51">
        <v>6</v>
      </c>
      <c r="C275" s="51" t="s">
        <v>203</v>
      </c>
      <c r="D275" s="51" t="s">
        <v>204</v>
      </c>
      <c r="E275" s="51" t="s">
        <v>205</v>
      </c>
      <c r="F275" s="51">
        <v>1</v>
      </c>
      <c r="G275" s="60">
        <f>VLOOKUP($E275, MonsterData!$A$5:$G$13, 7, 0)</f>
        <v>1</v>
      </c>
    </row>
    <row r="276" spans="1:7">
      <c r="A276" s="54" t="s">
        <v>179</v>
      </c>
      <c r="B276" s="55">
        <v>7</v>
      </c>
      <c r="C276" s="55" t="s">
        <v>203</v>
      </c>
      <c r="D276" s="55" t="s">
        <v>204</v>
      </c>
      <c r="E276" s="55" t="s">
        <v>206</v>
      </c>
      <c r="F276" s="55">
        <v>1</v>
      </c>
      <c r="G276" s="61">
        <f>VLOOKUP($E276, MonsterData!$A$5:$G$13, 7, 0)</f>
        <v>1</v>
      </c>
    </row>
    <row r="277" spans="1:7">
      <c r="A277" s="50" t="s">
        <v>220</v>
      </c>
      <c r="B277" s="51">
        <v>8</v>
      </c>
      <c r="C277" s="51" t="s">
        <v>203</v>
      </c>
      <c r="D277" s="51" t="s">
        <v>204</v>
      </c>
      <c r="E277" s="51" t="s">
        <v>207</v>
      </c>
      <c r="F277" s="51">
        <v>1</v>
      </c>
      <c r="G277" s="60">
        <f>VLOOKUP($E277, MonsterData!$A$5:$G$13, 7, 0)</f>
        <v>1</v>
      </c>
    </row>
    <row r="278" spans="1:7">
      <c r="A278" s="54" t="s">
        <v>179</v>
      </c>
      <c r="B278" s="55">
        <v>9</v>
      </c>
      <c r="C278" s="55" t="s">
        <v>203</v>
      </c>
      <c r="D278" s="55" t="s">
        <v>204</v>
      </c>
      <c r="E278" s="55" t="s">
        <v>208</v>
      </c>
      <c r="F278" s="55">
        <v>1</v>
      </c>
      <c r="G278" s="61">
        <f>VLOOKUP($E278, MonsterData!$A$5:$G$13, 7, 0)</f>
        <v>1</v>
      </c>
    </row>
    <row r="279" spans="1:7">
      <c r="A279" s="50" t="s">
        <v>220</v>
      </c>
      <c r="B279" s="51">
        <v>10</v>
      </c>
      <c r="C279" s="51" t="s">
        <v>203</v>
      </c>
      <c r="D279" s="51" t="s">
        <v>204</v>
      </c>
      <c r="E279" s="51" t="s">
        <v>275</v>
      </c>
      <c r="F279" s="51">
        <v>1</v>
      </c>
      <c r="G279" s="60">
        <f>VLOOKUP($E279, MonsterData!$A$5:$G$13, 7, 0)</f>
        <v>5</v>
      </c>
    </row>
    <row r="280" spans="1:7">
      <c r="A280" s="54" t="s">
        <v>179</v>
      </c>
      <c r="B280" s="55">
        <v>11</v>
      </c>
      <c r="C280" s="55" t="s">
        <v>203</v>
      </c>
      <c r="D280" s="55" t="s">
        <v>204</v>
      </c>
      <c r="E280" s="55" t="s">
        <v>206</v>
      </c>
      <c r="F280" s="55">
        <v>1</v>
      </c>
      <c r="G280" s="61">
        <f>VLOOKUP($E280, MonsterData!$A$5:$G$13, 7, 0)</f>
        <v>1</v>
      </c>
    </row>
    <row r="281" spans="1:7">
      <c r="A281" s="50" t="s">
        <v>220</v>
      </c>
      <c r="B281" s="51">
        <v>12</v>
      </c>
      <c r="C281" s="51" t="s">
        <v>203</v>
      </c>
      <c r="D281" s="51" t="s">
        <v>204</v>
      </c>
      <c r="E281" s="51" t="s">
        <v>205</v>
      </c>
      <c r="F281" s="51">
        <v>1</v>
      </c>
      <c r="G281" s="60">
        <f>VLOOKUP($E281, MonsterData!$A$5:$G$13, 7, 0)</f>
        <v>1</v>
      </c>
    </row>
    <row r="282" spans="1:7">
      <c r="A282" s="54" t="s">
        <v>179</v>
      </c>
      <c r="B282" s="55">
        <v>13</v>
      </c>
      <c r="C282" s="55" t="s">
        <v>203</v>
      </c>
      <c r="D282" s="55" t="s">
        <v>204</v>
      </c>
      <c r="E282" s="55" t="s">
        <v>206</v>
      </c>
      <c r="F282" s="55">
        <v>1</v>
      </c>
      <c r="G282" s="61">
        <f>VLOOKUP($E282, MonsterData!$A$5:$G$13, 7, 0)</f>
        <v>1</v>
      </c>
    </row>
    <row r="283" spans="1:7">
      <c r="A283" s="50" t="s">
        <v>220</v>
      </c>
      <c r="B283" s="51">
        <v>14</v>
      </c>
      <c r="C283" s="51" t="s">
        <v>203</v>
      </c>
      <c r="D283" s="51" t="s">
        <v>204</v>
      </c>
      <c r="E283" s="51" t="s">
        <v>207</v>
      </c>
      <c r="F283" s="51">
        <v>1</v>
      </c>
      <c r="G283" s="60">
        <f>VLOOKUP($E283, MonsterData!$A$5:$G$13, 7, 0)</f>
        <v>1</v>
      </c>
    </row>
    <row r="284" spans="1:7">
      <c r="A284" s="54" t="s">
        <v>179</v>
      </c>
      <c r="B284" s="55">
        <v>15</v>
      </c>
      <c r="C284" s="55" t="s">
        <v>203</v>
      </c>
      <c r="D284" s="55" t="s">
        <v>204</v>
      </c>
      <c r="E284" s="55" t="s">
        <v>208</v>
      </c>
      <c r="F284" s="55">
        <v>1</v>
      </c>
      <c r="G284" s="61">
        <f>VLOOKUP($E284, MonsterData!$A$5:$G$13, 7, 0)</f>
        <v>1</v>
      </c>
    </row>
    <row r="285" spans="1:7">
      <c r="A285" s="50" t="s">
        <v>220</v>
      </c>
      <c r="B285" s="51">
        <v>16</v>
      </c>
      <c r="C285" s="51" t="s">
        <v>203</v>
      </c>
      <c r="D285" s="51" t="s">
        <v>204</v>
      </c>
      <c r="E285" s="51" t="s">
        <v>206</v>
      </c>
      <c r="F285" s="51">
        <v>1</v>
      </c>
      <c r="G285" s="60">
        <f>VLOOKUP($E285, MonsterData!$A$5:$G$13, 7, 0)</f>
        <v>1</v>
      </c>
    </row>
    <row r="286" spans="1:7">
      <c r="A286" s="54" t="s">
        <v>179</v>
      </c>
      <c r="B286" s="55">
        <v>17</v>
      </c>
      <c r="C286" s="55" t="s">
        <v>203</v>
      </c>
      <c r="D286" s="55" t="s">
        <v>204</v>
      </c>
      <c r="E286" s="55" t="s">
        <v>205</v>
      </c>
      <c r="F286" s="55">
        <v>1</v>
      </c>
      <c r="G286" s="61">
        <f>VLOOKUP($E286, MonsterData!$A$5:$G$13, 7, 0)</f>
        <v>1</v>
      </c>
    </row>
    <row r="287" spans="1:7">
      <c r="A287" s="50" t="s">
        <v>220</v>
      </c>
      <c r="B287" s="51">
        <v>18</v>
      </c>
      <c r="C287" s="51" t="s">
        <v>203</v>
      </c>
      <c r="D287" s="51" t="s">
        <v>204</v>
      </c>
      <c r="E287" s="51" t="s">
        <v>206</v>
      </c>
      <c r="F287" s="51">
        <v>1</v>
      </c>
      <c r="G287" s="60">
        <f>VLOOKUP($E287, MonsterData!$A$5:$G$13, 7, 0)</f>
        <v>1</v>
      </c>
    </row>
    <row r="288" spans="1:7">
      <c r="A288" s="54" t="s">
        <v>179</v>
      </c>
      <c r="B288" s="55">
        <v>19</v>
      </c>
      <c r="C288" s="55" t="s">
        <v>203</v>
      </c>
      <c r="D288" s="55" t="s">
        <v>204</v>
      </c>
      <c r="E288" s="55" t="s">
        <v>207</v>
      </c>
      <c r="F288" s="55">
        <v>1</v>
      </c>
      <c r="G288" s="61">
        <f>VLOOKUP($E288, MonsterData!$A$5:$G$13, 7, 0)</f>
        <v>1</v>
      </c>
    </row>
    <row r="289" spans="1:7">
      <c r="A289" s="50" t="s">
        <v>220</v>
      </c>
      <c r="B289" s="51">
        <v>20</v>
      </c>
      <c r="C289" s="51" t="s">
        <v>203</v>
      </c>
      <c r="D289" s="51" t="s">
        <v>204</v>
      </c>
      <c r="E289" s="51" t="s">
        <v>208</v>
      </c>
      <c r="F289" s="51">
        <v>1</v>
      </c>
      <c r="G289" s="60">
        <f>VLOOKUP($E289, MonsterData!$A$5:$G$13, 7, 0)</f>
        <v>1</v>
      </c>
    </row>
    <row r="290" spans="1:7">
      <c r="A290" s="54" t="s">
        <v>179</v>
      </c>
      <c r="B290" s="55">
        <v>21</v>
      </c>
      <c r="C290" s="55" t="s">
        <v>203</v>
      </c>
      <c r="D290" s="55" t="s">
        <v>204</v>
      </c>
      <c r="E290" s="55" t="s">
        <v>276</v>
      </c>
      <c r="F290" s="55">
        <v>1</v>
      </c>
      <c r="G290" s="61">
        <f>VLOOKUP($E290, MonsterData!$A$5:$G$13, 7, 0)</f>
        <v>5</v>
      </c>
    </row>
    <row r="291" spans="1:7">
      <c r="A291" s="50" t="s">
        <v>221</v>
      </c>
      <c r="B291" s="51">
        <v>0</v>
      </c>
      <c r="C291" s="51" t="s">
        <v>203</v>
      </c>
      <c r="D291" s="51" t="s">
        <v>204</v>
      </c>
      <c r="E291" s="51" t="s">
        <v>206</v>
      </c>
      <c r="F291" s="51">
        <v>1</v>
      </c>
      <c r="G291" s="60">
        <f>VLOOKUP($E291, MonsterData!$A$5:$G$13, 7, 0)</f>
        <v>1</v>
      </c>
    </row>
    <row r="292" spans="1:7">
      <c r="A292" s="54" t="s">
        <v>181</v>
      </c>
      <c r="B292" s="55">
        <v>1</v>
      </c>
      <c r="C292" s="55" t="s">
        <v>203</v>
      </c>
      <c r="D292" s="55" t="s">
        <v>204</v>
      </c>
      <c r="E292" s="55" t="s">
        <v>207</v>
      </c>
      <c r="F292" s="55">
        <v>1</v>
      </c>
      <c r="G292" s="61">
        <f>VLOOKUP($E292, MonsterData!$A$5:$G$13, 7, 0)</f>
        <v>1</v>
      </c>
    </row>
    <row r="293" spans="1:7">
      <c r="A293" s="50" t="s">
        <v>221</v>
      </c>
      <c r="B293" s="51">
        <v>2</v>
      </c>
      <c r="C293" s="51" t="s">
        <v>203</v>
      </c>
      <c r="D293" s="51" t="s">
        <v>204</v>
      </c>
      <c r="E293" s="51" t="s">
        <v>208</v>
      </c>
      <c r="F293" s="51">
        <v>1</v>
      </c>
      <c r="G293" s="60">
        <f>VLOOKUP($E293, MonsterData!$A$5:$G$13, 7, 0)</f>
        <v>1</v>
      </c>
    </row>
    <row r="294" spans="1:7">
      <c r="A294" s="54" t="s">
        <v>181</v>
      </c>
      <c r="B294" s="55">
        <v>3</v>
      </c>
      <c r="C294" s="55" t="s">
        <v>203</v>
      </c>
      <c r="D294" s="55" t="s">
        <v>204</v>
      </c>
      <c r="E294" s="55" t="s">
        <v>206</v>
      </c>
      <c r="F294" s="55">
        <v>1</v>
      </c>
      <c r="G294" s="61">
        <f>VLOOKUP($E294, MonsterData!$A$5:$G$13, 7, 0)</f>
        <v>1</v>
      </c>
    </row>
    <row r="295" spans="1:7">
      <c r="A295" s="50" t="s">
        <v>221</v>
      </c>
      <c r="B295" s="51">
        <v>4</v>
      </c>
      <c r="C295" s="51" t="s">
        <v>203</v>
      </c>
      <c r="D295" s="51" t="s">
        <v>204</v>
      </c>
      <c r="E295" s="51" t="s">
        <v>205</v>
      </c>
      <c r="F295" s="51">
        <v>1</v>
      </c>
      <c r="G295" s="60">
        <f>VLOOKUP($E295, MonsterData!$A$5:$G$13, 7, 0)</f>
        <v>1</v>
      </c>
    </row>
    <row r="296" spans="1:7">
      <c r="A296" s="54" t="s">
        <v>181</v>
      </c>
      <c r="B296" s="55">
        <v>5</v>
      </c>
      <c r="C296" s="55" t="s">
        <v>203</v>
      </c>
      <c r="D296" s="55" t="s">
        <v>204</v>
      </c>
      <c r="E296" s="55" t="s">
        <v>206</v>
      </c>
      <c r="F296" s="55">
        <v>1</v>
      </c>
      <c r="G296" s="61">
        <f>VLOOKUP($E296, MonsterData!$A$5:$G$13, 7, 0)</f>
        <v>1</v>
      </c>
    </row>
    <row r="297" spans="1:7">
      <c r="A297" s="50" t="s">
        <v>221</v>
      </c>
      <c r="B297" s="51">
        <v>6</v>
      </c>
      <c r="C297" s="51" t="s">
        <v>203</v>
      </c>
      <c r="D297" s="51" t="s">
        <v>204</v>
      </c>
      <c r="E297" s="51" t="s">
        <v>207</v>
      </c>
      <c r="F297" s="51">
        <v>1</v>
      </c>
      <c r="G297" s="60">
        <f>VLOOKUP($E297, MonsterData!$A$5:$G$13, 7, 0)</f>
        <v>1</v>
      </c>
    </row>
    <row r="298" spans="1:7">
      <c r="A298" s="54" t="s">
        <v>181</v>
      </c>
      <c r="B298" s="55">
        <v>7</v>
      </c>
      <c r="C298" s="55" t="s">
        <v>203</v>
      </c>
      <c r="D298" s="55" t="s">
        <v>204</v>
      </c>
      <c r="E298" s="55" t="s">
        <v>208</v>
      </c>
      <c r="F298" s="55">
        <v>1</v>
      </c>
      <c r="G298" s="61">
        <f>VLOOKUP($E298, MonsterData!$A$5:$G$13, 7, 0)</f>
        <v>1</v>
      </c>
    </row>
    <row r="299" spans="1:7">
      <c r="A299" s="50" t="s">
        <v>221</v>
      </c>
      <c r="B299" s="51">
        <v>8</v>
      </c>
      <c r="C299" s="51" t="s">
        <v>203</v>
      </c>
      <c r="D299" s="51" t="s">
        <v>204</v>
      </c>
      <c r="E299" s="51" t="s">
        <v>206</v>
      </c>
      <c r="F299" s="51">
        <v>1</v>
      </c>
      <c r="G299" s="60">
        <f>VLOOKUP($E299, MonsterData!$A$5:$G$13, 7, 0)</f>
        <v>1</v>
      </c>
    </row>
    <row r="300" spans="1:7">
      <c r="A300" s="54" t="s">
        <v>181</v>
      </c>
      <c r="B300" s="55">
        <v>9</v>
      </c>
      <c r="C300" s="55" t="s">
        <v>203</v>
      </c>
      <c r="D300" s="55" t="s">
        <v>204</v>
      </c>
      <c r="E300" s="55" t="s">
        <v>205</v>
      </c>
      <c r="F300" s="55">
        <v>1</v>
      </c>
      <c r="G300" s="61">
        <f>VLOOKUP($E300, MonsterData!$A$5:$G$13, 7, 0)</f>
        <v>1</v>
      </c>
    </row>
    <row r="301" spans="1:7">
      <c r="A301" s="50" t="s">
        <v>221</v>
      </c>
      <c r="B301" s="51">
        <v>10</v>
      </c>
      <c r="C301" s="51" t="s">
        <v>203</v>
      </c>
      <c r="D301" s="51" t="s">
        <v>204</v>
      </c>
      <c r="E301" s="51" t="s">
        <v>276</v>
      </c>
      <c r="F301" s="51">
        <v>1</v>
      </c>
      <c r="G301" s="60">
        <f>VLOOKUP($E301, MonsterData!$A$5:$G$13, 7, 0)</f>
        <v>5</v>
      </c>
    </row>
    <row r="302" spans="1:7">
      <c r="A302" s="54" t="s">
        <v>181</v>
      </c>
      <c r="B302" s="55">
        <v>11</v>
      </c>
      <c r="C302" s="55" t="s">
        <v>203</v>
      </c>
      <c r="D302" s="55" t="s">
        <v>204</v>
      </c>
      <c r="E302" s="55" t="s">
        <v>206</v>
      </c>
      <c r="F302" s="55">
        <v>1</v>
      </c>
      <c r="G302" s="61">
        <f>VLOOKUP($E302, MonsterData!$A$5:$G$13, 7, 0)</f>
        <v>1</v>
      </c>
    </row>
    <row r="303" spans="1:7">
      <c r="A303" s="50" t="s">
        <v>221</v>
      </c>
      <c r="B303" s="51">
        <v>12</v>
      </c>
      <c r="C303" s="51" t="s">
        <v>203</v>
      </c>
      <c r="D303" s="51" t="s">
        <v>204</v>
      </c>
      <c r="E303" s="51" t="s">
        <v>207</v>
      </c>
      <c r="F303" s="51">
        <v>1</v>
      </c>
      <c r="G303" s="60">
        <f>VLOOKUP($E303, MonsterData!$A$5:$G$13, 7, 0)</f>
        <v>1</v>
      </c>
    </row>
    <row r="304" spans="1:7">
      <c r="A304" s="54" t="s">
        <v>181</v>
      </c>
      <c r="B304" s="55">
        <v>13</v>
      </c>
      <c r="C304" s="55" t="s">
        <v>203</v>
      </c>
      <c r="D304" s="55" t="s">
        <v>204</v>
      </c>
      <c r="E304" s="55" t="s">
        <v>208</v>
      </c>
      <c r="F304" s="55">
        <v>1</v>
      </c>
      <c r="G304" s="61">
        <f>VLOOKUP($E304, MonsterData!$A$5:$G$13, 7, 0)</f>
        <v>1</v>
      </c>
    </row>
    <row r="305" spans="1:7">
      <c r="A305" s="50" t="s">
        <v>221</v>
      </c>
      <c r="B305" s="51">
        <v>14</v>
      </c>
      <c r="C305" s="51" t="s">
        <v>203</v>
      </c>
      <c r="D305" s="51" t="s">
        <v>204</v>
      </c>
      <c r="E305" s="51" t="s">
        <v>206</v>
      </c>
      <c r="F305" s="51">
        <v>1</v>
      </c>
      <c r="G305" s="60">
        <f>VLOOKUP($E305, MonsterData!$A$5:$G$13, 7, 0)</f>
        <v>1</v>
      </c>
    </row>
    <row r="306" spans="1:7">
      <c r="A306" s="54" t="s">
        <v>181</v>
      </c>
      <c r="B306" s="55">
        <v>15</v>
      </c>
      <c r="C306" s="55" t="s">
        <v>203</v>
      </c>
      <c r="D306" s="55" t="s">
        <v>204</v>
      </c>
      <c r="E306" s="55" t="s">
        <v>205</v>
      </c>
      <c r="F306" s="55">
        <v>1</v>
      </c>
      <c r="G306" s="61">
        <f>VLOOKUP($E306, MonsterData!$A$5:$G$13, 7, 0)</f>
        <v>1</v>
      </c>
    </row>
    <row r="307" spans="1:7">
      <c r="A307" s="50" t="s">
        <v>221</v>
      </c>
      <c r="B307" s="51">
        <v>16</v>
      </c>
      <c r="C307" s="51" t="s">
        <v>203</v>
      </c>
      <c r="D307" s="51" t="s">
        <v>204</v>
      </c>
      <c r="E307" s="51" t="s">
        <v>206</v>
      </c>
      <c r="F307" s="51">
        <v>1</v>
      </c>
      <c r="G307" s="60">
        <f>VLOOKUP($E307, MonsterData!$A$5:$G$13, 7, 0)</f>
        <v>1</v>
      </c>
    </row>
    <row r="308" spans="1:7">
      <c r="A308" s="54" t="s">
        <v>181</v>
      </c>
      <c r="B308" s="55">
        <v>17</v>
      </c>
      <c r="C308" s="55" t="s">
        <v>203</v>
      </c>
      <c r="D308" s="55" t="s">
        <v>204</v>
      </c>
      <c r="E308" s="55" t="s">
        <v>207</v>
      </c>
      <c r="F308" s="55">
        <v>1</v>
      </c>
      <c r="G308" s="61">
        <f>VLOOKUP($E308, MonsterData!$A$5:$G$13, 7, 0)</f>
        <v>1</v>
      </c>
    </row>
    <row r="309" spans="1:7">
      <c r="A309" s="50" t="s">
        <v>221</v>
      </c>
      <c r="B309" s="51">
        <v>18</v>
      </c>
      <c r="C309" s="51" t="s">
        <v>203</v>
      </c>
      <c r="D309" s="51" t="s">
        <v>204</v>
      </c>
      <c r="E309" s="51" t="s">
        <v>208</v>
      </c>
      <c r="F309" s="51">
        <v>1</v>
      </c>
      <c r="G309" s="60">
        <f>VLOOKUP($E309, MonsterData!$A$5:$G$13, 7, 0)</f>
        <v>1</v>
      </c>
    </row>
    <row r="310" spans="1:7">
      <c r="A310" s="54" t="s">
        <v>181</v>
      </c>
      <c r="B310" s="55">
        <v>19</v>
      </c>
      <c r="C310" s="55" t="s">
        <v>203</v>
      </c>
      <c r="D310" s="55" t="s">
        <v>204</v>
      </c>
      <c r="E310" s="55" t="s">
        <v>206</v>
      </c>
      <c r="F310" s="55">
        <v>1</v>
      </c>
      <c r="G310" s="61">
        <f>VLOOKUP($E310, MonsterData!$A$5:$G$13, 7, 0)</f>
        <v>1</v>
      </c>
    </row>
    <row r="311" spans="1:7">
      <c r="A311" s="50" t="s">
        <v>221</v>
      </c>
      <c r="B311" s="51">
        <v>20</v>
      </c>
      <c r="C311" s="51" t="s">
        <v>203</v>
      </c>
      <c r="D311" s="51" t="s">
        <v>204</v>
      </c>
      <c r="E311" s="51" t="s">
        <v>205</v>
      </c>
      <c r="F311" s="51">
        <v>1</v>
      </c>
      <c r="G311" s="60">
        <f>VLOOKUP($E311, MonsterData!$A$5:$G$13, 7, 0)</f>
        <v>1</v>
      </c>
    </row>
    <row r="312" spans="1:7">
      <c r="A312" s="54" t="s">
        <v>181</v>
      </c>
      <c r="B312" s="55">
        <v>21</v>
      </c>
      <c r="C312" s="55" t="s">
        <v>203</v>
      </c>
      <c r="D312" s="55" t="s">
        <v>204</v>
      </c>
      <c r="E312" s="55" t="s">
        <v>275</v>
      </c>
      <c r="F312" s="55">
        <v>1</v>
      </c>
      <c r="G312" s="61">
        <f>VLOOKUP($E312, MonsterData!$A$5:$G$13, 7, 0)</f>
        <v>5</v>
      </c>
    </row>
    <row r="313" spans="1:7">
      <c r="A313" s="50" t="s">
        <v>222</v>
      </c>
      <c r="B313" s="51">
        <v>0</v>
      </c>
      <c r="C313" s="51" t="s">
        <v>203</v>
      </c>
      <c r="D313" s="51" t="s">
        <v>204</v>
      </c>
      <c r="E313" s="51" t="s">
        <v>208</v>
      </c>
      <c r="F313" s="51">
        <v>1</v>
      </c>
      <c r="G313" s="60">
        <f>VLOOKUP($E313, MonsterData!$A$5:$G$13, 7, 0)</f>
        <v>1</v>
      </c>
    </row>
    <row r="314" spans="1:7">
      <c r="A314" s="54" t="s">
        <v>183</v>
      </c>
      <c r="B314" s="55">
        <v>1</v>
      </c>
      <c r="C314" s="55" t="s">
        <v>203</v>
      </c>
      <c r="D314" s="55" t="s">
        <v>204</v>
      </c>
      <c r="E314" s="55" t="s">
        <v>206</v>
      </c>
      <c r="F314" s="55">
        <v>1</v>
      </c>
      <c r="G314" s="61">
        <f>VLOOKUP($E314, MonsterData!$A$5:$G$13, 7, 0)</f>
        <v>1</v>
      </c>
    </row>
    <row r="315" spans="1:7">
      <c r="A315" s="50" t="s">
        <v>222</v>
      </c>
      <c r="B315" s="51">
        <v>2</v>
      </c>
      <c r="C315" s="51" t="s">
        <v>203</v>
      </c>
      <c r="D315" s="51" t="s">
        <v>204</v>
      </c>
      <c r="E315" s="51" t="s">
        <v>205</v>
      </c>
      <c r="F315" s="51">
        <v>1</v>
      </c>
      <c r="G315" s="60">
        <f>VLOOKUP($E315, MonsterData!$A$5:$G$13, 7, 0)</f>
        <v>1</v>
      </c>
    </row>
    <row r="316" spans="1:7">
      <c r="A316" s="54" t="s">
        <v>183</v>
      </c>
      <c r="B316" s="55">
        <v>3</v>
      </c>
      <c r="C316" s="55" t="s">
        <v>203</v>
      </c>
      <c r="D316" s="55" t="s">
        <v>204</v>
      </c>
      <c r="E316" s="55" t="s">
        <v>206</v>
      </c>
      <c r="F316" s="55">
        <v>1</v>
      </c>
      <c r="G316" s="61">
        <f>VLOOKUP($E316, MonsterData!$A$5:$G$13, 7, 0)</f>
        <v>1</v>
      </c>
    </row>
    <row r="317" spans="1:7">
      <c r="A317" s="50" t="s">
        <v>222</v>
      </c>
      <c r="B317" s="51">
        <v>4</v>
      </c>
      <c r="C317" s="51" t="s">
        <v>203</v>
      </c>
      <c r="D317" s="51" t="s">
        <v>204</v>
      </c>
      <c r="E317" s="51" t="s">
        <v>207</v>
      </c>
      <c r="F317" s="51">
        <v>1</v>
      </c>
      <c r="G317" s="60">
        <f>VLOOKUP($E317, MonsterData!$A$5:$G$13, 7, 0)</f>
        <v>1</v>
      </c>
    </row>
    <row r="318" spans="1:7">
      <c r="A318" s="54" t="s">
        <v>183</v>
      </c>
      <c r="B318" s="55">
        <v>5</v>
      </c>
      <c r="C318" s="55" t="s">
        <v>203</v>
      </c>
      <c r="D318" s="55" t="s">
        <v>204</v>
      </c>
      <c r="E318" s="55" t="s">
        <v>208</v>
      </c>
      <c r="F318" s="55">
        <v>1</v>
      </c>
      <c r="G318" s="61">
        <f>VLOOKUP($E318, MonsterData!$A$5:$G$13, 7, 0)</f>
        <v>1</v>
      </c>
    </row>
    <row r="319" spans="1:7">
      <c r="A319" s="50" t="s">
        <v>222</v>
      </c>
      <c r="B319" s="51">
        <v>6</v>
      </c>
      <c r="C319" s="51" t="s">
        <v>203</v>
      </c>
      <c r="D319" s="51" t="s">
        <v>204</v>
      </c>
      <c r="E319" s="51" t="s">
        <v>206</v>
      </c>
      <c r="F319" s="51">
        <v>1</v>
      </c>
      <c r="G319" s="60">
        <f>VLOOKUP($E319, MonsterData!$A$5:$G$13, 7, 0)</f>
        <v>1</v>
      </c>
    </row>
    <row r="320" spans="1:7">
      <c r="A320" s="54" t="s">
        <v>183</v>
      </c>
      <c r="B320" s="55">
        <v>7</v>
      </c>
      <c r="C320" s="55" t="s">
        <v>203</v>
      </c>
      <c r="D320" s="55" t="s">
        <v>204</v>
      </c>
      <c r="E320" s="55" t="s">
        <v>205</v>
      </c>
      <c r="F320" s="55">
        <v>1</v>
      </c>
      <c r="G320" s="61">
        <f>VLOOKUP($E320, MonsterData!$A$5:$G$13, 7, 0)</f>
        <v>1</v>
      </c>
    </row>
    <row r="321" spans="1:7">
      <c r="A321" s="50" t="s">
        <v>222</v>
      </c>
      <c r="B321" s="51">
        <v>8</v>
      </c>
      <c r="C321" s="51" t="s">
        <v>203</v>
      </c>
      <c r="D321" s="51" t="s">
        <v>204</v>
      </c>
      <c r="E321" s="51" t="s">
        <v>206</v>
      </c>
      <c r="F321" s="51">
        <v>1</v>
      </c>
      <c r="G321" s="60">
        <f>VLOOKUP($E321, MonsterData!$A$5:$G$13, 7, 0)</f>
        <v>1</v>
      </c>
    </row>
    <row r="322" spans="1:7">
      <c r="A322" s="54" t="s">
        <v>183</v>
      </c>
      <c r="B322" s="55">
        <v>9</v>
      </c>
      <c r="C322" s="55" t="s">
        <v>203</v>
      </c>
      <c r="D322" s="55" t="s">
        <v>204</v>
      </c>
      <c r="E322" s="55" t="s">
        <v>207</v>
      </c>
      <c r="F322" s="55">
        <v>1</v>
      </c>
      <c r="G322" s="61">
        <f>VLOOKUP($E322, MonsterData!$A$5:$G$13, 7, 0)</f>
        <v>1</v>
      </c>
    </row>
    <row r="323" spans="1:7">
      <c r="A323" s="50" t="s">
        <v>222</v>
      </c>
      <c r="B323" s="51">
        <v>10</v>
      </c>
      <c r="C323" s="51" t="s">
        <v>203</v>
      </c>
      <c r="D323" s="51" t="s">
        <v>204</v>
      </c>
      <c r="E323" s="51" t="s">
        <v>275</v>
      </c>
      <c r="F323" s="51">
        <v>1</v>
      </c>
      <c r="G323" s="60">
        <f>VLOOKUP($E323, MonsterData!$A$5:$G$13, 7, 0)</f>
        <v>5</v>
      </c>
    </row>
    <row r="324" spans="1:7">
      <c r="A324" s="54" t="s">
        <v>183</v>
      </c>
      <c r="B324" s="55">
        <v>11</v>
      </c>
      <c r="C324" s="55" t="s">
        <v>203</v>
      </c>
      <c r="D324" s="55" t="s">
        <v>204</v>
      </c>
      <c r="E324" s="55" t="s">
        <v>208</v>
      </c>
      <c r="F324" s="55">
        <v>1</v>
      </c>
      <c r="G324" s="61">
        <f>VLOOKUP($E324, MonsterData!$A$5:$G$13, 7, 0)</f>
        <v>1</v>
      </c>
    </row>
    <row r="325" spans="1:7">
      <c r="A325" s="50" t="s">
        <v>222</v>
      </c>
      <c r="B325" s="51">
        <v>12</v>
      </c>
      <c r="C325" s="51" t="s">
        <v>203</v>
      </c>
      <c r="D325" s="51" t="s">
        <v>204</v>
      </c>
      <c r="E325" s="51" t="s">
        <v>206</v>
      </c>
      <c r="F325" s="51">
        <v>1</v>
      </c>
      <c r="G325" s="60">
        <f>VLOOKUP($E325, MonsterData!$A$5:$G$13, 7, 0)</f>
        <v>1</v>
      </c>
    </row>
    <row r="326" spans="1:7">
      <c r="A326" s="54" t="s">
        <v>183</v>
      </c>
      <c r="B326" s="55">
        <v>13</v>
      </c>
      <c r="C326" s="55" t="s">
        <v>203</v>
      </c>
      <c r="D326" s="55" t="s">
        <v>204</v>
      </c>
      <c r="E326" s="55" t="s">
        <v>205</v>
      </c>
      <c r="F326" s="55">
        <v>1</v>
      </c>
      <c r="G326" s="61">
        <f>VLOOKUP($E326, MonsterData!$A$5:$G$13, 7, 0)</f>
        <v>1</v>
      </c>
    </row>
    <row r="327" spans="1:7">
      <c r="A327" s="50" t="s">
        <v>222</v>
      </c>
      <c r="B327" s="51">
        <v>14</v>
      </c>
      <c r="C327" s="51" t="s">
        <v>203</v>
      </c>
      <c r="D327" s="51" t="s">
        <v>204</v>
      </c>
      <c r="E327" s="51" t="s">
        <v>206</v>
      </c>
      <c r="F327" s="51">
        <v>1</v>
      </c>
      <c r="G327" s="60">
        <f>VLOOKUP($E327, MonsterData!$A$5:$G$13, 7, 0)</f>
        <v>1</v>
      </c>
    </row>
    <row r="328" spans="1:7">
      <c r="A328" s="54" t="s">
        <v>183</v>
      </c>
      <c r="B328" s="55">
        <v>15</v>
      </c>
      <c r="C328" s="55" t="s">
        <v>203</v>
      </c>
      <c r="D328" s="55" t="s">
        <v>204</v>
      </c>
      <c r="E328" s="55" t="s">
        <v>207</v>
      </c>
      <c r="F328" s="55">
        <v>1</v>
      </c>
      <c r="G328" s="61">
        <f>VLOOKUP($E328, MonsterData!$A$5:$G$13, 7, 0)</f>
        <v>1</v>
      </c>
    </row>
    <row r="329" spans="1:7">
      <c r="A329" s="50" t="s">
        <v>222</v>
      </c>
      <c r="B329" s="51">
        <v>16</v>
      </c>
      <c r="C329" s="51" t="s">
        <v>203</v>
      </c>
      <c r="D329" s="51" t="s">
        <v>204</v>
      </c>
      <c r="E329" s="51" t="s">
        <v>208</v>
      </c>
      <c r="F329" s="51">
        <v>1</v>
      </c>
      <c r="G329" s="60">
        <f>VLOOKUP($E329, MonsterData!$A$5:$G$13, 7, 0)</f>
        <v>1</v>
      </c>
    </row>
    <row r="330" spans="1:7">
      <c r="A330" s="54" t="s">
        <v>183</v>
      </c>
      <c r="B330" s="55">
        <v>17</v>
      </c>
      <c r="C330" s="55" t="s">
        <v>203</v>
      </c>
      <c r="D330" s="55" t="s">
        <v>204</v>
      </c>
      <c r="E330" s="55" t="s">
        <v>206</v>
      </c>
      <c r="F330" s="55">
        <v>1</v>
      </c>
      <c r="G330" s="61">
        <f>VLOOKUP($E330, MonsterData!$A$5:$G$13, 7, 0)</f>
        <v>1</v>
      </c>
    </row>
    <row r="331" spans="1:7">
      <c r="A331" s="50" t="s">
        <v>222</v>
      </c>
      <c r="B331" s="51">
        <v>18</v>
      </c>
      <c r="C331" s="51" t="s">
        <v>203</v>
      </c>
      <c r="D331" s="51" t="s">
        <v>204</v>
      </c>
      <c r="E331" s="51" t="s">
        <v>205</v>
      </c>
      <c r="F331" s="51">
        <v>1</v>
      </c>
      <c r="G331" s="60">
        <f>VLOOKUP($E331, MonsterData!$A$5:$G$13, 7, 0)</f>
        <v>1</v>
      </c>
    </row>
    <row r="332" spans="1:7">
      <c r="A332" s="54" t="s">
        <v>183</v>
      </c>
      <c r="B332" s="55">
        <v>19</v>
      </c>
      <c r="C332" s="55" t="s">
        <v>203</v>
      </c>
      <c r="D332" s="55" t="s">
        <v>204</v>
      </c>
      <c r="E332" s="55" t="s">
        <v>206</v>
      </c>
      <c r="F332" s="55">
        <v>1</v>
      </c>
      <c r="G332" s="61">
        <f>VLOOKUP($E332, MonsterData!$A$5:$G$13, 7, 0)</f>
        <v>1</v>
      </c>
    </row>
    <row r="333" spans="1:7">
      <c r="A333" s="50" t="s">
        <v>222</v>
      </c>
      <c r="B333" s="51">
        <v>20</v>
      </c>
      <c r="C333" s="51" t="s">
        <v>203</v>
      </c>
      <c r="D333" s="51" t="s">
        <v>204</v>
      </c>
      <c r="E333" s="51" t="s">
        <v>207</v>
      </c>
      <c r="F333" s="51">
        <v>1</v>
      </c>
      <c r="G333" s="60">
        <f>VLOOKUP($E333, MonsterData!$A$5:$G$13, 7, 0)</f>
        <v>1</v>
      </c>
    </row>
    <row r="334" spans="1:7">
      <c r="A334" s="54" t="s">
        <v>183</v>
      </c>
      <c r="B334" s="55">
        <v>21</v>
      </c>
      <c r="C334" s="55" t="s">
        <v>203</v>
      </c>
      <c r="D334" s="55" t="s">
        <v>204</v>
      </c>
      <c r="E334" s="55" t="s">
        <v>276</v>
      </c>
      <c r="F334" s="55">
        <v>1</v>
      </c>
      <c r="G334" s="61">
        <f>VLOOKUP($E334, MonsterData!$A$5:$G$13, 7, 0)</f>
        <v>5</v>
      </c>
    </row>
    <row r="335" spans="1:7">
      <c r="A335" s="50" t="s">
        <v>223</v>
      </c>
      <c r="B335" s="51">
        <v>0</v>
      </c>
      <c r="C335" s="51" t="s">
        <v>203</v>
      </c>
      <c r="D335" s="51" t="s">
        <v>204</v>
      </c>
      <c r="E335" s="51" t="s">
        <v>205</v>
      </c>
      <c r="F335" s="51">
        <v>1</v>
      </c>
      <c r="G335" s="60">
        <f>VLOOKUP($E335, MonsterData!$A$5:$G$13, 7, 0)</f>
        <v>1</v>
      </c>
    </row>
    <row r="336" spans="1:7">
      <c r="A336" s="54" t="s">
        <v>185</v>
      </c>
      <c r="B336" s="55">
        <v>1</v>
      </c>
      <c r="C336" s="55" t="s">
        <v>203</v>
      </c>
      <c r="D336" s="55" t="s">
        <v>204</v>
      </c>
      <c r="E336" s="55" t="s">
        <v>206</v>
      </c>
      <c r="F336" s="55">
        <v>1</v>
      </c>
      <c r="G336" s="61">
        <f>VLOOKUP($E336, MonsterData!$A$5:$G$13, 7, 0)</f>
        <v>1</v>
      </c>
    </row>
    <row r="337" spans="1:7">
      <c r="A337" s="50" t="s">
        <v>223</v>
      </c>
      <c r="B337" s="51">
        <v>2</v>
      </c>
      <c r="C337" s="51" t="s">
        <v>203</v>
      </c>
      <c r="D337" s="51" t="s">
        <v>204</v>
      </c>
      <c r="E337" s="51" t="s">
        <v>207</v>
      </c>
      <c r="F337" s="51">
        <v>1</v>
      </c>
      <c r="G337" s="60">
        <f>VLOOKUP($E337, MonsterData!$A$5:$G$13, 7, 0)</f>
        <v>1</v>
      </c>
    </row>
    <row r="338" spans="1:7">
      <c r="A338" s="54" t="s">
        <v>185</v>
      </c>
      <c r="B338" s="55">
        <v>3</v>
      </c>
      <c r="C338" s="55" t="s">
        <v>203</v>
      </c>
      <c r="D338" s="55" t="s">
        <v>204</v>
      </c>
      <c r="E338" s="55" t="s">
        <v>208</v>
      </c>
      <c r="F338" s="55">
        <v>1</v>
      </c>
      <c r="G338" s="61">
        <f>VLOOKUP($E338, MonsterData!$A$5:$G$13, 7, 0)</f>
        <v>1</v>
      </c>
    </row>
    <row r="339" spans="1:7">
      <c r="A339" s="50" t="s">
        <v>223</v>
      </c>
      <c r="B339" s="51">
        <v>4</v>
      </c>
      <c r="C339" s="51" t="s">
        <v>203</v>
      </c>
      <c r="D339" s="51" t="s">
        <v>204</v>
      </c>
      <c r="E339" s="51" t="s">
        <v>206</v>
      </c>
      <c r="F339" s="51">
        <v>1</v>
      </c>
      <c r="G339" s="60">
        <f>VLOOKUP($E339, MonsterData!$A$5:$G$13, 7, 0)</f>
        <v>1</v>
      </c>
    </row>
    <row r="340" spans="1:7">
      <c r="A340" s="54" t="s">
        <v>185</v>
      </c>
      <c r="B340" s="55">
        <v>5</v>
      </c>
      <c r="C340" s="55" t="s">
        <v>203</v>
      </c>
      <c r="D340" s="55" t="s">
        <v>204</v>
      </c>
      <c r="E340" s="55" t="s">
        <v>205</v>
      </c>
      <c r="F340" s="55">
        <v>1</v>
      </c>
      <c r="G340" s="61">
        <f>VLOOKUP($E340, MonsterData!$A$5:$G$13, 7, 0)</f>
        <v>1</v>
      </c>
    </row>
    <row r="341" spans="1:7">
      <c r="A341" s="50" t="s">
        <v>223</v>
      </c>
      <c r="B341" s="51">
        <v>6</v>
      </c>
      <c r="C341" s="51" t="s">
        <v>203</v>
      </c>
      <c r="D341" s="51" t="s">
        <v>204</v>
      </c>
      <c r="E341" s="51" t="s">
        <v>206</v>
      </c>
      <c r="F341" s="51">
        <v>1</v>
      </c>
      <c r="G341" s="60">
        <f>VLOOKUP($E341, MonsterData!$A$5:$G$13, 7, 0)</f>
        <v>1</v>
      </c>
    </row>
    <row r="342" spans="1:7">
      <c r="A342" s="54" t="s">
        <v>185</v>
      </c>
      <c r="B342" s="55">
        <v>7</v>
      </c>
      <c r="C342" s="55" t="s">
        <v>203</v>
      </c>
      <c r="D342" s="55" t="s">
        <v>204</v>
      </c>
      <c r="E342" s="55" t="s">
        <v>207</v>
      </c>
      <c r="F342" s="55">
        <v>1</v>
      </c>
      <c r="G342" s="61">
        <f>VLOOKUP($E342, MonsterData!$A$5:$G$13, 7, 0)</f>
        <v>1</v>
      </c>
    </row>
    <row r="343" spans="1:7">
      <c r="A343" s="50" t="s">
        <v>223</v>
      </c>
      <c r="B343" s="51">
        <v>8</v>
      </c>
      <c r="C343" s="51" t="s">
        <v>203</v>
      </c>
      <c r="D343" s="51" t="s">
        <v>204</v>
      </c>
      <c r="E343" s="51" t="s">
        <v>208</v>
      </c>
      <c r="F343" s="51">
        <v>1</v>
      </c>
      <c r="G343" s="60">
        <f>VLOOKUP($E343, MonsterData!$A$5:$G$13, 7, 0)</f>
        <v>1</v>
      </c>
    </row>
    <row r="344" spans="1:7">
      <c r="A344" s="54" t="s">
        <v>185</v>
      </c>
      <c r="B344" s="55">
        <v>9</v>
      </c>
      <c r="C344" s="55" t="s">
        <v>203</v>
      </c>
      <c r="D344" s="55" t="s">
        <v>204</v>
      </c>
      <c r="E344" s="55" t="s">
        <v>206</v>
      </c>
      <c r="F344" s="55">
        <v>1</v>
      </c>
      <c r="G344" s="61">
        <f>VLOOKUP($E344, MonsterData!$A$5:$G$13, 7, 0)</f>
        <v>1</v>
      </c>
    </row>
    <row r="345" spans="1:7">
      <c r="A345" s="50" t="s">
        <v>223</v>
      </c>
      <c r="B345" s="51">
        <v>10</v>
      </c>
      <c r="C345" s="51" t="s">
        <v>203</v>
      </c>
      <c r="D345" s="51" t="s">
        <v>204</v>
      </c>
      <c r="E345" s="51" t="s">
        <v>276</v>
      </c>
      <c r="F345" s="51">
        <v>1</v>
      </c>
      <c r="G345" s="60">
        <f>VLOOKUP($E345, MonsterData!$A$5:$G$13, 7, 0)</f>
        <v>5</v>
      </c>
    </row>
    <row r="346" spans="1:7">
      <c r="A346" s="54" t="s">
        <v>185</v>
      </c>
      <c r="B346" s="55">
        <v>11</v>
      </c>
      <c r="C346" s="55" t="s">
        <v>203</v>
      </c>
      <c r="D346" s="55" t="s">
        <v>204</v>
      </c>
      <c r="E346" s="55" t="s">
        <v>205</v>
      </c>
      <c r="F346" s="55">
        <v>1</v>
      </c>
      <c r="G346" s="61">
        <f>VLOOKUP($E346, MonsterData!$A$5:$G$13, 7, 0)</f>
        <v>1</v>
      </c>
    </row>
    <row r="347" spans="1:7">
      <c r="A347" s="50" t="s">
        <v>223</v>
      </c>
      <c r="B347" s="51">
        <v>12</v>
      </c>
      <c r="C347" s="51" t="s">
        <v>203</v>
      </c>
      <c r="D347" s="51" t="s">
        <v>204</v>
      </c>
      <c r="E347" s="51" t="s">
        <v>206</v>
      </c>
      <c r="F347" s="51">
        <v>1</v>
      </c>
      <c r="G347" s="60">
        <f>VLOOKUP($E347, MonsterData!$A$5:$G$13, 7, 0)</f>
        <v>1</v>
      </c>
    </row>
    <row r="348" spans="1:7">
      <c r="A348" s="54" t="s">
        <v>185</v>
      </c>
      <c r="B348" s="55">
        <v>13</v>
      </c>
      <c r="C348" s="55" t="s">
        <v>203</v>
      </c>
      <c r="D348" s="55" t="s">
        <v>204</v>
      </c>
      <c r="E348" s="55" t="s">
        <v>207</v>
      </c>
      <c r="F348" s="55">
        <v>1</v>
      </c>
      <c r="G348" s="61">
        <f>VLOOKUP($E348, MonsterData!$A$5:$G$13, 7, 0)</f>
        <v>1</v>
      </c>
    </row>
    <row r="349" spans="1:7">
      <c r="A349" s="50" t="s">
        <v>223</v>
      </c>
      <c r="B349" s="51">
        <v>14</v>
      </c>
      <c r="C349" s="51" t="s">
        <v>203</v>
      </c>
      <c r="D349" s="51" t="s">
        <v>204</v>
      </c>
      <c r="E349" s="51" t="s">
        <v>208</v>
      </c>
      <c r="F349" s="51">
        <v>1</v>
      </c>
      <c r="G349" s="60">
        <f>VLOOKUP($E349, MonsterData!$A$5:$G$13, 7, 0)</f>
        <v>1</v>
      </c>
    </row>
    <row r="350" spans="1:7">
      <c r="A350" s="54" t="s">
        <v>185</v>
      </c>
      <c r="B350" s="55">
        <v>15</v>
      </c>
      <c r="C350" s="55" t="s">
        <v>203</v>
      </c>
      <c r="D350" s="55" t="s">
        <v>204</v>
      </c>
      <c r="E350" s="55" t="s">
        <v>206</v>
      </c>
      <c r="F350" s="55">
        <v>1</v>
      </c>
      <c r="G350" s="61">
        <f>VLOOKUP($E350, MonsterData!$A$5:$G$13, 7, 0)</f>
        <v>1</v>
      </c>
    </row>
    <row r="351" spans="1:7">
      <c r="A351" s="50" t="s">
        <v>223</v>
      </c>
      <c r="B351" s="51">
        <v>16</v>
      </c>
      <c r="C351" s="51" t="s">
        <v>203</v>
      </c>
      <c r="D351" s="51" t="s">
        <v>204</v>
      </c>
      <c r="E351" s="51" t="s">
        <v>205</v>
      </c>
      <c r="F351" s="51">
        <v>1</v>
      </c>
      <c r="G351" s="60">
        <f>VLOOKUP($E351, MonsterData!$A$5:$G$13, 7, 0)</f>
        <v>1</v>
      </c>
    </row>
    <row r="352" spans="1:7">
      <c r="A352" s="54" t="s">
        <v>185</v>
      </c>
      <c r="B352" s="55">
        <v>17</v>
      </c>
      <c r="C352" s="55" t="s">
        <v>203</v>
      </c>
      <c r="D352" s="55" t="s">
        <v>204</v>
      </c>
      <c r="E352" s="55" t="s">
        <v>206</v>
      </c>
      <c r="F352" s="55">
        <v>1</v>
      </c>
      <c r="G352" s="61">
        <f>VLOOKUP($E352, MonsterData!$A$5:$G$13, 7, 0)</f>
        <v>1</v>
      </c>
    </row>
    <row r="353" spans="1:7">
      <c r="A353" s="50" t="s">
        <v>223</v>
      </c>
      <c r="B353" s="51">
        <v>18</v>
      </c>
      <c r="C353" s="51" t="s">
        <v>203</v>
      </c>
      <c r="D353" s="51" t="s">
        <v>204</v>
      </c>
      <c r="E353" s="51" t="s">
        <v>207</v>
      </c>
      <c r="F353" s="51">
        <v>1</v>
      </c>
      <c r="G353" s="60">
        <f>VLOOKUP($E353, MonsterData!$A$5:$G$13, 7, 0)</f>
        <v>1</v>
      </c>
    </row>
    <row r="354" spans="1:7">
      <c r="A354" s="54" t="s">
        <v>185</v>
      </c>
      <c r="B354" s="55">
        <v>19</v>
      </c>
      <c r="C354" s="55" t="s">
        <v>203</v>
      </c>
      <c r="D354" s="55" t="s">
        <v>204</v>
      </c>
      <c r="E354" s="55" t="s">
        <v>208</v>
      </c>
      <c r="F354" s="55">
        <v>1</v>
      </c>
      <c r="G354" s="61">
        <f>VLOOKUP($E354, MonsterData!$A$5:$G$13, 7, 0)</f>
        <v>1</v>
      </c>
    </row>
    <row r="355" spans="1:7">
      <c r="A355" s="50" t="s">
        <v>223</v>
      </c>
      <c r="B355" s="51">
        <v>20</v>
      </c>
      <c r="C355" s="51" t="s">
        <v>203</v>
      </c>
      <c r="D355" s="51" t="s">
        <v>204</v>
      </c>
      <c r="E355" s="51" t="s">
        <v>206</v>
      </c>
      <c r="F355" s="51">
        <v>1</v>
      </c>
      <c r="G355" s="60">
        <f>VLOOKUP($E355, MonsterData!$A$5:$G$13, 7, 0)</f>
        <v>1</v>
      </c>
    </row>
    <row r="356" spans="1:7">
      <c r="A356" s="54" t="s">
        <v>185</v>
      </c>
      <c r="B356" s="55">
        <v>21</v>
      </c>
      <c r="C356" s="55" t="s">
        <v>203</v>
      </c>
      <c r="D356" s="55" t="s">
        <v>204</v>
      </c>
      <c r="E356" s="55" t="s">
        <v>275</v>
      </c>
      <c r="F356" s="55">
        <v>1</v>
      </c>
      <c r="G356" s="61">
        <f>VLOOKUP($E356, MonsterData!$A$5:$G$13, 7, 0)</f>
        <v>5</v>
      </c>
    </row>
    <row r="357" spans="1:7">
      <c r="A357" s="50" t="s">
        <v>224</v>
      </c>
      <c r="B357" s="51">
        <v>0</v>
      </c>
      <c r="C357" s="51" t="s">
        <v>203</v>
      </c>
      <c r="D357" s="51" t="s">
        <v>204</v>
      </c>
      <c r="E357" s="51" t="s">
        <v>207</v>
      </c>
      <c r="F357" s="51">
        <v>1</v>
      </c>
      <c r="G357" s="60">
        <f>VLOOKUP($E357, MonsterData!$A$5:$G$13, 7, 0)</f>
        <v>1</v>
      </c>
    </row>
    <row r="358" spans="1:7">
      <c r="A358" s="54" t="s">
        <v>187</v>
      </c>
      <c r="B358" s="55">
        <v>1</v>
      </c>
      <c r="C358" s="55" t="s">
        <v>203</v>
      </c>
      <c r="D358" s="55" t="s">
        <v>204</v>
      </c>
      <c r="E358" s="55" t="s">
        <v>208</v>
      </c>
      <c r="F358" s="55">
        <v>1</v>
      </c>
      <c r="G358" s="61">
        <f>VLOOKUP($E358, MonsterData!$A$5:$G$13, 7, 0)</f>
        <v>1</v>
      </c>
    </row>
    <row r="359" spans="1:7">
      <c r="A359" s="50" t="s">
        <v>224</v>
      </c>
      <c r="B359" s="51">
        <v>2</v>
      </c>
      <c r="C359" s="51" t="s">
        <v>203</v>
      </c>
      <c r="D359" s="51" t="s">
        <v>204</v>
      </c>
      <c r="E359" s="51" t="s">
        <v>206</v>
      </c>
      <c r="F359" s="51">
        <v>1</v>
      </c>
      <c r="G359" s="60">
        <f>VLOOKUP($E359, MonsterData!$A$5:$G$13, 7, 0)</f>
        <v>1</v>
      </c>
    </row>
    <row r="360" spans="1:7">
      <c r="A360" s="54" t="s">
        <v>187</v>
      </c>
      <c r="B360" s="55">
        <v>3</v>
      </c>
      <c r="C360" s="55" t="s">
        <v>203</v>
      </c>
      <c r="D360" s="55" t="s">
        <v>204</v>
      </c>
      <c r="E360" s="55" t="s">
        <v>205</v>
      </c>
      <c r="F360" s="55">
        <v>1</v>
      </c>
      <c r="G360" s="61">
        <f>VLOOKUP($E360, MonsterData!$A$5:$G$13, 7, 0)</f>
        <v>1</v>
      </c>
    </row>
    <row r="361" spans="1:7">
      <c r="A361" s="50" t="s">
        <v>224</v>
      </c>
      <c r="B361" s="51">
        <v>4</v>
      </c>
      <c r="C361" s="51" t="s">
        <v>203</v>
      </c>
      <c r="D361" s="51" t="s">
        <v>204</v>
      </c>
      <c r="E361" s="51" t="s">
        <v>206</v>
      </c>
      <c r="F361" s="51">
        <v>1</v>
      </c>
      <c r="G361" s="60">
        <f>VLOOKUP($E361, MonsterData!$A$5:$G$13, 7, 0)</f>
        <v>1</v>
      </c>
    </row>
    <row r="362" spans="1:7">
      <c r="A362" s="54" t="s">
        <v>187</v>
      </c>
      <c r="B362" s="55">
        <v>5</v>
      </c>
      <c r="C362" s="55" t="s">
        <v>203</v>
      </c>
      <c r="D362" s="55" t="s">
        <v>204</v>
      </c>
      <c r="E362" s="55" t="s">
        <v>207</v>
      </c>
      <c r="F362" s="55">
        <v>1</v>
      </c>
      <c r="G362" s="61">
        <f>VLOOKUP($E362, MonsterData!$A$5:$G$13, 7, 0)</f>
        <v>1</v>
      </c>
    </row>
    <row r="363" spans="1:7">
      <c r="A363" s="50" t="s">
        <v>224</v>
      </c>
      <c r="B363" s="51">
        <v>6</v>
      </c>
      <c r="C363" s="51" t="s">
        <v>203</v>
      </c>
      <c r="D363" s="51" t="s">
        <v>204</v>
      </c>
      <c r="E363" s="51" t="s">
        <v>208</v>
      </c>
      <c r="F363" s="51">
        <v>1</v>
      </c>
      <c r="G363" s="60">
        <f>VLOOKUP($E363, MonsterData!$A$5:$G$13, 7, 0)</f>
        <v>1</v>
      </c>
    </row>
    <row r="364" spans="1:7">
      <c r="A364" s="54" t="s">
        <v>187</v>
      </c>
      <c r="B364" s="55">
        <v>7</v>
      </c>
      <c r="C364" s="55" t="s">
        <v>203</v>
      </c>
      <c r="D364" s="55" t="s">
        <v>204</v>
      </c>
      <c r="E364" s="55" t="s">
        <v>206</v>
      </c>
      <c r="F364" s="55">
        <v>1</v>
      </c>
      <c r="G364" s="61">
        <f>VLOOKUP($E364, MonsterData!$A$5:$G$13, 7, 0)</f>
        <v>1</v>
      </c>
    </row>
    <row r="365" spans="1:7">
      <c r="A365" s="50" t="s">
        <v>224</v>
      </c>
      <c r="B365" s="51">
        <v>8</v>
      </c>
      <c r="C365" s="51" t="s">
        <v>203</v>
      </c>
      <c r="D365" s="51" t="s">
        <v>204</v>
      </c>
      <c r="E365" s="51" t="s">
        <v>205</v>
      </c>
      <c r="F365" s="51">
        <v>1</v>
      </c>
      <c r="G365" s="60">
        <f>VLOOKUP($E365, MonsterData!$A$5:$G$13, 7, 0)</f>
        <v>1</v>
      </c>
    </row>
    <row r="366" spans="1:7">
      <c r="A366" s="54" t="s">
        <v>187</v>
      </c>
      <c r="B366" s="55">
        <v>9</v>
      </c>
      <c r="C366" s="55" t="s">
        <v>203</v>
      </c>
      <c r="D366" s="55" t="s">
        <v>204</v>
      </c>
      <c r="E366" s="55" t="s">
        <v>206</v>
      </c>
      <c r="F366" s="55">
        <v>1</v>
      </c>
      <c r="G366" s="61">
        <f>VLOOKUP($E366, MonsterData!$A$5:$G$13, 7, 0)</f>
        <v>1</v>
      </c>
    </row>
    <row r="367" spans="1:7">
      <c r="A367" s="50" t="s">
        <v>224</v>
      </c>
      <c r="B367" s="51">
        <v>10</v>
      </c>
      <c r="C367" s="51" t="s">
        <v>203</v>
      </c>
      <c r="D367" s="51" t="s">
        <v>204</v>
      </c>
      <c r="E367" s="51" t="s">
        <v>275</v>
      </c>
      <c r="F367" s="51">
        <v>1</v>
      </c>
      <c r="G367" s="60">
        <f>VLOOKUP($E367, MonsterData!$A$5:$G$13, 7, 0)</f>
        <v>5</v>
      </c>
    </row>
    <row r="368" spans="1:7">
      <c r="A368" s="54" t="s">
        <v>187</v>
      </c>
      <c r="B368" s="55">
        <v>11</v>
      </c>
      <c r="C368" s="55" t="s">
        <v>203</v>
      </c>
      <c r="D368" s="55" t="s">
        <v>204</v>
      </c>
      <c r="E368" s="55" t="s">
        <v>207</v>
      </c>
      <c r="F368" s="55">
        <v>1</v>
      </c>
      <c r="G368" s="61">
        <f>VLOOKUP($E368, MonsterData!$A$5:$G$13, 7, 0)</f>
        <v>1</v>
      </c>
    </row>
    <row r="369" spans="1:7">
      <c r="A369" s="50" t="s">
        <v>224</v>
      </c>
      <c r="B369" s="51">
        <v>12</v>
      </c>
      <c r="C369" s="51" t="s">
        <v>203</v>
      </c>
      <c r="D369" s="51" t="s">
        <v>204</v>
      </c>
      <c r="E369" s="51" t="s">
        <v>208</v>
      </c>
      <c r="F369" s="51">
        <v>1</v>
      </c>
      <c r="G369" s="60">
        <f>VLOOKUP($E369, MonsterData!$A$5:$G$13, 7, 0)</f>
        <v>1</v>
      </c>
    </row>
    <row r="370" spans="1:7">
      <c r="A370" s="54" t="s">
        <v>187</v>
      </c>
      <c r="B370" s="55">
        <v>13</v>
      </c>
      <c r="C370" s="55" t="s">
        <v>203</v>
      </c>
      <c r="D370" s="55" t="s">
        <v>204</v>
      </c>
      <c r="E370" s="55" t="s">
        <v>206</v>
      </c>
      <c r="F370" s="55">
        <v>1</v>
      </c>
      <c r="G370" s="61">
        <f>VLOOKUP($E370, MonsterData!$A$5:$G$13, 7, 0)</f>
        <v>1</v>
      </c>
    </row>
    <row r="371" spans="1:7">
      <c r="A371" s="50" t="s">
        <v>224</v>
      </c>
      <c r="B371" s="51">
        <v>14</v>
      </c>
      <c r="C371" s="51" t="s">
        <v>203</v>
      </c>
      <c r="D371" s="51" t="s">
        <v>204</v>
      </c>
      <c r="E371" s="51" t="s">
        <v>205</v>
      </c>
      <c r="F371" s="51">
        <v>1</v>
      </c>
      <c r="G371" s="60">
        <f>VLOOKUP($E371, MonsterData!$A$5:$G$13, 7, 0)</f>
        <v>1</v>
      </c>
    </row>
    <row r="372" spans="1:7">
      <c r="A372" s="54" t="s">
        <v>187</v>
      </c>
      <c r="B372" s="55">
        <v>15</v>
      </c>
      <c r="C372" s="55" t="s">
        <v>203</v>
      </c>
      <c r="D372" s="55" t="s">
        <v>204</v>
      </c>
      <c r="E372" s="55" t="s">
        <v>206</v>
      </c>
      <c r="F372" s="55">
        <v>1</v>
      </c>
      <c r="G372" s="61">
        <f>VLOOKUP($E372, MonsterData!$A$5:$G$13, 7, 0)</f>
        <v>1</v>
      </c>
    </row>
    <row r="373" spans="1:7">
      <c r="A373" s="50" t="s">
        <v>224</v>
      </c>
      <c r="B373" s="51">
        <v>16</v>
      </c>
      <c r="C373" s="51" t="s">
        <v>203</v>
      </c>
      <c r="D373" s="51" t="s">
        <v>204</v>
      </c>
      <c r="E373" s="51" t="s">
        <v>207</v>
      </c>
      <c r="F373" s="51">
        <v>1</v>
      </c>
      <c r="G373" s="60">
        <f>VLOOKUP($E373, MonsterData!$A$5:$G$13, 7, 0)</f>
        <v>1</v>
      </c>
    </row>
    <row r="374" spans="1:7">
      <c r="A374" s="54" t="s">
        <v>187</v>
      </c>
      <c r="B374" s="55">
        <v>17</v>
      </c>
      <c r="C374" s="55" t="s">
        <v>203</v>
      </c>
      <c r="D374" s="55" t="s">
        <v>204</v>
      </c>
      <c r="E374" s="55" t="s">
        <v>208</v>
      </c>
      <c r="F374" s="55">
        <v>1</v>
      </c>
      <c r="G374" s="61">
        <f>VLOOKUP($E374, MonsterData!$A$5:$G$13, 7, 0)</f>
        <v>1</v>
      </c>
    </row>
    <row r="375" spans="1:7">
      <c r="A375" s="50" t="s">
        <v>224</v>
      </c>
      <c r="B375" s="51">
        <v>18</v>
      </c>
      <c r="C375" s="51" t="s">
        <v>203</v>
      </c>
      <c r="D375" s="51" t="s">
        <v>204</v>
      </c>
      <c r="E375" s="51" t="s">
        <v>206</v>
      </c>
      <c r="F375" s="51">
        <v>1</v>
      </c>
      <c r="G375" s="60">
        <f>VLOOKUP($E375, MonsterData!$A$5:$G$13, 7, 0)</f>
        <v>1</v>
      </c>
    </row>
    <row r="376" spans="1:7">
      <c r="A376" s="54" t="s">
        <v>187</v>
      </c>
      <c r="B376" s="55">
        <v>19</v>
      </c>
      <c r="C376" s="55" t="s">
        <v>203</v>
      </c>
      <c r="D376" s="55" t="s">
        <v>204</v>
      </c>
      <c r="E376" s="55" t="s">
        <v>205</v>
      </c>
      <c r="F376" s="55">
        <v>1</v>
      </c>
      <c r="G376" s="61">
        <f>VLOOKUP($E376, MonsterData!$A$5:$G$13, 7, 0)</f>
        <v>1</v>
      </c>
    </row>
    <row r="377" spans="1:7">
      <c r="A377" s="50" t="s">
        <v>224</v>
      </c>
      <c r="B377" s="51">
        <v>20</v>
      </c>
      <c r="C377" s="51" t="s">
        <v>203</v>
      </c>
      <c r="D377" s="51" t="s">
        <v>204</v>
      </c>
      <c r="E377" s="51" t="s">
        <v>206</v>
      </c>
      <c r="F377" s="51">
        <v>1</v>
      </c>
      <c r="G377" s="60">
        <f>VLOOKUP($E377, MonsterData!$A$5:$G$13, 7, 0)</f>
        <v>1</v>
      </c>
    </row>
    <row r="378" spans="1:7">
      <c r="A378" s="54" t="s">
        <v>187</v>
      </c>
      <c r="B378" s="55">
        <v>21</v>
      </c>
      <c r="C378" s="55" t="s">
        <v>203</v>
      </c>
      <c r="D378" s="55" t="s">
        <v>204</v>
      </c>
      <c r="E378" s="55" t="s">
        <v>276</v>
      </c>
      <c r="F378" s="55">
        <v>1</v>
      </c>
      <c r="G378" s="61">
        <f>VLOOKUP($E378, MonsterData!$A$5:$G$13, 7, 0)</f>
        <v>5</v>
      </c>
    </row>
    <row r="379" spans="1:7">
      <c r="A379" s="50" t="s">
        <v>225</v>
      </c>
      <c r="B379" s="51">
        <v>0</v>
      </c>
      <c r="C379" s="51" t="s">
        <v>203</v>
      </c>
      <c r="D379" s="51" t="s">
        <v>204</v>
      </c>
      <c r="E379" s="51" t="s">
        <v>206</v>
      </c>
      <c r="F379" s="51">
        <v>1</v>
      </c>
      <c r="G379" s="60">
        <f>VLOOKUP($E379, MonsterData!$A$5:$G$13, 7, 0)</f>
        <v>1</v>
      </c>
    </row>
    <row r="380" spans="1:7">
      <c r="A380" s="54" t="s">
        <v>189</v>
      </c>
      <c r="B380" s="55">
        <v>1</v>
      </c>
      <c r="C380" s="55" t="s">
        <v>203</v>
      </c>
      <c r="D380" s="55" t="s">
        <v>204</v>
      </c>
      <c r="E380" s="55" t="s">
        <v>205</v>
      </c>
      <c r="F380" s="55">
        <v>1</v>
      </c>
      <c r="G380" s="61">
        <f>VLOOKUP($E380, MonsterData!$A$5:$G$13, 7, 0)</f>
        <v>1</v>
      </c>
    </row>
    <row r="381" spans="1:7">
      <c r="A381" s="50" t="s">
        <v>225</v>
      </c>
      <c r="B381" s="51">
        <v>2</v>
      </c>
      <c r="C381" s="51" t="s">
        <v>203</v>
      </c>
      <c r="D381" s="51" t="s">
        <v>204</v>
      </c>
      <c r="E381" s="51" t="s">
        <v>206</v>
      </c>
      <c r="F381" s="51">
        <v>1</v>
      </c>
      <c r="G381" s="60">
        <f>VLOOKUP($E381, MonsterData!$A$5:$G$13, 7, 0)</f>
        <v>1</v>
      </c>
    </row>
    <row r="382" spans="1:7">
      <c r="A382" s="54" t="s">
        <v>189</v>
      </c>
      <c r="B382" s="55">
        <v>3</v>
      </c>
      <c r="C382" s="55" t="s">
        <v>203</v>
      </c>
      <c r="D382" s="55" t="s">
        <v>204</v>
      </c>
      <c r="E382" s="55" t="s">
        <v>207</v>
      </c>
      <c r="F382" s="55">
        <v>1</v>
      </c>
      <c r="G382" s="61">
        <f>VLOOKUP($E382, MonsterData!$A$5:$G$13, 7, 0)</f>
        <v>1</v>
      </c>
    </row>
    <row r="383" spans="1:7">
      <c r="A383" s="50" t="s">
        <v>225</v>
      </c>
      <c r="B383" s="51">
        <v>4</v>
      </c>
      <c r="C383" s="51" t="s">
        <v>203</v>
      </c>
      <c r="D383" s="51" t="s">
        <v>204</v>
      </c>
      <c r="E383" s="51" t="s">
        <v>208</v>
      </c>
      <c r="F383" s="51">
        <v>1</v>
      </c>
      <c r="G383" s="60">
        <f>VLOOKUP($E383, MonsterData!$A$5:$G$13, 7, 0)</f>
        <v>1</v>
      </c>
    </row>
    <row r="384" spans="1:7">
      <c r="A384" s="54" t="s">
        <v>189</v>
      </c>
      <c r="B384" s="55">
        <v>5</v>
      </c>
      <c r="C384" s="55" t="s">
        <v>203</v>
      </c>
      <c r="D384" s="55" t="s">
        <v>204</v>
      </c>
      <c r="E384" s="55" t="s">
        <v>206</v>
      </c>
      <c r="F384" s="55">
        <v>1</v>
      </c>
      <c r="G384" s="61">
        <f>VLOOKUP($E384, MonsterData!$A$5:$G$13, 7, 0)</f>
        <v>1</v>
      </c>
    </row>
    <row r="385" spans="1:7">
      <c r="A385" s="50" t="s">
        <v>225</v>
      </c>
      <c r="B385" s="51">
        <v>6</v>
      </c>
      <c r="C385" s="51" t="s">
        <v>203</v>
      </c>
      <c r="D385" s="51" t="s">
        <v>204</v>
      </c>
      <c r="E385" s="51" t="s">
        <v>205</v>
      </c>
      <c r="F385" s="51">
        <v>1</v>
      </c>
      <c r="G385" s="60">
        <f>VLOOKUP($E385, MonsterData!$A$5:$G$13, 7, 0)</f>
        <v>1</v>
      </c>
    </row>
    <row r="386" spans="1:7">
      <c r="A386" s="54" t="s">
        <v>189</v>
      </c>
      <c r="B386" s="55">
        <v>7</v>
      </c>
      <c r="C386" s="55" t="s">
        <v>203</v>
      </c>
      <c r="D386" s="55" t="s">
        <v>204</v>
      </c>
      <c r="E386" s="55" t="s">
        <v>206</v>
      </c>
      <c r="F386" s="55">
        <v>1</v>
      </c>
      <c r="G386" s="61">
        <f>VLOOKUP($E386, MonsterData!$A$5:$G$13, 7, 0)</f>
        <v>1</v>
      </c>
    </row>
    <row r="387" spans="1:7">
      <c r="A387" s="50" t="s">
        <v>225</v>
      </c>
      <c r="B387" s="51">
        <v>8</v>
      </c>
      <c r="C387" s="51" t="s">
        <v>203</v>
      </c>
      <c r="D387" s="51" t="s">
        <v>204</v>
      </c>
      <c r="E387" s="51" t="s">
        <v>207</v>
      </c>
      <c r="F387" s="51">
        <v>1</v>
      </c>
      <c r="G387" s="60">
        <f>VLOOKUP($E387, MonsterData!$A$5:$G$13, 7, 0)</f>
        <v>1</v>
      </c>
    </row>
    <row r="388" spans="1:7">
      <c r="A388" s="54" t="s">
        <v>189</v>
      </c>
      <c r="B388" s="55">
        <v>9</v>
      </c>
      <c r="C388" s="55" t="s">
        <v>203</v>
      </c>
      <c r="D388" s="55" t="s">
        <v>204</v>
      </c>
      <c r="E388" s="55" t="s">
        <v>208</v>
      </c>
      <c r="F388" s="55">
        <v>1</v>
      </c>
      <c r="G388" s="61">
        <f>VLOOKUP($E388, MonsterData!$A$5:$G$13, 7, 0)</f>
        <v>1</v>
      </c>
    </row>
    <row r="389" spans="1:7">
      <c r="A389" s="50" t="s">
        <v>225</v>
      </c>
      <c r="B389" s="51">
        <v>10</v>
      </c>
      <c r="C389" s="51" t="s">
        <v>203</v>
      </c>
      <c r="D389" s="51" t="s">
        <v>204</v>
      </c>
      <c r="E389" s="51" t="s">
        <v>276</v>
      </c>
      <c r="F389" s="51">
        <v>1</v>
      </c>
      <c r="G389" s="60">
        <f>VLOOKUP($E389, MonsterData!$A$5:$G$13, 7, 0)</f>
        <v>5</v>
      </c>
    </row>
    <row r="390" spans="1:7">
      <c r="A390" s="54" t="s">
        <v>189</v>
      </c>
      <c r="B390" s="55">
        <v>11</v>
      </c>
      <c r="C390" s="55" t="s">
        <v>203</v>
      </c>
      <c r="D390" s="55" t="s">
        <v>204</v>
      </c>
      <c r="E390" s="55" t="s">
        <v>206</v>
      </c>
      <c r="F390" s="55">
        <v>1</v>
      </c>
      <c r="G390" s="61">
        <f>VLOOKUP($E390, MonsterData!$A$5:$G$13, 7, 0)</f>
        <v>1</v>
      </c>
    </row>
    <row r="391" spans="1:7">
      <c r="A391" s="50" t="s">
        <v>225</v>
      </c>
      <c r="B391" s="51">
        <v>12</v>
      </c>
      <c r="C391" s="51" t="s">
        <v>203</v>
      </c>
      <c r="D391" s="51" t="s">
        <v>204</v>
      </c>
      <c r="E391" s="51" t="s">
        <v>205</v>
      </c>
      <c r="F391" s="51">
        <v>1</v>
      </c>
      <c r="G391" s="60">
        <f>VLOOKUP($E391, MonsterData!$A$5:$G$13, 7, 0)</f>
        <v>1</v>
      </c>
    </row>
    <row r="392" spans="1:7">
      <c r="A392" s="54" t="s">
        <v>189</v>
      </c>
      <c r="B392" s="55">
        <v>13</v>
      </c>
      <c r="C392" s="55" t="s">
        <v>203</v>
      </c>
      <c r="D392" s="55" t="s">
        <v>204</v>
      </c>
      <c r="E392" s="55" t="s">
        <v>206</v>
      </c>
      <c r="F392" s="55">
        <v>1</v>
      </c>
      <c r="G392" s="61">
        <f>VLOOKUP($E392, MonsterData!$A$5:$G$13, 7, 0)</f>
        <v>1</v>
      </c>
    </row>
    <row r="393" spans="1:7">
      <c r="A393" s="50" t="s">
        <v>225</v>
      </c>
      <c r="B393" s="51">
        <v>14</v>
      </c>
      <c r="C393" s="51" t="s">
        <v>203</v>
      </c>
      <c r="D393" s="51" t="s">
        <v>204</v>
      </c>
      <c r="E393" s="51" t="s">
        <v>207</v>
      </c>
      <c r="F393" s="51">
        <v>1</v>
      </c>
      <c r="G393" s="60">
        <f>VLOOKUP($E393, MonsterData!$A$5:$G$13, 7, 0)</f>
        <v>1</v>
      </c>
    </row>
    <row r="394" spans="1:7">
      <c r="A394" s="54" t="s">
        <v>189</v>
      </c>
      <c r="B394" s="55">
        <v>15</v>
      </c>
      <c r="C394" s="55" t="s">
        <v>203</v>
      </c>
      <c r="D394" s="55" t="s">
        <v>204</v>
      </c>
      <c r="E394" s="55" t="s">
        <v>208</v>
      </c>
      <c r="F394" s="55">
        <v>1</v>
      </c>
      <c r="G394" s="61">
        <f>VLOOKUP($E394, MonsterData!$A$5:$G$13, 7, 0)</f>
        <v>1</v>
      </c>
    </row>
    <row r="395" spans="1:7">
      <c r="A395" s="50" t="s">
        <v>225</v>
      </c>
      <c r="B395" s="51">
        <v>16</v>
      </c>
      <c r="C395" s="51" t="s">
        <v>203</v>
      </c>
      <c r="D395" s="51" t="s">
        <v>204</v>
      </c>
      <c r="E395" s="51" t="s">
        <v>206</v>
      </c>
      <c r="F395" s="51">
        <v>1</v>
      </c>
      <c r="G395" s="60">
        <f>VLOOKUP($E395, MonsterData!$A$5:$G$13, 7, 0)</f>
        <v>1</v>
      </c>
    </row>
    <row r="396" spans="1:7">
      <c r="A396" s="54" t="s">
        <v>189</v>
      </c>
      <c r="B396" s="55">
        <v>17</v>
      </c>
      <c r="C396" s="55" t="s">
        <v>203</v>
      </c>
      <c r="D396" s="55" t="s">
        <v>204</v>
      </c>
      <c r="E396" s="55" t="s">
        <v>205</v>
      </c>
      <c r="F396" s="55">
        <v>1</v>
      </c>
      <c r="G396" s="61">
        <f>VLOOKUP($E396, MonsterData!$A$5:$G$13, 7, 0)</f>
        <v>1</v>
      </c>
    </row>
    <row r="397" spans="1:7">
      <c r="A397" s="50" t="s">
        <v>225</v>
      </c>
      <c r="B397" s="51">
        <v>18</v>
      </c>
      <c r="C397" s="51" t="s">
        <v>203</v>
      </c>
      <c r="D397" s="51" t="s">
        <v>204</v>
      </c>
      <c r="E397" s="51" t="s">
        <v>206</v>
      </c>
      <c r="F397" s="51">
        <v>1</v>
      </c>
      <c r="G397" s="60">
        <f>VLOOKUP($E397, MonsterData!$A$5:$G$13, 7, 0)</f>
        <v>1</v>
      </c>
    </row>
    <row r="398" spans="1:7">
      <c r="A398" s="54" t="s">
        <v>189</v>
      </c>
      <c r="B398" s="55">
        <v>19</v>
      </c>
      <c r="C398" s="55" t="s">
        <v>203</v>
      </c>
      <c r="D398" s="55" t="s">
        <v>204</v>
      </c>
      <c r="E398" s="55" t="s">
        <v>207</v>
      </c>
      <c r="F398" s="55">
        <v>1</v>
      </c>
      <c r="G398" s="61">
        <f>VLOOKUP($E398, MonsterData!$A$5:$G$13, 7, 0)</f>
        <v>1</v>
      </c>
    </row>
    <row r="399" spans="1:7">
      <c r="A399" s="50" t="s">
        <v>225</v>
      </c>
      <c r="B399" s="51">
        <v>20</v>
      </c>
      <c r="C399" s="51" t="s">
        <v>203</v>
      </c>
      <c r="D399" s="51" t="s">
        <v>204</v>
      </c>
      <c r="E399" s="51" t="s">
        <v>208</v>
      </c>
      <c r="F399" s="51">
        <v>1</v>
      </c>
      <c r="G399" s="60">
        <f>VLOOKUP($E399, MonsterData!$A$5:$G$13, 7, 0)</f>
        <v>1</v>
      </c>
    </row>
    <row r="400" spans="1:7">
      <c r="A400" s="54" t="s">
        <v>189</v>
      </c>
      <c r="B400" s="55">
        <v>21</v>
      </c>
      <c r="C400" s="55" t="s">
        <v>203</v>
      </c>
      <c r="D400" s="55" t="s">
        <v>204</v>
      </c>
      <c r="E400" s="55" t="s">
        <v>275</v>
      </c>
      <c r="F400" s="55">
        <v>1</v>
      </c>
      <c r="G400" s="61">
        <f>VLOOKUP($E400, MonsterData!$A$5:$G$13, 7, 0)</f>
        <v>5</v>
      </c>
    </row>
    <row r="401" spans="1:7">
      <c r="A401" s="50" t="s">
        <v>226</v>
      </c>
      <c r="B401" s="51">
        <v>0</v>
      </c>
      <c r="C401" s="51" t="s">
        <v>203</v>
      </c>
      <c r="D401" s="51" t="s">
        <v>204</v>
      </c>
      <c r="E401" s="51" t="s">
        <v>206</v>
      </c>
      <c r="F401" s="51">
        <v>1</v>
      </c>
      <c r="G401" s="60">
        <f>VLOOKUP($E401, MonsterData!$A$5:$G$13, 7, 0)</f>
        <v>1</v>
      </c>
    </row>
    <row r="402" spans="1:7">
      <c r="A402" s="54" t="s">
        <v>191</v>
      </c>
      <c r="B402" s="55">
        <v>1</v>
      </c>
      <c r="C402" s="55" t="s">
        <v>203</v>
      </c>
      <c r="D402" s="55" t="s">
        <v>204</v>
      </c>
      <c r="E402" s="55" t="s">
        <v>207</v>
      </c>
      <c r="F402" s="55">
        <v>1</v>
      </c>
      <c r="G402" s="61">
        <f>VLOOKUP($E402, MonsterData!$A$5:$G$13, 7, 0)</f>
        <v>1</v>
      </c>
    </row>
    <row r="403" spans="1:7">
      <c r="A403" s="50" t="s">
        <v>226</v>
      </c>
      <c r="B403" s="51">
        <v>2</v>
      </c>
      <c r="C403" s="51" t="s">
        <v>203</v>
      </c>
      <c r="D403" s="51" t="s">
        <v>204</v>
      </c>
      <c r="E403" s="51" t="s">
        <v>208</v>
      </c>
      <c r="F403" s="51">
        <v>1</v>
      </c>
      <c r="G403" s="60">
        <f>VLOOKUP($E403, MonsterData!$A$5:$G$13, 7, 0)</f>
        <v>1</v>
      </c>
    </row>
    <row r="404" spans="1:7">
      <c r="A404" s="54" t="s">
        <v>191</v>
      </c>
      <c r="B404" s="55">
        <v>3</v>
      </c>
      <c r="C404" s="55" t="s">
        <v>203</v>
      </c>
      <c r="D404" s="55" t="s">
        <v>204</v>
      </c>
      <c r="E404" s="55" t="s">
        <v>206</v>
      </c>
      <c r="F404" s="55">
        <v>1</v>
      </c>
      <c r="G404" s="61">
        <f>VLOOKUP($E404, MonsterData!$A$5:$G$13, 7, 0)</f>
        <v>1</v>
      </c>
    </row>
    <row r="405" spans="1:7">
      <c r="A405" s="50" t="s">
        <v>226</v>
      </c>
      <c r="B405" s="51">
        <v>4</v>
      </c>
      <c r="C405" s="51" t="s">
        <v>203</v>
      </c>
      <c r="D405" s="51" t="s">
        <v>204</v>
      </c>
      <c r="E405" s="51" t="s">
        <v>205</v>
      </c>
      <c r="F405" s="51">
        <v>1</v>
      </c>
      <c r="G405" s="60">
        <f>VLOOKUP($E405, MonsterData!$A$5:$G$13, 7, 0)</f>
        <v>1</v>
      </c>
    </row>
    <row r="406" spans="1:7">
      <c r="A406" s="54" t="s">
        <v>191</v>
      </c>
      <c r="B406" s="55">
        <v>5</v>
      </c>
      <c r="C406" s="55" t="s">
        <v>203</v>
      </c>
      <c r="D406" s="55" t="s">
        <v>204</v>
      </c>
      <c r="E406" s="55" t="s">
        <v>206</v>
      </c>
      <c r="F406" s="55">
        <v>1</v>
      </c>
      <c r="G406" s="61">
        <f>VLOOKUP($E406, MonsterData!$A$5:$G$13, 7, 0)</f>
        <v>1</v>
      </c>
    </row>
    <row r="407" spans="1:7">
      <c r="A407" s="50" t="s">
        <v>226</v>
      </c>
      <c r="B407" s="51">
        <v>6</v>
      </c>
      <c r="C407" s="51" t="s">
        <v>203</v>
      </c>
      <c r="D407" s="51" t="s">
        <v>204</v>
      </c>
      <c r="E407" s="51" t="s">
        <v>207</v>
      </c>
      <c r="F407" s="51">
        <v>1</v>
      </c>
      <c r="G407" s="60">
        <f>VLOOKUP($E407, MonsterData!$A$5:$G$13, 7, 0)</f>
        <v>1</v>
      </c>
    </row>
    <row r="408" spans="1:7">
      <c r="A408" s="54" t="s">
        <v>191</v>
      </c>
      <c r="B408" s="55">
        <v>7</v>
      </c>
      <c r="C408" s="55" t="s">
        <v>203</v>
      </c>
      <c r="D408" s="55" t="s">
        <v>204</v>
      </c>
      <c r="E408" s="55" t="s">
        <v>208</v>
      </c>
      <c r="F408" s="55">
        <v>1</v>
      </c>
      <c r="G408" s="61">
        <f>VLOOKUP($E408, MonsterData!$A$5:$G$13, 7, 0)</f>
        <v>1</v>
      </c>
    </row>
    <row r="409" spans="1:7">
      <c r="A409" s="50" t="s">
        <v>226</v>
      </c>
      <c r="B409" s="51">
        <v>8</v>
      </c>
      <c r="C409" s="51" t="s">
        <v>203</v>
      </c>
      <c r="D409" s="51" t="s">
        <v>204</v>
      </c>
      <c r="E409" s="51" t="s">
        <v>206</v>
      </c>
      <c r="F409" s="51">
        <v>1</v>
      </c>
      <c r="G409" s="60">
        <f>VLOOKUP($E409, MonsterData!$A$5:$G$13, 7, 0)</f>
        <v>1</v>
      </c>
    </row>
    <row r="410" spans="1:7">
      <c r="A410" s="54" t="s">
        <v>191</v>
      </c>
      <c r="B410" s="55">
        <v>9</v>
      </c>
      <c r="C410" s="55" t="s">
        <v>203</v>
      </c>
      <c r="D410" s="55" t="s">
        <v>204</v>
      </c>
      <c r="E410" s="55" t="s">
        <v>205</v>
      </c>
      <c r="F410" s="55">
        <v>1</v>
      </c>
      <c r="G410" s="61">
        <f>VLOOKUP($E410, MonsterData!$A$5:$G$13, 7, 0)</f>
        <v>1</v>
      </c>
    </row>
    <row r="411" spans="1:7">
      <c r="A411" s="50" t="s">
        <v>226</v>
      </c>
      <c r="B411" s="51">
        <v>10</v>
      </c>
      <c r="C411" s="51" t="s">
        <v>203</v>
      </c>
      <c r="D411" s="51" t="s">
        <v>204</v>
      </c>
      <c r="E411" s="51" t="s">
        <v>275</v>
      </c>
      <c r="F411" s="51">
        <v>1</v>
      </c>
      <c r="G411" s="60">
        <f>VLOOKUP($E411, MonsterData!$A$5:$G$13, 7, 0)</f>
        <v>5</v>
      </c>
    </row>
    <row r="412" spans="1:7">
      <c r="A412" s="54" t="s">
        <v>191</v>
      </c>
      <c r="B412" s="55">
        <v>11</v>
      </c>
      <c r="C412" s="55" t="s">
        <v>203</v>
      </c>
      <c r="D412" s="55" t="s">
        <v>204</v>
      </c>
      <c r="E412" s="55" t="s">
        <v>206</v>
      </c>
      <c r="F412" s="55">
        <v>1</v>
      </c>
      <c r="G412" s="61">
        <f>VLOOKUP($E412, MonsterData!$A$5:$G$13, 7, 0)</f>
        <v>1</v>
      </c>
    </row>
    <row r="413" spans="1:7">
      <c r="A413" s="50" t="s">
        <v>226</v>
      </c>
      <c r="B413" s="51">
        <v>12</v>
      </c>
      <c r="C413" s="51" t="s">
        <v>203</v>
      </c>
      <c r="D413" s="51" t="s">
        <v>204</v>
      </c>
      <c r="E413" s="51" t="s">
        <v>207</v>
      </c>
      <c r="F413" s="51">
        <v>1</v>
      </c>
      <c r="G413" s="60">
        <f>VLOOKUP($E413, MonsterData!$A$5:$G$13, 7, 0)</f>
        <v>1</v>
      </c>
    </row>
    <row r="414" spans="1:7">
      <c r="A414" s="54" t="s">
        <v>191</v>
      </c>
      <c r="B414" s="55">
        <v>13</v>
      </c>
      <c r="C414" s="55" t="s">
        <v>203</v>
      </c>
      <c r="D414" s="55" t="s">
        <v>204</v>
      </c>
      <c r="E414" s="55" t="s">
        <v>208</v>
      </c>
      <c r="F414" s="55">
        <v>1</v>
      </c>
      <c r="G414" s="61">
        <f>VLOOKUP($E414, MonsterData!$A$5:$G$13, 7, 0)</f>
        <v>1</v>
      </c>
    </row>
    <row r="415" spans="1:7">
      <c r="A415" s="50" t="s">
        <v>226</v>
      </c>
      <c r="B415" s="51">
        <v>14</v>
      </c>
      <c r="C415" s="51" t="s">
        <v>203</v>
      </c>
      <c r="D415" s="51" t="s">
        <v>204</v>
      </c>
      <c r="E415" s="51" t="s">
        <v>206</v>
      </c>
      <c r="F415" s="51">
        <v>1</v>
      </c>
      <c r="G415" s="60">
        <f>VLOOKUP($E415, MonsterData!$A$5:$G$13, 7, 0)</f>
        <v>1</v>
      </c>
    </row>
    <row r="416" spans="1:7">
      <c r="A416" s="54" t="s">
        <v>191</v>
      </c>
      <c r="B416" s="55">
        <v>15</v>
      </c>
      <c r="C416" s="55" t="s">
        <v>203</v>
      </c>
      <c r="D416" s="55" t="s">
        <v>204</v>
      </c>
      <c r="E416" s="55" t="s">
        <v>205</v>
      </c>
      <c r="F416" s="55">
        <v>1</v>
      </c>
      <c r="G416" s="61">
        <f>VLOOKUP($E416, MonsterData!$A$5:$G$13, 7, 0)</f>
        <v>1</v>
      </c>
    </row>
    <row r="417" spans="1:7">
      <c r="A417" s="50" t="s">
        <v>226</v>
      </c>
      <c r="B417" s="51">
        <v>16</v>
      </c>
      <c r="C417" s="51" t="s">
        <v>203</v>
      </c>
      <c r="D417" s="51" t="s">
        <v>204</v>
      </c>
      <c r="E417" s="51" t="s">
        <v>206</v>
      </c>
      <c r="F417" s="51">
        <v>1</v>
      </c>
      <c r="G417" s="60">
        <f>VLOOKUP($E417, MonsterData!$A$5:$G$13, 7, 0)</f>
        <v>1</v>
      </c>
    </row>
    <row r="418" spans="1:7">
      <c r="A418" s="54" t="s">
        <v>191</v>
      </c>
      <c r="B418" s="55">
        <v>17</v>
      </c>
      <c r="C418" s="55" t="s">
        <v>203</v>
      </c>
      <c r="D418" s="55" t="s">
        <v>204</v>
      </c>
      <c r="E418" s="55" t="s">
        <v>207</v>
      </c>
      <c r="F418" s="55">
        <v>1</v>
      </c>
      <c r="G418" s="61">
        <f>VLOOKUP($E418, MonsterData!$A$5:$G$13, 7, 0)</f>
        <v>1</v>
      </c>
    </row>
    <row r="419" spans="1:7">
      <c r="A419" s="50" t="s">
        <v>226</v>
      </c>
      <c r="B419" s="51">
        <v>18</v>
      </c>
      <c r="C419" s="51" t="s">
        <v>203</v>
      </c>
      <c r="D419" s="51" t="s">
        <v>204</v>
      </c>
      <c r="E419" s="51" t="s">
        <v>208</v>
      </c>
      <c r="F419" s="51">
        <v>1</v>
      </c>
      <c r="G419" s="60">
        <f>VLOOKUP($E419, MonsterData!$A$5:$G$13, 7, 0)</f>
        <v>1</v>
      </c>
    </row>
    <row r="420" spans="1:7">
      <c r="A420" s="54" t="s">
        <v>191</v>
      </c>
      <c r="B420" s="55">
        <v>19</v>
      </c>
      <c r="C420" s="55" t="s">
        <v>203</v>
      </c>
      <c r="D420" s="55" t="s">
        <v>204</v>
      </c>
      <c r="E420" s="55" t="s">
        <v>206</v>
      </c>
      <c r="F420" s="55">
        <v>1</v>
      </c>
      <c r="G420" s="61">
        <f>VLOOKUP($E420, MonsterData!$A$5:$G$13, 7, 0)</f>
        <v>1</v>
      </c>
    </row>
    <row r="421" spans="1:7">
      <c r="A421" s="50" t="s">
        <v>226</v>
      </c>
      <c r="B421" s="51">
        <v>20</v>
      </c>
      <c r="C421" s="51" t="s">
        <v>203</v>
      </c>
      <c r="D421" s="51" t="s">
        <v>204</v>
      </c>
      <c r="E421" s="51" t="s">
        <v>205</v>
      </c>
      <c r="F421" s="51">
        <v>1</v>
      </c>
      <c r="G421" s="60">
        <f>VLOOKUP($E421, MonsterData!$A$5:$G$13, 7, 0)</f>
        <v>1</v>
      </c>
    </row>
    <row r="422" spans="1:7">
      <c r="A422" s="54" t="s">
        <v>191</v>
      </c>
      <c r="B422" s="55">
        <v>21</v>
      </c>
      <c r="C422" s="55" t="s">
        <v>203</v>
      </c>
      <c r="D422" s="55" t="s">
        <v>204</v>
      </c>
      <c r="E422" s="55" t="s">
        <v>276</v>
      </c>
      <c r="F422" s="55">
        <v>1</v>
      </c>
      <c r="G422" s="61">
        <f>VLOOKUP($E422, MonsterData!$A$5:$G$13, 7, 0)</f>
        <v>5</v>
      </c>
    </row>
    <row r="423" spans="1:7">
      <c r="A423" s="50" t="s">
        <v>227</v>
      </c>
      <c r="B423" s="51">
        <v>0</v>
      </c>
      <c r="C423" s="51" t="s">
        <v>203</v>
      </c>
      <c r="D423" s="51" t="s">
        <v>204</v>
      </c>
      <c r="E423" s="51" t="s">
        <v>208</v>
      </c>
      <c r="F423" s="51">
        <v>1</v>
      </c>
      <c r="G423" s="60">
        <f>VLOOKUP($E423, MonsterData!$A$5:$G$13, 7, 0)</f>
        <v>1</v>
      </c>
    </row>
    <row r="424" spans="1:7">
      <c r="A424" s="54" t="s">
        <v>193</v>
      </c>
      <c r="B424" s="55">
        <v>1</v>
      </c>
      <c r="C424" s="55" t="s">
        <v>203</v>
      </c>
      <c r="D424" s="55" t="s">
        <v>204</v>
      </c>
      <c r="E424" s="55" t="s">
        <v>206</v>
      </c>
      <c r="F424" s="55">
        <v>1</v>
      </c>
      <c r="G424" s="61">
        <f>VLOOKUP($E424, MonsterData!$A$5:$G$13, 7, 0)</f>
        <v>1</v>
      </c>
    </row>
    <row r="425" spans="1:7">
      <c r="A425" s="50" t="s">
        <v>227</v>
      </c>
      <c r="B425" s="51">
        <v>2</v>
      </c>
      <c r="C425" s="51" t="s">
        <v>203</v>
      </c>
      <c r="D425" s="51" t="s">
        <v>204</v>
      </c>
      <c r="E425" s="51" t="s">
        <v>205</v>
      </c>
      <c r="F425" s="51">
        <v>1</v>
      </c>
      <c r="G425" s="60">
        <f>VLOOKUP($E425, MonsterData!$A$5:$G$13, 7, 0)</f>
        <v>1</v>
      </c>
    </row>
    <row r="426" spans="1:7">
      <c r="A426" s="54" t="s">
        <v>193</v>
      </c>
      <c r="B426" s="55">
        <v>3</v>
      </c>
      <c r="C426" s="55" t="s">
        <v>203</v>
      </c>
      <c r="D426" s="55" t="s">
        <v>204</v>
      </c>
      <c r="E426" s="55" t="s">
        <v>206</v>
      </c>
      <c r="F426" s="55">
        <v>1</v>
      </c>
      <c r="G426" s="61">
        <f>VLOOKUP($E426, MonsterData!$A$5:$G$13, 7, 0)</f>
        <v>1</v>
      </c>
    </row>
    <row r="427" spans="1:7">
      <c r="A427" s="50" t="s">
        <v>227</v>
      </c>
      <c r="B427" s="51">
        <v>4</v>
      </c>
      <c r="C427" s="51" t="s">
        <v>203</v>
      </c>
      <c r="D427" s="51" t="s">
        <v>204</v>
      </c>
      <c r="E427" s="51" t="s">
        <v>207</v>
      </c>
      <c r="F427" s="51">
        <v>1</v>
      </c>
      <c r="G427" s="60">
        <f>VLOOKUP($E427, MonsterData!$A$5:$G$13, 7, 0)</f>
        <v>1</v>
      </c>
    </row>
    <row r="428" spans="1:7">
      <c r="A428" s="54" t="s">
        <v>193</v>
      </c>
      <c r="B428" s="55">
        <v>5</v>
      </c>
      <c r="C428" s="55" t="s">
        <v>203</v>
      </c>
      <c r="D428" s="55" t="s">
        <v>204</v>
      </c>
      <c r="E428" s="55" t="s">
        <v>208</v>
      </c>
      <c r="F428" s="55">
        <v>1</v>
      </c>
      <c r="G428" s="61">
        <f>VLOOKUP($E428, MonsterData!$A$5:$G$13, 7, 0)</f>
        <v>1</v>
      </c>
    </row>
    <row r="429" spans="1:7">
      <c r="A429" s="50" t="s">
        <v>227</v>
      </c>
      <c r="B429" s="51">
        <v>6</v>
      </c>
      <c r="C429" s="51" t="s">
        <v>203</v>
      </c>
      <c r="D429" s="51" t="s">
        <v>204</v>
      </c>
      <c r="E429" s="51" t="s">
        <v>206</v>
      </c>
      <c r="F429" s="51">
        <v>1</v>
      </c>
      <c r="G429" s="60">
        <f>VLOOKUP($E429, MonsterData!$A$5:$G$13, 7, 0)</f>
        <v>1</v>
      </c>
    </row>
    <row r="430" spans="1:7">
      <c r="A430" s="54" t="s">
        <v>193</v>
      </c>
      <c r="B430" s="55">
        <v>7</v>
      </c>
      <c r="C430" s="55" t="s">
        <v>203</v>
      </c>
      <c r="D430" s="55" t="s">
        <v>204</v>
      </c>
      <c r="E430" s="55" t="s">
        <v>205</v>
      </c>
      <c r="F430" s="55">
        <v>1</v>
      </c>
      <c r="G430" s="61">
        <f>VLOOKUP($E430, MonsterData!$A$5:$G$13, 7, 0)</f>
        <v>1</v>
      </c>
    </row>
    <row r="431" spans="1:7">
      <c r="A431" s="50" t="s">
        <v>227</v>
      </c>
      <c r="B431" s="51">
        <v>8</v>
      </c>
      <c r="C431" s="51" t="s">
        <v>203</v>
      </c>
      <c r="D431" s="51" t="s">
        <v>204</v>
      </c>
      <c r="E431" s="51" t="s">
        <v>206</v>
      </c>
      <c r="F431" s="51">
        <v>1</v>
      </c>
      <c r="G431" s="60">
        <f>VLOOKUP($E431, MonsterData!$A$5:$G$13, 7, 0)</f>
        <v>1</v>
      </c>
    </row>
    <row r="432" spans="1:7">
      <c r="A432" s="54" t="s">
        <v>193</v>
      </c>
      <c r="B432" s="55">
        <v>9</v>
      </c>
      <c r="C432" s="55" t="s">
        <v>203</v>
      </c>
      <c r="D432" s="55" t="s">
        <v>204</v>
      </c>
      <c r="E432" s="55" t="s">
        <v>207</v>
      </c>
      <c r="F432" s="55">
        <v>1</v>
      </c>
      <c r="G432" s="61">
        <f>VLOOKUP($E432, MonsterData!$A$5:$G$13, 7, 0)</f>
        <v>1</v>
      </c>
    </row>
    <row r="433" spans="1:7">
      <c r="A433" s="50" t="s">
        <v>227</v>
      </c>
      <c r="B433" s="51">
        <v>10</v>
      </c>
      <c r="C433" s="51" t="s">
        <v>203</v>
      </c>
      <c r="D433" s="51" t="s">
        <v>204</v>
      </c>
      <c r="E433" s="51" t="s">
        <v>276</v>
      </c>
      <c r="F433" s="51">
        <v>1</v>
      </c>
      <c r="G433" s="60">
        <f>VLOOKUP($E433, MonsterData!$A$5:$G$13, 7, 0)</f>
        <v>5</v>
      </c>
    </row>
    <row r="434" spans="1:7">
      <c r="A434" s="54" t="s">
        <v>193</v>
      </c>
      <c r="B434" s="55">
        <v>11</v>
      </c>
      <c r="C434" s="55" t="s">
        <v>203</v>
      </c>
      <c r="D434" s="55" t="s">
        <v>204</v>
      </c>
      <c r="E434" s="55" t="s">
        <v>208</v>
      </c>
      <c r="F434" s="55">
        <v>1</v>
      </c>
      <c r="G434" s="61">
        <f>VLOOKUP($E434, MonsterData!$A$5:$G$13, 7, 0)</f>
        <v>1</v>
      </c>
    </row>
    <row r="435" spans="1:7">
      <c r="A435" s="50" t="s">
        <v>227</v>
      </c>
      <c r="B435" s="51">
        <v>12</v>
      </c>
      <c r="C435" s="51" t="s">
        <v>203</v>
      </c>
      <c r="D435" s="51" t="s">
        <v>204</v>
      </c>
      <c r="E435" s="51" t="s">
        <v>206</v>
      </c>
      <c r="F435" s="51">
        <v>1</v>
      </c>
      <c r="G435" s="60">
        <f>VLOOKUP($E435, MonsterData!$A$5:$G$13, 7, 0)</f>
        <v>1</v>
      </c>
    </row>
    <row r="436" spans="1:7">
      <c r="A436" s="54" t="s">
        <v>193</v>
      </c>
      <c r="B436" s="55">
        <v>13</v>
      </c>
      <c r="C436" s="55" t="s">
        <v>203</v>
      </c>
      <c r="D436" s="55" t="s">
        <v>204</v>
      </c>
      <c r="E436" s="55" t="s">
        <v>205</v>
      </c>
      <c r="F436" s="55">
        <v>1</v>
      </c>
      <c r="G436" s="61">
        <f>VLOOKUP($E436, MonsterData!$A$5:$G$13, 7, 0)</f>
        <v>1</v>
      </c>
    </row>
    <row r="437" spans="1:7">
      <c r="A437" s="50" t="s">
        <v>227</v>
      </c>
      <c r="B437" s="51">
        <v>14</v>
      </c>
      <c r="C437" s="51" t="s">
        <v>203</v>
      </c>
      <c r="D437" s="51" t="s">
        <v>204</v>
      </c>
      <c r="E437" s="51" t="s">
        <v>206</v>
      </c>
      <c r="F437" s="51">
        <v>1</v>
      </c>
      <c r="G437" s="60">
        <f>VLOOKUP($E437, MonsterData!$A$5:$G$13, 7, 0)</f>
        <v>1</v>
      </c>
    </row>
    <row r="438" spans="1:7">
      <c r="A438" s="54" t="s">
        <v>193</v>
      </c>
      <c r="B438" s="55">
        <v>15</v>
      </c>
      <c r="C438" s="55" t="s">
        <v>203</v>
      </c>
      <c r="D438" s="55" t="s">
        <v>204</v>
      </c>
      <c r="E438" s="55" t="s">
        <v>207</v>
      </c>
      <c r="F438" s="55">
        <v>1</v>
      </c>
      <c r="G438" s="61">
        <f>VLOOKUP($E438, MonsterData!$A$5:$G$13, 7, 0)</f>
        <v>1</v>
      </c>
    </row>
    <row r="439" spans="1:7">
      <c r="A439" s="50" t="s">
        <v>227</v>
      </c>
      <c r="B439" s="51">
        <v>16</v>
      </c>
      <c r="C439" s="51" t="s">
        <v>203</v>
      </c>
      <c r="D439" s="51" t="s">
        <v>204</v>
      </c>
      <c r="E439" s="51" t="s">
        <v>208</v>
      </c>
      <c r="F439" s="51">
        <v>1</v>
      </c>
      <c r="G439" s="60">
        <f>VLOOKUP($E439, MonsterData!$A$5:$G$13, 7, 0)</f>
        <v>1</v>
      </c>
    </row>
    <row r="440" spans="1:7">
      <c r="A440" s="54" t="s">
        <v>193</v>
      </c>
      <c r="B440" s="55">
        <v>17</v>
      </c>
      <c r="C440" s="55" t="s">
        <v>203</v>
      </c>
      <c r="D440" s="55" t="s">
        <v>204</v>
      </c>
      <c r="E440" s="55" t="s">
        <v>206</v>
      </c>
      <c r="F440" s="55">
        <v>1</v>
      </c>
      <c r="G440" s="61">
        <f>VLOOKUP($E440, MonsterData!$A$5:$G$13, 7, 0)</f>
        <v>1</v>
      </c>
    </row>
    <row r="441" spans="1:7">
      <c r="A441" s="50" t="s">
        <v>227</v>
      </c>
      <c r="B441" s="51">
        <v>18</v>
      </c>
      <c r="C441" s="51" t="s">
        <v>203</v>
      </c>
      <c r="D441" s="51" t="s">
        <v>204</v>
      </c>
      <c r="E441" s="51" t="s">
        <v>205</v>
      </c>
      <c r="F441" s="51">
        <v>1</v>
      </c>
      <c r="G441" s="60">
        <f>VLOOKUP($E441, MonsterData!$A$5:$G$13, 7, 0)</f>
        <v>1</v>
      </c>
    </row>
    <row r="442" spans="1:7">
      <c r="A442" s="54" t="s">
        <v>193</v>
      </c>
      <c r="B442" s="55">
        <v>19</v>
      </c>
      <c r="C442" s="55" t="s">
        <v>203</v>
      </c>
      <c r="D442" s="55" t="s">
        <v>204</v>
      </c>
      <c r="E442" s="55" t="s">
        <v>206</v>
      </c>
      <c r="F442" s="55">
        <v>1</v>
      </c>
      <c r="G442" s="61">
        <f>VLOOKUP($E442, MonsterData!$A$5:$G$13, 7, 0)</f>
        <v>1</v>
      </c>
    </row>
    <row r="443" spans="1:7">
      <c r="A443" s="50" t="s">
        <v>227</v>
      </c>
      <c r="B443" s="51">
        <v>20</v>
      </c>
      <c r="C443" s="51" t="s">
        <v>203</v>
      </c>
      <c r="D443" s="51" t="s">
        <v>204</v>
      </c>
      <c r="E443" s="51" t="s">
        <v>207</v>
      </c>
      <c r="F443" s="51">
        <v>1</v>
      </c>
      <c r="G443" s="60">
        <f>VLOOKUP($E443, MonsterData!$A$5:$G$13, 7, 0)</f>
        <v>1</v>
      </c>
    </row>
    <row r="444" spans="1:7">
      <c r="A444" s="54" t="s">
        <v>193</v>
      </c>
      <c r="B444" s="55">
        <v>21</v>
      </c>
      <c r="C444" s="55" t="s">
        <v>203</v>
      </c>
      <c r="D444" s="55" t="s">
        <v>204</v>
      </c>
      <c r="E444" s="55" t="s">
        <v>275</v>
      </c>
      <c r="F444" s="55">
        <v>1</v>
      </c>
      <c r="G444" s="61">
        <f>VLOOKUP($E444, MonsterData!$A$5:$G$13, 7, 0)</f>
        <v>5</v>
      </c>
    </row>
  </sheetData>
  <mergeCells count="1">
    <mergeCell ref="A1:G1"/>
  </mergeCells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개요</vt:lpstr>
      <vt:lpstr>Factor</vt:lpstr>
      <vt:lpstr>MonsterData</vt:lpstr>
      <vt:lpstr>BattleArea</vt:lpstr>
      <vt:lpstr>SpawnData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해욱 정</cp:lastModifiedBy>
  <dcterms:modified xsi:type="dcterms:W3CDTF">2026-08-18T16:12:59Z</dcterms:modified>
</cp:coreProperties>
</file>